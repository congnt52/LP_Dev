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8_{36A37FF1-D5C5-4AF4-BE8D-1D5E3E593EE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D3" i="2" l="1"/>
  <c r="F3" i="2" s="1"/>
  <c r="D4" i="2"/>
  <c r="F4" i="2" s="1"/>
  <c r="D2" i="2"/>
  <c r="F2" i="2" s="1"/>
  <c r="C24" i="1" l="1"/>
  <c r="C22" i="1"/>
  <c r="B21" i="1"/>
  <c r="D21" i="1" s="1"/>
  <c r="B20" i="1"/>
  <c r="D20" i="1" s="1"/>
  <c r="B19" i="1"/>
  <c r="D19" i="1" s="1"/>
  <c r="B18" i="1"/>
  <c r="D18" i="1" s="1"/>
  <c r="B17" i="1"/>
  <c r="D17" i="1" s="1"/>
  <c r="B16" i="1"/>
  <c r="D16" i="1" s="1"/>
  <c r="D15" i="1"/>
  <c r="D14" i="1"/>
  <c r="D13" i="1"/>
  <c r="D12" i="1"/>
  <c r="D11" i="1"/>
  <c r="D10" i="1"/>
  <c r="C7" i="1"/>
  <c r="C6" i="1"/>
  <c r="D5" i="1"/>
  <c r="C18" i="1" l="1"/>
  <c r="C19" i="1"/>
  <c r="C21" i="1"/>
  <c r="C16" i="1"/>
  <c r="C20" i="1"/>
  <c r="C17" i="1"/>
</calcChain>
</file>

<file path=xl/sharedStrings.xml><?xml version="1.0" encoding="utf-8"?>
<sst xmlns="http://schemas.openxmlformats.org/spreadsheetml/2006/main" count="100" uniqueCount="60">
  <si>
    <t>Clause</t>
  </si>
  <si>
    <t>Spec</t>
  </si>
  <si>
    <t>Min</t>
  </si>
  <si>
    <t>Max</t>
  </si>
  <si>
    <t>Unit</t>
  </si>
  <si>
    <t>Configuration</t>
  </si>
  <si>
    <t>Chapter 6</t>
  </si>
  <si>
    <t>40</t>
  </si>
  <si>
    <t>39.5</t>
  </si>
  <si>
    <t>40.5</t>
  </si>
  <si>
    <t>37.3</t>
  </si>
  <si>
    <t>42.7</t>
  </si>
  <si>
    <t>dBm</t>
  </si>
  <si>
    <t>MHz</t>
  </si>
  <si>
    <t>dBc</t>
  </si>
  <si>
    <t>0</t>
  </si>
  <si>
    <t>dB</t>
  </si>
  <si>
    <t>1</t>
  </si>
  <si>
    <t>%</t>
  </si>
  <si>
    <t>2.5</t>
  </si>
  <si>
    <t>@2.55GHz</t>
  </si>
  <si>
    <t>Hz</t>
  </si>
  <si>
    <t>-30</t>
  </si>
  <si>
    <t>-36</t>
  </si>
  <si>
    <t>4</t>
  </si>
  <si>
    <t>45</t>
  </si>
  <si>
    <t>5</t>
  </si>
  <si>
    <t>+ Adjacent channel leakage power TM1.1</t>
  </si>
  <si>
    <t>+ Base station output power</t>
  </si>
  <si>
    <t>+ Occupied bandwidth</t>
  </si>
  <si>
    <t>+ Adjacent channel leakage power TM1.2</t>
  </si>
  <si>
    <t>+ Operating band Unwanted emissions TM1.1</t>
  </si>
  <si>
    <t>+ Operating band Unwanted emissions TM1.2</t>
  </si>
  <si>
    <t>+ Modulation quality TM2.0</t>
  </si>
  <si>
    <t>+ Modulation quality TM2.0a</t>
  </si>
  <si>
    <t>+ Modulation quality TM3.1</t>
  </si>
  <si>
    <t>+ Modulation quality TM3.1a</t>
  </si>
  <si>
    <t>+ Modulation quality TM3.2</t>
  </si>
  <si>
    <t>+ Modulation quality TM3.3</t>
  </si>
  <si>
    <t>+ Frequency error TM2.0</t>
  </si>
  <si>
    <t>+ Frequency error TM2.0a</t>
  </si>
  <si>
    <t>+ Frequency error TM3.1</t>
  </si>
  <si>
    <t>+ Frequency error TM3.1a</t>
  </si>
  <si>
    <t>+ Frequency error TM3.2</t>
  </si>
  <si>
    <t>+ Frequency error TM3.3</t>
  </si>
  <si>
    <t>+ Total power dynamic range</t>
  </si>
  <si>
    <t>+ Transmitter spurious emissions</t>
  </si>
  <si>
    <t>+ Transmitter transient period</t>
  </si>
  <si>
    <t>+ Time alignment error</t>
  </si>
  <si>
    <t>+ TX Calibration</t>
  </si>
  <si>
    <t>RF out</t>
  </si>
  <si>
    <t>RF in</t>
  </si>
  <si>
    <t>Scale</t>
  </si>
  <si>
    <t>Att</t>
  </si>
  <si>
    <t>+ Transmitter OFF Power</t>
  </si>
  <si>
    <t>+ Transmitter intermodulation (ACLR)</t>
  </si>
  <si>
    <t>+ Transmitter intermodulation (SEM)</t>
  </si>
  <si>
    <t>+ Transmitter intermodulation (SPUR)</t>
  </si>
  <si>
    <t>10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</si>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</sst>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9" fontId="4" fillId="3" borderId="1" xfId="0" applyNumberFormat="1" applyFont="1" applyFill="1" applyBorder="1"/>
    <xf numFmtId="49" fontId="3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/>
    <xf numFmtId="0" fontId="0" fillId="0" borderId="1" xfId="0" quotePrefix="1" applyBorder="1"/>
    <xf numFmtId="49" fontId="3" fillId="3" borderId="1" xfId="0" applyNumberFormat="1" applyFont="1" applyFill="1" applyBorder="1" applyAlignment="1">
      <alignment wrapText="1"/>
    </xf>
    <xf numFmtId="0" fontId="1" fillId="0" borderId="1" xfId="0" quotePrefix="1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Q14" sqref="Q14"/>
    </sheetView>
  </sheetViews>
  <sheetFormatPr defaultColWidth="14.42578125" defaultRowHeight="15" customHeight="1" x14ac:dyDescent="0.25"/>
  <cols>
    <col min="1" max="1" width="44.85546875" customWidth="1"/>
    <col min="2" max="5" width="9.140625" customWidth="1"/>
    <col min="6" max="6" width="15.28515625" customWidth="1"/>
    <col min="7" max="7" width="9.28515625" customWidth="1"/>
    <col min="8" max="15" width="9.140625" customWidth="1"/>
  </cols>
  <sheetData>
    <row r="1" spans="1: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4.25" customHeight="1" x14ac:dyDescent="0.25">
      <c r="A2" s="3" t="s">
        <v>6</v>
      </c>
      <c r="B2" s="4"/>
      <c r="C2" s="4"/>
      <c r="D2" s="4"/>
      <c r="E2" s="4"/>
      <c r="F2" s="5"/>
      <c r="G2" s="6"/>
    </row>
    <row r="3" spans="1:7" ht="14.25" customHeight="1" x14ac:dyDescent="0.25">
      <c r="A3" s="6" t="s">
        <v>49</v>
      </c>
      <c r="B3" s="7" t="s">
        <v>7</v>
      </c>
      <c r="C3" s="7" t="s">
        <v>8</v>
      </c>
      <c r="D3" s="7" t="s">
        <v>9</v>
      </c>
      <c r="E3" s="8"/>
      <c r="F3" s="9">
        <v>20000</v>
      </c>
      <c r="G3" s="10"/>
    </row>
    <row r="4" spans="1:7" ht="14.25" customHeight="1" x14ac:dyDescent="0.25">
      <c r="A4" s="11" t="s">
        <v>28</v>
      </c>
      <c r="B4" s="7" t="s">
        <v>7</v>
      </c>
      <c r="C4" s="7" t="s">
        <v>10</v>
      </c>
      <c r="D4" s="7" t="s">
        <v>11</v>
      </c>
      <c r="E4" s="7" t="s">
        <v>12</v>
      </c>
      <c r="F4" s="7">
        <v>1</v>
      </c>
      <c r="G4" s="12"/>
    </row>
    <row r="5" spans="1:7" ht="14.25" customHeight="1" x14ac:dyDescent="0.25">
      <c r="A5" s="13" t="s">
        <v>29</v>
      </c>
      <c r="B5" s="7">
        <v>98.28</v>
      </c>
      <c r="C5" s="7"/>
      <c r="D5" s="7">
        <f>B5</f>
        <v>98.28</v>
      </c>
      <c r="E5" s="7" t="s">
        <v>13</v>
      </c>
      <c r="F5" s="7">
        <v>1</v>
      </c>
      <c r="G5" s="12"/>
    </row>
    <row r="6" spans="1:7" ht="14.25" customHeight="1" x14ac:dyDescent="0.25">
      <c r="A6" s="11" t="s">
        <v>27</v>
      </c>
      <c r="B6" s="7" t="s">
        <v>59</v>
      </c>
      <c r="C6" s="7" t="str">
        <f t="shared" ref="C6:C7" si="0">B6</f>
        <v>48</v>
      </c>
      <c r="D6" s="7"/>
      <c r="E6" s="7" t="s">
        <v>14</v>
      </c>
      <c r="F6" s="7">
        <v>1</v>
      </c>
      <c r="G6" s="12"/>
    </row>
    <row r="7" spans="1:7" ht="14.25" customHeight="1" x14ac:dyDescent="0.25">
      <c r="A7" s="13" t="s">
        <v>30</v>
      </c>
      <c r="B7" s="7" t="s">
        <v>59</v>
      </c>
      <c r="C7" s="7" t="str">
        <f t="shared" si="0"/>
        <v>48</v>
      </c>
      <c r="D7" s="7"/>
      <c r="E7" s="7" t="s">
        <v>14</v>
      </c>
      <c r="F7" s="7">
        <v>1</v>
      </c>
      <c r="G7" s="12"/>
    </row>
    <row r="8" spans="1:7" ht="15.75" customHeight="1" x14ac:dyDescent="0.25">
      <c r="A8" s="13" t="s">
        <v>31</v>
      </c>
      <c r="B8" s="4" t="s">
        <v>15</v>
      </c>
      <c r="C8" s="4"/>
      <c r="D8" s="4">
        <v>0</v>
      </c>
      <c r="E8" s="4" t="s">
        <v>16</v>
      </c>
      <c r="F8" s="4">
        <v>1</v>
      </c>
      <c r="G8" s="5"/>
    </row>
    <row r="9" spans="1:7" ht="14.25" customHeight="1" x14ac:dyDescent="0.25">
      <c r="A9" s="13" t="s">
        <v>32</v>
      </c>
      <c r="B9" s="4" t="s">
        <v>15</v>
      </c>
      <c r="C9" s="4"/>
      <c r="D9" s="4" t="s">
        <v>15</v>
      </c>
      <c r="E9" s="4" t="s">
        <v>16</v>
      </c>
      <c r="F9" s="4">
        <v>1</v>
      </c>
      <c r="G9" s="12"/>
    </row>
    <row r="10" spans="1:7" ht="14.25" customHeight="1" x14ac:dyDescent="0.25">
      <c r="A10" s="13" t="s">
        <v>33</v>
      </c>
      <c r="B10" s="7" t="s">
        <v>17</v>
      </c>
      <c r="C10" s="7"/>
      <c r="D10" s="7" t="str">
        <f t="shared" ref="D10:D15" si="1">B10</f>
        <v>1</v>
      </c>
      <c r="E10" s="7" t="s">
        <v>18</v>
      </c>
      <c r="F10" s="7">
        <v>1</v>
      </c>
      <c r="G10" s="12"/>
    </row>
    <row r="11" spans="1:7" ht="14.25" customHeight="1" x14ac:dyDescent="0.25">
      <c r="A11" s="13" t="s">
        <v>34</v>
      </c>
      <c r="B11" s="7" t="s">
        <v>17</v>
      </c>
      <c r="C11" s="7"/>
      <c r="D11" s="7" t="str">
        <f t="shared" si="1"/>
        <v>1</v>
      </c>
      <c r="E11" s="7" t="s">
        <v>18</v>
      </c>
      <c r="F11" s="7">
        <v>1</v>
      </c>
      <c r="G11" s="12"/>
    </row>
    <row r="12" spans="1:7" ht="14.25" customHeight="1" x14ac:dyDescent="0.25">
      <c r="A12" s="13" t="s">
        <v>35</v>
      </c>
      <c r="B12" s="7" t="s">
        <v>19</v>
      </c>
      <c r="C12" s="7"/>
      <c r="D12" s="7" t="str">
        <f t="shared" si="1"/>
        <v>2.5</v>
      </c>
      <c r="E12" s="7" t="s">
        <v>18</v>
      </c>
      <c r="F12" s="7">
        <v>1</v>
      </c>
      <c r="G12" s="12"/>
    </row>
    <row r="13" spans="1:7" ht="14.25" customHeight="1" x14ac:dyDescent="0.25">
      <c r="A13" s="13" t="s">
        <v>36</v>
      </c>
      <c r="B13" s="7" t="s">
        <v>19</v>
      </c>
      <c r="C13" s="7"/>
      <c r="D13" s="7" t="str">
        <f t="shared" si="1"/>
        <v>2.5</v>
      </c>
      <c r="E13" s="7" t="s">
        <v>18</v>
      </c>
      <c r="F13" s="7">
        <v>1</v>
      </c>
      <c r="G13" s="12"/>
    </row>
    <row r="14" spans="1:7" ht="14.25" customHeight="1" x14ac:dyDescent="0.25">
      <c r="A14" s="13" t="s">
        <v>37</v>
      </c>
      <c r="B14" s="7" t="s">
        <v>19</v>
      </c>
      <c r="C14" s="7"/>
      <c r="D14" s="7" t="str">
        <f t="shared" si="1"/>
        <v>2.5</v>
      </c>
      <c r="E14" s="7" t="s">
        <v>18</v>
      </c>
      <c r="F14" s="7">
        <v>1</v>
      </c>
      <c r="G14" s="12"/>
    </row>
    <row r="15" spans="1:7" ht="14.25" customHeight="1" x14ac:dyDescent="0.25">
      <c r="A15" s="13" t="s">
        <v>38</v>
      </c>
      <c r="B15" s="7" t="s">
        <v>19</v>
      </c>
      <c r="C15" s="7"/>
      <c r="D15" s="7" t="str">
        <f t="shared" si="1"/>
        <v>2.5</v>
      </c>
      <c r="E15" s="7" t="s">
        <v>18</v>
      </c>
      <c r="F15" s="7">
        <v>1</v>
      </c>
      <c r="G15" s="7" t="s">
        <v>20</v>
      </c>
    </row>
    <row r="16" spans="1:7" ht="14.25" customHeight="1" x14ac:dyDescent="0.25">
      <c r="A16" s="13" t="s">
        <v>39</v>
      </c>
      <c r="B16" s="8">
        <f t="shared" ref="B16:B21" si="2">255000*0.05%</f>
        <v>127.5</v>
      </c>
      <c r="C16" s="8">
        <f t="shared" ref="C16:C21" si="3">B16-12</f>
        <v>115.5</v>
      </c>
      <c r="D16" s="8">
        <f t="shared" ref="D16:D21" si="4">B16+12</f>
        <v>139.5</v>
      </c>
      <c r="E16" s="8" t="s">
        <v>21</v>
      </c>
      <c r="F16" s="7">
        <v>1</v>
      </c>
      <c r="G16" s="7" t="s">
        <v>20</v>
      </c>
    </row>
    <row r="17" spans="1:7" ht="14.25" customHeight="1" x14ac:dyDescent="0.25">
      <c r="A17" s="13" t="s">
        <v>40</v>
      </c>
      <c r="B17" s="8">
        <f t="shared" si="2"/>
        <v>127.5</v>
      </c>
      <c r="C17" s="8">
        <f t="shared" si="3"/>
        <v>115.5</v>
      </c>
      <c r="D17" s="8">
        <f t="shared" si="4"/>
        <v>139.5</v>
      </c>
      <c r="E17" s="8" t="s">
        <v>21</v>
      </c>
      <c r="F17" s="7">
        <v>1</v>
      </c>
      <c r="G17" s="7" t="s">
        <v>20</v>
      </c>
    </row>
    <row r="18" spans="1:7" ht="14.25" customHeight="1" x14ac:dyDescent="0.25">
      <c r="A18" s="13" t="s">
        <v>41</v>
      </c>
      <c r="B18" s="8">
        <f t="shared" si="2"/>
        <v>127.5</v>
      </c>
      <c r="C18" s="8">
        <f t="shared" si="3"/>
        <v>115.5</v>
      </c>
      <c r="D18" s="8">
        <f t="shared" si="4"/>
        <v>139.5</v>
      </c>
      <c r="E18" s="8" t="s">
        <v>21</v>
      </c>
      <c r="F18" s="7">
        <v>1</v>
      </c>
      <c r="G18" s="7" t="s">
        <v>20</v>
      </c>
    </row>
    <row r="19" spans="1:7" ht="14.25" customHeight="1" x14ac:dyDescent="0.25">
      <c r="A19" s="13" t="s">
        <v>42</v>
      </c>
      <c r="B19" s="8">
        <f t="shared" si="2"/>
        <v>127.5</v>
      </c>
      <c r="C19" s="8">
        <f t="shared" si="3"/>
        <v>115.5</v>
      </c>
      <c r="D19" s="8">
        <f t="shared" si="4"/>
        <v>139.5</v>
      </c>
      <c r="E19" s="8" t="s">
        <v>21</v>
      </c>
      <c r="F19" s="7">
        <v>1</v>
      </c>
      <c r="G19" s="7" t="s">
        <v>20</v>
      </c>
    </row>
    <row r="20" spans="1:7" ht="14.25" customHeight="1" x14ac:dyDescent="0.25">
      <c r="A20" s="13" t="s">
        <v>43</v>
      </c>
      <c r="B20" s="8">
        <f t="shared" si="2"/>
        <v>127.5</v>
      </c>
      <c r="C20" s="8">
        <f t="shared" si="3"/>
        <v>115.5</v>
      </c>
      <c r="D20" s="8">
        <f t="shared" si="4"/>
        <v>139.5</v>
      </c>
      <c r="E20" s="8" t="s">
        <v>21</v>
      </c>
      <c r="F20" s="7">
        <v>1</v>
      </c>
      <c r="G20" s="7" t="s">
        <v>20</v>
      </c>
    </row>
    <row r="21" spans="1:7" ht="14.25" customHeight="1" x14ac:dyDescent="0.25">
      <c r="A21" s="13" t="s">
        <v>44</v>
      </c>
      <c r="B21" s="8">
        <f t="shared" si="2"/>
        <v>127.5</v>
      </c>
      <c r="C21" s="8">
        <f t="shared" si="3"/>
        <v>115.5</v>
      </c>
      <c r="D21" s="8">
        <f t="shared" si="4"/>
        <v>139.5</v>
      </c>
      <c r="E21" s="8" t="s">
        <v>21</v>
      </c>
      <c r="F21" s="7">
        <v>1</v>
      </c>
      <c r="G21" s="12"/>
    </row>
    <row r="22" spans="1:7" ht="14.25" customHeight="1" x14ac:dyDescent="0.25">
      <c r="A22" s="13" t="s">
        <v>45</v>
      </c>
      <c r="B22" s="7">
        <v>24.3</v>
      </c>
      <c r="C22" s="7">
        <f>B22</f>
        <v>24.3</v>
      </c>
      <c r="D22" s="7"/>
      <c r="E22" s="7" t="s">
        <v>12</v>
      </c>
      <c r="F22" s="7">
        <v>1</v>
      </c>
      <c r="G22" s="4"/>
    </row>
    <row r="23" spans="1:7" ht="14.25" customHeight="1" x14ac:dyDescent="0.25">
      <c r="A23" s="13" t="s">
        <v>46</v>
      </c>
      <c r="B23" s="5" t="s">
        <v>22</v>
      </c>
      <c r="C23" s="5" t="s">
        <v>23</v>
      </c>
      <c r="D23" s="4" t="s">
        <v>22</v>
      </c>
      <c r="E23" s="4" t="s">
        <v>12</v>
      </c>
      <c r="F23" s="4" t="s">
        <v>24</v>
      </c>
      <c r="G23" s="4" t="s">
        <v>58</v>
      </c>
    </row>
    <row r="24" spans="1:7" ht="14.25" customHeight="1" x14ac:dyDescent="0.25">
      <c r="A24" s="14" t="s">
        <v>55</v>
      </c>
      <c r="B24" s="7" t="s">
        <v>25</v>
      </c>
      <c r="C24" s="7" t="str">
        <f>B24</f>
        <v>45</v>
      </c>
      <c r="D24" s="7"/>
      <c r="E24" s="7" t="s">
        <v>14</v>
      </c>
      <c r="F24" s="4" t="s">
        <v>26</v>
      </c>
      <c r="G24" s="4" t="s">
        <v>58</v>
      </c>
    </row>
    <row r="25" spans="1:7" ht="14.25" customHeight="1" x14ac:dyDescent="0.25">
      <c r="A25" s="14" t="s">
        <v>56</v>
      </c>
      <c r="B25" s="15"/>
      <c r="C25" s="13"/>
      <c r="D25" s="4" t="s">
        <v>15</v>
      </c>
      <c r="E25" s="4" t="s">
        <v>16</v>
      </c>
      <c r="F25" s="4" t="s">
        <v>26</v>
      </c>
      <c r="G25" s="4" t="s">
        <v>58</v>
      </c>
    </row>
    <row r="26" spans="1:7" ht="14.25" customHeight="1" x14ac:dyDescent="0.25">
      <c r="A26" s="14" t="s">
        <v>57</v>
      </c>
      <c r="B26" s="5" t="s">
        <v>22</v>
      </c>
      <c r="C26" s="5" t="s">
        <v>23</v>
      </c>
      <c r="D26" s="4" t="s">
        <v>22</v>
      </c>
      <c r="E26" s="4" t="s">
        <v>12</v>
      </c>
      <c r="F26" s="4" t="s">
        <v>26</v>
      </c>
      <c r="G26" s="4" t="s">
        <v>58</v>
      </c>
    </row>
    <row r="27" spans="1:7" ht="14.25" customHeight="1" x14ac:dyDescent="0.25">
      <c r="A27" s="14" t="s">
        <v>54</v>
      </c>
      <c r="B27" s="8">
        <v>-85</v>
      </c>
      <c r="C27" s="8"/>
      <c r="D27" s="8">
        <v>-85</v>
      </c>
      <c r="E27" s="8"/>
      <c r="F27" s="10"/>
      <c r="G27" s="10"/>
    </row>
    <row r="28" spans="1:7" ht="14.25" customHeight="1" x14ac:dyDescent="0.25">
      <c r="A28" s="14" t="s">
        <v>47</v>
      </c>
      <c r="B28" s="8">
        <v>10</v>
      </c>
      <c r="C28" s="8"/>
      <c r="D28" s="8">
        <v>10</v>
      </c>
      <c r="E28" s="8"/>
      <c r="F28" s="10"/>
      <c r="G28" s="10"/>
    </row>
    <row r="29" spans="1:7" x14ac:dyDescent="0.25">
      <c r="A29" s="16" t="s">
        <v>48</v>
      </c>
      <c r="B29" s="8">
        <v>90</v>
      </c>
      <c r="C29" s="8">
        <v>-90</v>
      </c>
      <c r="D29" s="8">
        <v>90</v>
      </c>
      <c r="E29" s="8"/>
      <c r="F29" s="10"/>
      <c r="G29" s="17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F6" sqref="F6"/>
    </sheetView>
  </sheetViews>
  <sheetFormatPr defaultRowHeight="15" x14ac:dyDescent="0.25"/>
  <sheetData>
    <row r="1" spans="1:6" x14ac:dyDescent="0.25">
      <c r="B1" t="s">
        <v>50</v>
      </c>
      <c r="C1" t="s">
        <v>51</v>
      </c>
      <c r="D1" t="s">
        <v>52</v>
      </c>
      <c r="E1" t="s">
        <v>53</v>
      </c>
    </row>
    <row r="2" spans="1:6" x14ac:dyDescent="0.25">
      <c r="B2">
        <v>-35</v>
      </c>
      <c r="C2">
        <v>-46</v>
      </c>
      <c r="D2">
        <f>B2-C2</f>
        <v>11</v>
      </c>
      <c r="E2">
        <v>35</v>
      </c>
      <c r="F2">
        <f>D2+E2</f>
        <v>46</v>
      </c>
    </row>
    <row r="3" spans="1:6" x14ac:dyDescent="0.25">
      <c r="A3">
        <v>30</v>
      </c>
      <c r="B3">
        <v>-5</v>
      </c>
      <c r="C3">
        <v>-17.5</v>
      </c>
      <c r="D3">
        <f t="shared" ref="D3:D4" si="0">B3-C3</f>
        <v>12.5</v>
      </c>
      <c r="E3">
        <v>35</v>
      </c>
      <c r="F3">
        <f t="shared" ref="F3:F4" si="1">D3+E3</f>
        <v>47.5</v>
      </c>
    </row>
    <row r="4" spans="1:6" x14ac:dyDescent="0.25">
      <c r="A4">
        <v>41</v>
      </c>
      <c r="B4">
        <v>6</v>
      </c>
      <c r="C4">
        <v>-6.5</v>
      </c>
      <c r="D4">
        <f t="shared" si="0"/>
        <v>12.5</v>
      </c>
      <c r="E4">
        <v>35</v>
      </c>
      <c r="F4">
        <f t="shared" si="1"/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2024-09-06T02:26:54Z</dcterms:created>
  <dcterms:modified xsi:type="dcterms:W3CDTF">2024-09-06T02:26:54Z</dcterms:modified>
</cp:coreProperties>
</file>