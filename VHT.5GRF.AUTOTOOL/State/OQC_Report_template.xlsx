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64011"/>
  <mc:AlternateContent xmlns:mc="http://schemas.openxmlformats.org/markup-compatibility/2006">
    <mc:Choice Requires="x15">
      <x15ac:absPath xmlns:x15ac="http://schemas.microsoft.com/office/spreadsheetml/2010/11/ac" url="C:\test3gpp\templates\"/>
    </mc:Choice>
  </mc:AlternateContent>
  <bookViews>
    <workbookView xWindow="0" yWindow="0" windowWidth="29010" windowHeight="11805" tabRatio="771"/>
  </bookViews>
  <sheets>
    <sheet name="BM.06-Phieu do kiem" sheetId="4" r:id="rId1"/>
  </sheets>
  <definedNames>
    <definedName name="_xlnm.Print_Titles" localSheetId="0">'BM.06-Phieu do kiem'!$1:$4</definedName>
  </definedNames>
  <calcPr calcId="162913"/>
</workbook>
</file>

<file path=xl/calcChain.xml><?xml version="1.0" encoding="utf-8"?>
<calcChain xmlns="http://schemas.openxmlformats.org/spreadsheetml/2006/main">
  <c r="G252" i="4" l="1"/>
  <c r="G251" i="4"/>
  <c r="H251" i="4" s="1"/>
  <c r="G250" i="4"/>
  <c r="G249" i="4"/>
  <c r="H250" i="4" s="1"/>
  <c r="G248" i="4"/>
  <c r="G247" i="4"/>
  <c r="H247" i="4" s="1"/>
  <c r="H246" i="4"/>
  <c r="G246" i="4"/>
  <c r="H245" i="4"/>
  <c r="G244" i="4"/>
  <c r="H244" i="4" s="1"/>
  <c r="G243" i="4"/>
  <c r="H243" i="4" s="1"/>
  <c r="G242" i="4"/>
  <c r="H242" i="4" s="1"/>
  <c r="G241" i="4"/>
  <c r="H241" i="4" s="1"/>
  <c r="G240" i="4"/>
  <c r="H240" i="4" s="1"/>
  <c r="G239" i="4"/>
  <c r="H239" i="4" s="1"/>
  <c r="G238" i="4"/>
  <c r="H238" i="4" s="1"/>
  <c r="H237" i="4"/>
  <c r="G236" i="4"/>
  <c r="G235" i="4"/>
  <c r="G234" i="4"/>
  <c r="G233" i="4"/>
  <c r="G232" i="4"/>
  <c r="G231" i="4"/>
  <c r="G230" i="4"/>
  <c r="G220" i="4"/>
  <c r="G219" i="4"/>
  <c r="H220" i="4" s="1"/>
  <c r="G218" i="4"/>
  <c r="H217" i="4"/>
  <c r="G217" i="4"/>
  <c r="H218" i="4" s="1"/>
  <c r="G216" i="4"/>
  <c r="G215" i="4"/>
  <c r="H216" i="4" s="1"/>
  <c r="H214" i="4"/>
  <c r="G214" i="4"/>
  <c r="H213" i="4"/>
  <c r="G212" i="4"/>
  <c r="H211" i="4"/>
  <c r="G211" i="4"/>
  <c r="H212" i="4" s="1"/>
  <c r="G210" i="4"/>
  <c r="G209" i="4"/>
  <c r="H209" i="4" s="1"/>
  <c r="G208" i="4"/>
  <c r="G207" i="4"/>
  <c r="H208" i="4" s="1"/>
  <c r="H206" i="4"/>
  <c r="G206" i="4"/>
  <c r="H205" i="4"/>
  <c r="G204" i="4"/>
  <c r="H204" i="4" s="1"/>
  <c r="G203" i="4"/>
  <c r="H203" i="4" s="1"/>
  <c r="H202" i="4"/>
  <c r="G202" i="4"/>
  <c r="G201" i="4"/>
  <c r="H201" i="4" s="1"/>
  <c r="G200" i="4"/>
  <c r="G199" i="4"/>
  <c r="H199" i="4" s="1"/>
  <c r="H198" i="4"/>
  <c r="G198" i="4"/>
  <c r="H197" i="4"/>
  <c r="H190" i="4"/>
  <c r="G190" i="4"/>
  <c r="G191" i="4" s="1"/>
  <c r="H189" i="4"/>
  <c r="G182" i="4"/>
  <c r="H181" i="4" s="1"/>
  <c r="H131" i="4"/>
  <c r="G131" i="4"/>
  <c r="H130" i="4"/>
  <c r="G130" i="4"/>
  <c r="H129" i="4"/>
  <c r="G129" i="4"/>
  <c r="H128" i="4"/>
  <c r="G128" i="4"/>
  <c r="H127" i="4"/>
  <c r="G127" i="4"/>
  <c r="H126" i="4"/>
  <c r="G126" i="4"/>
  <c r="H125" i="4"/>
  <c r="G125" i="4"/>
  <c r="H210" i="4" l="1"/>
  <c r="H248" i="4"/>
  <c r="H207" i="4"/>
  <c r="H252" i="4"/>
  <c r="H249" i="4"/>
  <c r="G192" i="4"/>
  <c r="H191" i="4"/>
  <c r="G183" i="4"/>
  <c r="H200" i="4"/>
  <c r="H215" i="4"/>
  <c r="H219" i="4"/>
  <c r="G193" i="4" l="1"/>
  <c r="H192" i="4"/>
  <c r="H182" i="4"/>
  <c r="G184" i="4"/>
  <c r="G185" i="4" l="1"/>
  <c r="H183" i="4"/>
  <c r="G194" i="4"/>
  <c r="H193" i="4"/>
  <c r="G186" i="4" l="1"/>
  <c r="H184" i="4"/>
  <c r="G195" i="4"/>
  <c r="H194" i="4"/>
  <c r="G196" i="4" l="1"/>
  <c r="H196" i="4" s="1"/>
  <c r="H195" i="4"/>
  <c r="H185" i="4"/>
  <c r="G187" i="4"/>
  <c r="H186" i="4" l="1"/>
  <c r="G188" i="4"/>
  <c r="H187" i="4" s="1"/>
  <c r="H188" i="4" s="1"/>
  <c r="G106" i="4" l="1"/>
  <c r="G105" i="4"/>
  <c r="G104" i="4"/>
  <c r="G103" i="4"/>
  <c r="G102" i="4"/>
  <c r="G101" i="4"/>
  <c r="G100" i="4"/>
  <c r="G90" i="4"/>
  <c r="G89" i="4"/>
  <c r="G88" i="4"/>
  <c r="G87" i="4"/>
  <c r="G86" i="4"/>
  <c r="G85" i="4"/>
  <c r="G84" i="4"/>
  <c r="I85" i="4"/>
  <c r="I90" i="4" l="1"/>
  <c r="I86" i="4"/>
  <c r="I84" i="4"/>
  <c r="I87" i="4"/>
  <c r="I89" i="4"/>
  <c r="I88" i="4"/>
  <c r="H51" i="4"/>
  <c r="I51" i="4" l="1"/>
  <c r="G51" i="4"/>
  <c r="G174" i="4" l="1"/>
  <c r="H173" i="4" s="1"/>
  <c r="H180" i="4" s="1"/>
  <c r="G175" i="4" l="1"/>
  <c r="G176" i="4" l="1"/>
  <c r="H174" i="4"/>
  <c r="G177" i="4" l="1"/>
  <c r="H175" i="4"/>
  <c r="H153" i="4"/>
  <c r="G178" i="4" l="1"/>
  <c r="H176" i="4"/>
  <c r="H154" i="4"/>
  <c r="H155" i="4"/>
  <c r="H149" i="4"/>
  <c r="H150" i="4"/>
  <c r="H151" i="4"/>
  <c r="H152" i="4"/>
  <c r="G179" i="4" l="1"/>
  <c r="H177" i="4"/>
  <c r="G153" i="4"/>
  <c r="G180" i="4" l="1"/>
  <c r="H179" i="4" s="1"/>
  <c r="H178" i="4"/>
  <c r="G154" i="4"/>
  <c r="G155" i="4"/>
  <c r="G149" i="4"/>
  <c r="G150" i="4"/>
  <c r="G151" i="4"/>
  <c r="G152" i="4"/>
  <c r="H25" i="4" l="1"/>
  <c r="H28" i="4" l="1"/>
  <c r="H27" i="4"/>
  <c r="H32" i="4"/>
  <c r="H31" i="4"/>
  <c r="H30" i="4"/>
  <c r="H29" i="4"/>
  <c r="H26" i="4"/>
  <c r="E24" i="4" l="1"/>
  <c r="G27" i="4"/>
  <c r="G29" i="4" l="1"/>
  <c r="G26" i="4"/>
  <c r="G32" i="4"/>
  <c r="G31" i="4"/>
  <c r="G30" i="4"/>
  <c r="G28" i="4"/>
  <c r="G113" i="4" l="1"/>
  <c r="G98" i="4"/>
  <c r="I78" i="4"/>
  <c r="G82" i="4"/>
  <c r="I71" i="4"/>
  <c r="G73" i="4"/>
  <c r="I63" i="4"/>
  <c r="G60" i="4"/>
  <c r="H53" i="4"/>
  <c r="I55" i="4"/>
  <c r="G56" i="4"/>
  <c r="G36" i="4"/>
  <c r="H22" i="4"/>
  <c r="I20" i="4"/>
  <c r="G18" i="4"/>
  <c r="G66" i="4" l="1"/>
  <c r="G65" i="4"/>
  <c r="H23" i="4"/>
  <c r="H17" i="4"/>
  <c r="H19" i="4"/>
  <c r="G40" i="4"/>
  <c r="H56" i="4"/>
  <c r="G72" i="4"/>
  <c r="G41" i="4"/>
  <c r="H21" i="4"/>
  <c r="G57" i="4"/>
  <c r="G112" i="4"/>
  <c r="G109" i="4"/>
  <c r="G111" i="4"/>
  <c r="G110" i="4"/>
  <c r="G114" i="4"/>
  <c r="G108" i="4"/>
  <c r="I97" i="4"/>
  <c r="G92" i="4"/>
  <c r="G93" i="4"/>
  <c r="G94" i="4"/>
  <c r="G95" i="4"/>
  <c r="G96" i="4"/>
  <c r="G97" i="4"/>
  <c r="I92" i="4"/>
  <c r="I99" i="4" s="1"/>
  <c r="I93" i="4"/>
  <c r="I94" i="4"/>
  <c r="I95" i="4"/>
  <c r="I96" i="4"/>
  <c r="I98" i="4"/>
  <c r="I77" i="4"/>
  <c r="G70" i="4"/>
  <c r="G74" i="4"/>
  <c r="G69" i="4"/>
  <c r="G64" i="4"/>
  <c r="G62" i="4"/>
  <c r="G61" i="4"/>
  <c r="H52" i="4"/>
  <c r="H57" i="4"/>
  <c r="H55" i="4"/>
  <c r="G54" i="4"/>
  <c r="G53" i="4"/>
  <c r="G58" i="4"/>
  <c r="G39" i="4"/>
  <c r="G37" i="4"/>
  <c r="H20" i="4"/>
  <c r="H18" i="4"/>
  <c r="G23" i="4"/>
  <c r="G21" i="4"/>
  <c r="G22" i="4"/>
  <c r="G19" i="4"/>
  <c r="I66" i="4"/>
  <c r="I62" i="4"/>
  <c r="I64" i="4"/>
  <c r="I65" i="4"/>
  <c r="I61" i="4"/>
  <c r="I60" i="4"/>
  <c r="I82" i="4"/>
  <c r="I81" i="4"/>
  <c r="I80" i="4"/>
  <c r="I79" i="4"/>
  <c r="I23" i="4"/>
  <c r="I19" i="4"/>
  <c r="I17" i="4"/>
  <c r="I22" i="4"/>
  <c r="I18" i="4"/>
  <c r="I21" i="4"/>
  <c r="I58" i="4"/>
  <c r="I54" i="4"/>
  <c r="I57" i="4"/>
  <c r="I53" i="4"/>
  <c r="I56" i="4"/>
  <c r="I52" i="4"/>
  <c r="I76" i="4"/>
  <c r="I74" i="4"/>
  <c r="I70" i="4"/>
  <c r="I72" i="4"/>
  <c r="I68" i="4"/>
  <c r="I73" i="4"/>
  <c r="I69" i="4"/>
  <c r="G38" i="4"/>
  <c r="H54" i="4"/>
  <c r="G55" i="4"/>
  <c r="H58" i="4"/>
  <c r="G63" i="4"/>
  <c r="G71" i="4"/>
  <c r="G76" i="4"/>
  <c r="G77" i="4"/>
  <c r="G78" i="4"/>
  <c r="G79" i="4"/>
  <c r="G80" i="4"/>
  <c r="G81" i="4"/>
  <c r="G20" i="4"/>
  <c r="G17" i="4"/>
  <c r="G35" i="4"/>
  <c r="G52" i="4"/>
  <c r="G68" i="4"/>
  <c r="I106" i="4" l="1"/>
  <c r="I100" i="4"/>
  <c r="I105" i="4"/>
  <c r="I101" i="4"/>
  <c r="I104" i="4"/>
  <c r="I102" i="4"/>
  <c r="I103" i="4"/>
</calcChain>
</file>

<file path=xl/sharedStrings.xml><?xml version="1.0" encoding="utf-8"?>
<sst xmlns="http://schemas.openxmlformats.org/spreadsheetml/2006/main" count="520" uniqueCount="201">
  <si>
    <t>NR-TM</t>
  </si>
  <si>
    <t>TX1</t>
  </si>
  <si>
    <t>TX2</t>
  </si>
  <si>
    <t>TX3</t>
  </si>
  <si>
    <t>TM1.1</t>
  </si>
  <si>
    <t>Output Power Dynamic</t>
  </si>
  <si>
    <t>TM2.0</t>
  </si>
  <si>
    <t>TM3.1</t>
  </si>
  <si>
    <t>TM2.0a</t>
  </si>
  <si>
    <t>TX Transmittion ON/OFF Power</t>
  </si>
  <si>
    <t>Transmitter transient period (us)</t>
  </si>
  <si>
    <t>Transmitted signal quality</t>
  </si>
  <si>
    <t>TM3.2</t>
  </si>
  <si>
    <t>TM3.3</t>
  </si>
  <si>
    <t>Unwanted emissions</t>
  </si>
  <si>
    <t>Occupied Bandwidth (MHz)</t>
  </si>
  <si>
    <t>Operating Band unwanted emissions (dB)</t>
  </si>
  <si>
    <t>Transmitter Spurious emission (dB)</t>
  </si>
  <si>
    <t>Transmitter intermodulation</t>
  </si>
  <si>
    <t>Base Station Output Power PRAT (dBm)</t>
  </si>
  <si>
    <t>EVM - QPSK (%)</t>
  </si>
  <si>
    <t>EVM - 16QAM (%)</t>
  </si>
  <si>
    <t>EVM - 64QAM (%)</t>
  </si>
  <si>
    <t>EVM - 256QAM (%)</t>
  </si>
  <si>
    <t>Time alignment error (ns)</t>
  </si>
  <si>
    <t>Adjacent Channel Leakage power Ratio (dBc)</t>
  </si>
  <si>
    <t>TX4</t>
  </si>
  <si>
    <t>TX5</t>
  </si>
  <si>
    <t>TX6</t>
  </si>
  <si>
    <t>TX7</t>
  </si>
  <si>
    <t>TỔNG CÔNG TY CÔNG NGHIỆP CÔNG NGHỆ CAO VIETTEL</t>
  </si>
  <si>
    <t>Mã dự án:</t>
  </si>
  <si>
    <t>Tài liệu HDĐK:</t>
  </si>
  <si>
    <t>PHIẾU ĐO KIỂM</t>
  </si>
  <si>
    <t xml:space="preserve">Mã sản phẩm: </t>
  </si>
  <si>
    <t> SN xxxx</t>
  </si>
  <si>
    <t>Thông tin về máy đo, dụng cụ đo</t>
  </si>
  <si>
    <t>Thông tin điều kiện thực hiện</t>
  </si>
  <si>
    <t>STT</t>
  </si>
  <si>
    <t>ĐƠN VỊ</t>
  </si>
  <si>
    <t>GIÁ TRỊ YÊU CẦU</t>
  </si>
  <si>
    <t>GIÁ TRỊ ĐO ĐẠC</t>
  </si>
  <si>
    <t>ĐÁNH GIÁ</t>
  </si>
  <si>
    <t>GHI CHÚ</t>
  </si>
  <si>
    <t>Ngày...../....../.........</t>
  </si>
  <si>
    <t>NGƯỜI THỰC HIỆN</t>
  </si>
  <si>
    <t>NGƯỜI GIÁM SÁT</t>
  </si>
  <si>
    <t>II</t>
  </si>
  <si>
    <t>dBm</t>
  </si>
  <si>
    <t>dB</t>
  </si>
  <si>
    <t>us</t>
  </si>
  <si>
    <t>Hz</t>
  </si>
  <si>
    <t>%</t>
  </si>
  <si>
    <t>ns</t>
  </si>
  <si>
    <t>KHỐI 2 - TRUNG TÂM NGHIÊN CỨU THIẾT BỊ VÔ TUYẾN BĂNG RỘNG</t>
  </si>
  <si>
    <t>Mã mẫu:</t>
  </si>
  <si>
    <t>SPECS</t>
  </si>
  <si>
    <t>MIN</t>
  </si>
  <si>
    <t>MAX</t>
  </si>
  <si>
    <t>I</t>
  </si>
  <si>
    <t>1.10</t>
  </si>
  <si>
    <t xml:space="preserve">Môi trường: </t>
  </si>
  <si>
    <t>Nhiệt độ:</t>
  </si>
  <si>
    <t>Độ ẩm:</t>
  </si>
  <si>
    <t>VSA:</t>
  </si>
  <si>
    <t>VSG:</t>
  </si>
  <si>
    <t>RRU:</t>
  </si>
  <si>
    <t>ID. No.:</t>
  </si>
  <si>
    <t>Từ:</t>
  </si>
  <si>
    <t>Đến:</t>
  </si>
  <si>
    <t>Type:</t>
  </si>
  <si>
    <t>Hạn kiểm định:</t>
  </si>
  <si>
    <t>Phòng LAB</t>
  </si>
  <si>
    <t>Phòng Lab EnodeB, tầng 13, Tòa nhà Viettel Hòa Lạc</t>
  </si>
  <si>
    <t>2.1</t>
  </si>
  <si>
    <t>Reference sensitivity level</t>
  </si>
  <si>
    <t>1.2</t>
  </si>
  <si>
    <t>1.3</t>
  </si>
  <si>
    <t>1.4</t>
  </si>
  <si>
    <t>1.5</t>
  </si>
  <si>
    <t>1.6</t>
  </si>
  <si>
    <t>1.7</t>
  </si>
  <si>
    <t>1.8</t>
  </si>
  <si>
    <t>1.9</t>
  </si>
  <si>
    <t>1.11</t>
  </si>
  <si>
    <t>1.12</t>
  </si>
  <si>
    <t>TIÊU CHUẨN THAM CHIẾU</t>
  </si>
  <si>
    <t>S/N:</t>
  </si>
  <si>
    <t>FW Version:</t>
  </si>
  <si>
    <t>MHz</t>
  </si>
  <si>
    <t>8T8R</t>
  </si>
  <si>
    <t>FSV3030 , R&amp;S</t>
  </si>
  <si>
    <t>Xeon Gold</t>
  </si>
  <si>
    <t xml:space="preserve">
Transmitter OFF power (dBm/MHz)</t>
  </si>
  <si>
    <t>dBc</t>
  </si>
  <si>
    <t>Total power dynamic Range (dB)</t>
  </si>
  <si>
    <t>Frequency error
(Hz)</t>
  </si>
  <si>
    <t>dBm/ MHz</t>
  </si>
  <si>
    <t xml:space="preserve">TM2.0, 
TM2.0a,
TM3.1, TM3.1a, 
TM3.2,
TM3.3  </t>
  </si>
  <si>
    <t>1.6.1</t>
  </si>
  <si>
    <t>1.6.2</t>
  </si>
  <si>
    <t>1.6.3</t>
  </si>
  <si>
    <t>1.6.4</t>
  </si>
  <si>
    <t>TM1.1, 
TM1.2</t>
  </si>
  <si>
    <t xml:space="preserve">Conducted Transmitter Characteristics </t>
  </si>
  <si>
    <t>Conducted Receiver characteristics</t>
  </si>
  <si>
    <t>Địa điểm:</t>
  </si>
  <si>
    <t>Thời gian:</t>
  </si>
  <si>
    <t>MGX 5182B, Keysight</t>
  </si>
  <si>
    <t>THAM SỐ ĐO ĐẠC</t>
  </si>
  <si>
    <t>TM2.0a,
TM3.1a</t>
  </si>
  <si>
    <t>2.2</t>
  </si>
  <si>
    <t>Dynamic Range</t>
  </si>
  <si>
    <t>2.3</t>
  </si>
  <si>
    <t>Adjacent Chanel Selectivity</t>
  </si>
  <si>
    <t>2.4</t>
  </si>
  <si>
    <t>In-band blocking</t>
  </si>
  <si>
    <t>2.5</t>
  </si>
  <si>
    <t>Narrow-band blocking</t>
  </si>
  <si>
    <t>2.6</t>
  </si>
  <si>
    <t>Out-of-band blocking</t>
  </si>
  <si>
    <t>2.7</t>
  </si>
  <si>
    <t>Receiver spurious emissions</t>
  </si>
  <si>
    <t>2.8</t>
  </si>
  <si>
    <t>General receiver intermodulation</t>
  </si>
  <si>
    <t>2.9</t>
  </si>
  <si>
    <t>Narrowband receiver intermodulation</t>
  </si>
  <si>
    <t>2.10</t>
  </si>
  <si>
    <t>In-channel selectivity</t>
  </si>
  <si>
    <t>TRX:</t>
  </si>
  <si>
    <t>FIL:</t>
  </si>
  <si>
    <t>BBU:</t>
  </si>
  <si>
    <t>DELL EMC R740</t>
  </si>
  <si>
    <t>MY57300543</t>
  </si>
  <si>
    <t>16/06/2023</t>
  </si>
  <si>
    <t>Adjacent Channel Leakage power Ratio</t>
  </si>
  <si>
    <t>Tổng thời gian:</t>
  </si>
  <si>
    <t>TX8</t>
  </si>
  <si>
    <t>RX1</t>
  </si>
  <si>
    <t>RX2</t>
  </si>
  <si>
    <t>RX3</t>
  </si>
  <si>
    <t>RX4</t>
  </si>
  <si>
    <t>RX5</t>
  </si>
  <si>
    <t>RX6</t>
  </si>
  <si>
    <t>RX7</t>
  </si>
  <si>
    <t>RX8</t>
  </si>
  <si>
    <t>TS 38.141 / Chapter 6.2: Base station output power</t>
  </si>
  <si>
    <t>TS 38.141 / Chapter 6.3.3: Total power dynamic range / 30 kHz SCS</t>
  </si>
  <si>
    <t>TS 38.141 / Chapter 6.4.1: Transmitter OFF power/ 6.4.1.3</t>
  </si>
  <si>
    <t>TS 38.141 / Chapter 6.4.2: Transmitter transient period/ 6.4.2.2</t>
  </si>
  <si>
    <t>TS 38.141 / Chapter 6.5.1: Frequency error/ Table 6.5.1.2-1</t>
  </si>
  <si>
    <t>TS 38.141 / Chapter 6.5.2: Modulation quality/ Table 6.5.2.2-1</t>
  </si>
  <si>
    <t>TS 38.141 / Chapter 6.5.3: Time alignment error/ 6.5.3.2</t>
  </si>
  <si>
    <t>TS 38.141 / Chapter 6.6.2: Occupied bandwidth</t>
  </si>
  <si>
    <t>TS 38.141 / Chapter 6.6.3: Adjacent Channel Leakage Power Ratio</t>
  </si>
  <si>
    <t>TS 38.141 / Chapter 6.6.4: Operating band unwanted emissions/Table 6.6.4.2.2.1-2</t>
  </si>
  <si>
    <t>TS 38.141 / Chapter 6.6.5: Transmitter spurious emissions/Table 6.6.5.2.1-2</t>
  </si>
  <si>
    <t>TS 38.141 / Chapter 6.7: Transmitter intermodulation/ 6.7.3.1</t>
  </si>
  <si>
    <t>TS 38.141 / Chapter 7.2: Reference sensitivity level / Table7.2.2-1</t>
  </si>
  <si>
    <t>TS 38.141-1 / Chapter 7.3: Dynamic Range / Table7.3.5-1</t>
  </si>
  <si>
    <t>TS 38.141-1 / Chapter 7.4.1: Adjacent Chanel Selectivity / Table7.4.5-1</t>
  </si>
  <si>
    <t>TS 38.141-1 / Chapter 7.2: Reference sensitivity level / Table7.2.2-1</t>
  </si>
  <si>
    <t>TS 38.141-1 / Chapter 7.4.2: In-band blocking / Table7.4.2.5-1</t>
  </si>
  <si>
    <t>TS 38.141-1 / Chapter 7.5: Out-of-band blocking / Table7.5.5.1-1</t>
  </si>
  <si>
    <t>TS 38.141-1 / Chapter 7.6: Receiver spurious emissions / Table7.6.5-1</t>
  </si>
  <si>
    <t>TS 38.141-1 / Chapter 7.7.1: General receiver intermodulation / Table7.7.1.5-1</t>
  </si>
  <si>
    <t>TS 38.141-1 / Chapter 7.7.2: Narrowband receiver intermodulation / Table7.7.2.5-1</t>
  </si>
  <si>
    <t>TS 38.141-1 / Chapter 7.8: Reference sensitivity leve / Table7.8.5-1</t>
  </si>
  <si>
    <t>MICRO/MACRO/AIO</t>
  </si>
  <si>
    <t>PA</t>
  </si>
  <si>
    <t>23.9</t>
  </si>
  <si>
    <t>-82.5</t>
  </si>
  <si>
    <t>2550</t>
  </si>
  <si>
    <t>100</t>
  </si>
  <si>
    <t>Frequency (MHz):</t>
  </si>
  <si>
    <t>Bandwidth (MHz):</t>
  </si>
  <si>
    <t>18.5</t>
  </si>
  <si>
    <t>13.5</t>
  </si>
  <si>
    <t>9</t>
  </si>
  <si>
    <t>4.5</t>
  </si>
  <si>
    <t>90</t>
  </si>
  <si>
    <t>43.8</t>
  </si>
  <si>
    <t>30 MHz - 1 GHz: -57dBm @100 kHz
1 GHz - 12.75 GHz: -47 dBm @1 Mhz
12.75 GHz - 5th Harmonic: -47 dBm @1 MHz</t>
  </si>
  <si>
    <t>A1-5</t>
  </si>
  <si>
    <t>A2-5</t>
  </si>
  <si>
    <t>9 kHz - 150 kHz: -36 dBm @1 kHz
150 kHz - 30 MHz: -36 dBm @10 kHz
30 MHz - 1 GHz: -36 dBm @100 kHz
1 GHz - 12.75 GHz: -30 dBm @1 MHz</t>
  </si>
  <si>
    <t>0 MHz ≤ Δf &lt; 5 MHz:  
5 MHz ≤ Δf ≤ min (10 MHz, Δfmax): 
-12.2 dBm
10 MHz ≤ Δf Δfmax:
-15 dBm</t>
  </si>
  <si>
    <t xml:space="preserve"> TM3.1a</t>
  </si>
  <si>
    <t>10</t>
  </si>
  <si>
    <t>0</t>
  </si>
  <si>
    <t>98.28</t>
  </si>
  <si>
    <t>-94.9</t>
  </si>
  <si>
    <t>-69.1</t>
  </si>
  <si>
    <t>-52</t>
  </si>
  <si>
    <t>-43</t>
  </si>
  <si>
    <t>-49</t>
  </si>
  <si>
    <t>-15</t>
  </si>
  <si>
    <t>-71.4</t>
  </si>
  <si>
    <t>46</t>
  </si>
  <si>
    <t>44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</si>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</sst>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13"/>
      <color rgb="FF000000"/>
      <name val="Calibri"/>
      <family val="2"/>
    </font>
    <font>
      <sz val="13"/>
      <color rgb="FF000000"/>
      <name val="Times New Roman"/>
      <family val="1"/>
    </font>
    <font>
      <sz val="13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sz val="13"/>
      <color rgb="FFFF0000"/>
      <name val="Calibri"/>
      <family val="2"/>
    </font>
    <font>
      <i/>
      <sz val="13"/>
      <color rgb="FF000000"/>
      <name val="Times New Roman"/>
      <family val="1"/>
    </font>
    <font>
      <sz val="16"/>
      <color rgb="FF000000"/>
      <name val="Times New Roman"/>
      <family val="1"/>
    </font>
    <font>
      <b/>
      <sz val="16"/>
      <color rgb="FF000000"/>
      <name val="Times New Roman"/>
      <family val="1"/>
    </font>
    <font>
      <sz val="13"/>
      <color rgb="FFFF0000"/>
      <name val="Times New Roman"/>
      <family val="1"/>
    </font>
    <font>
      <sz val="13"/>
      <name val="Times New Roman"/>
      <family val="1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4" fillId="0" borderId="0" applyFont="0" applyFill="0" applyBorder="0" applyAlignment="0" applyProtection="0"/>
  </cellStyleXfs>
  <cellXfs count="155">
    <xf numFmtId="0" fontId="0" fillId="0" borderId="0" xfId="0"/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vertical="center"/>
    </xf>
    <xf numFmtId="49" fontId="7" fillId="2" borderId="7" xfId="0" applyNumberFormat="1" applyFont="1" applyFill="1" applyBorder="1" applyAlignment="1">
      <alignment vertical="center"/>
    </xf>
    <xf numFmtId="49" fontId="5" fillId="2" borderId="12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right" vertical="center" wrapText="1"/>
    </xf>
    <xf numFmtId="49" fontId="6" fillId="0" borderId="1" xfId="0" applyNumberFormat="1" applyFont="1" applyBorder="1" applyAlignment="1">
      <alignment vertical="center" wrapText="1"/>
    </xf>
    <xf numFmtId="49" fontId="0" fillId="0" borderId="0" xfId="0" applyNumberFormat="1"/>
    <xf numFmtId="49" fontId="5" fillId="0" borderId="1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vertical="center"/>
    </xf>
    <xf numFmtId="49" fontId="1" fillId="0" borderId="0" xfId="0" applyNumberFormat="1" applyFont="1"/>
    <xf numFmtId="49" fontId="1" fillId="0" borderId="1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vertical="center"/>
    </xf>
    <xf numFmtId="49" fontId="9" fillId="0" borderId="7" xfId="0" applyNumberFormat="1" applyFont="1" applyBorder="1" applyAlignment="1">
      <alignment vertical="center"/>
    </xf>
    <xf numFmtId="49" fontId="9" fillId="0" borderId="7" xfId="0" applyNumberFormat="1" applyFont="1" applyBorder="1" applyAlignment="1">
      <alignment vertical="center" wrapText="1"/>
    </xf>
    <xf numFmtId="49" fontId="9" fillId="0" borderId="6" xfId="0" applyNumberFormat="1" applyFont="1" applyBorder="1" applyAlignment="1">
      <alignment vertical="center"/>
    </xf>
    <xf numFmtId="49" fontId="9" fillId="0" borderId="5" xfId="0" applyNumberFormat="1" applyFont="1" applyBorder="1" applyAlignment="1">
      <alignment horizontal="left" vertical="center"/>
    </xf>
    <xf numFmtId="49" fontId="9" fillId="0" borderId="7" xfId="0" applyNumberFormat="1" applyFont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2" borderId="12" xfId="0" applyNumberFormat="1" applyFont="1" applyFill="1" applyBorder="1" applyAlignment="1">
      <alignment horizontal="center" vertical="center" wrapText="1"/>
    </xf>
    <xf numFmtId="49" fontId="8" fillId="0" borderId="12" xfId="0" applyNumberFormat="1" applyFont="1" applyBorder="1" applyAlignment="1">
      <alignment vertical="center" wrapText="1"/>
    </xf>
    <xf numFmtId="49" fontId="5" fillId="2" borderId="12" xfId="0" applyNumberFormat="1" applyFont="1" applyFill="1" applyBorder="1" applyAlignment="1">
      <alignment vertical="center"/>
    </xf>
    <xf numFmtId="49" fontId="5" fillId="2" borderId="0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Border="1" applyAlignment="1">
      <alignment vertical="center" wrapText="1"/>
    </xf>
    <xf numFmtId="49" fontId="5" fillId="2" borderId="0" xfId="0" applyNumberFormat="1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2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/>
    <xf numFmtId="0" fontId="1" fillId="0" borderId="0" xfId="1" applyNumberFormat="1" applyFont="1"/>
    <xf numFmtId="2" fontId="1" fillId="0" borderId="0" xfId="0" applyNumberFormat="1" applyFont="1"/>
    <xf numFmtId="49" fontId="2" fillId="0" borderId="1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49" fontId="13" fillId="0" borderId="1" xfId="0" quotePrefix="1" applyNumberFormat="1" applyFont="1" applyBorder="1" applyAlignment="1">
      <alignment horizontal="center" vertical="center" wrapText="1"/>
    </xf>
    <xf numFmtId="49" fontId="12" fillId="0" borderId="1" xfId="0" quotePrefix="1" applyNumberFormat="1" applyFont="1" applyBorder="1" applyAlignment="1">
      <alignment horizontal="center" vertical="center" wrapText="1"/>
    </xf>
    <xf numFmtId="49" fontId="15" fillId="0" borderId="1" xfId="0" quotePrefix="1" applyNumberFormat="1" applyFont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7" fillId="2" borderId="7" xfId="0" applyNumberFormat="1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9" fillId="2" borderId="3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/>
    </xf>
    <xf numFmtId="0" fontId="17" fillId="0" borderId="0" xfId="0" applyFont="1"/>
    <xf numFmtId="49" fontId="17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5" fillId="2" borderId="8" xfId="0" quotePrefix="1" applyNumberFormat="1" applyFont="1" applyFill="1" applyBorder="1" applyAlignment="1">
      <alignment horizontal="left" vertical="center" wrapText="1"/>
    </xf>
    <xf numFmtId="49" fontId="5" fillId="2" borderId="12" xfId="0" applyNumberFormat="1" applyFont="1" applyFill="1" applyBorder="1" applyAlignment="1">
      <alignment horizontal="left" vertical="center"/>
    </xf>
    <xf numFmtId="49" fontId="5" fillId="2" borderId="9" xfId="0" applyNumberFormat="1" applyFont="1" applyFill="1" applyBorder="1" applyAlignment="1">
      <alignment horizontal="left" vertical="center"/>
    </xf>
    <xf numFmtId="49" fontId="5" fillId="2" borderId="14" xfId="0" applyNumberFormat="1" applyFont="1" applyFill="1" applyBorder="1" applyAlignment="1">
      <alignment horizontal="left" vertical="center"/>
    </xf>
    <xf numFmtId="49" fontId="5" fillId="2" borderId="0" xfId="0" applyNumberFormat="1" applyFont="1" applyFill="1" applyBorder="1" applyAlignment="1">
      <alignment horizontal="left" vertical="center"/>
    </xf>
    <xf numFmtId="49" fontId="5" fillId="2" borderId="15" xfId="0" applyNumberFormat="1" applyFont="1" applyFill="1" applyBorder="1" applyAlignment="1">
      <alignment horizontal="left" vertical="center"/>
    </xf>
    <xf numFmtId="49" fontId="5" fillId="2" borderId="10" xfId="0" applyNumberFormat="1" applyFont="1" applyFill="1" applyBorder="1" applyAlignment="1">
      <alignment horizontal="left" vertical="center"/>
    </xf>
    <xf numFmtId="49" fontId="5" fillId="2" borderId="13" xfId="0" applyNumberFormat="1" applyFont="1" applyFill="1" applyBorder="1" applyAlignment="1">
      <alignment horizontal="left" vertical="center"/>
    </xf>
    <xf numFmtId="49" fontId="5" fillId="2" borderId="11" xfId="0" applyNumberFormat="1" applyFont="1" applyFill="1" applyBorder="1" applyAlignment="1">
      <alignment horizontal="left" vertical="center"/>
    </xf>
    <xf numFmtId="49" fontId="5" fillId="2" borderId="8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 wrapText="1"/>
    </xf>
    <xf numFmtId="49" fontId="9" fillId="2" borderId="3" xfId="0" applyNumberFormat="1" applyFont="1" applyFill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13" fillId="0" borderId="8" xfId="0" applyNumberFormat="1" applyFont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center" vertical="center" wrapText="1"/>
    </xf>
    <xf numFmtId="49" fontId="13" fillId="0" borderId="14" xfId="0" applyNumberFormat="1" applyFont="1" applyBorder="1" applyAlignment="1">
      <alignment horizontal="center" vertical="center" wrapText="1"/>
    </xf>
    <xf numFmtId="49" fontId="13" fillId="0" borderId="0" xfId="0" applyNumberFormat="1" applyFont="1" applyBorder="1" applyAlignment="1">
      <alignment horizontal="center" vertical="center" wrapText="1"/>
    </xf>
    <xf numFmtId="49" fontId="13" fillId="0" borderId="15" xfId="0" applyNumberFormat="1" applyFont="1" applyBorder="1" applyAlignment="1">
      <alignment horizontal="center" vertical="center" wrapText="1"/>
    </xf>
    <xf numFmtId="49" fontId="13" fillId="0" borderId="10" xfId="0" applyNumberFormat="1" applyFont="1" applyBorder="1" applyAlignment="1">
      <alignment horizontal="center" vertical="center" wrapText="1"/>
    </xf>
    <xf numFmtId="49" fontId="13" fillId="0" borderId="13" xfId="0" applyNumberFormat="1" applyFont="1" applyBorder="1" applyAlignment="1">
      <alignment horizontal="center" vertical="center" wrapText="1"/>
    </xf>
    <xf numFmtId="49" fontId="13" fillId="0" borderId="11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9" fillId="2" borderId="9" xfId="0" applyNumberFormat="1" applyFont="1" applyFill="1" applyBorder="1" applyAlignment="1">
      <alignment horizontal="center" vertical="center" wrapText="1"/>
    </xf>
    <xf numFmtId="49" fontId="9" fillId="2" borderId="15" xfId="0" applyNumberFormat="1" applyFont="1" applyFill="1" applyBorder="1" applyAlignment="1">
      <alignment horizontal="center" vertical="center" wrapText="1"/>
    </xf>
    <xf numFmtId="49" fontId="9" fillId="2" borderId="11" xfId="0" applyNumberFormat="1" applyFont="1" applyFill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wrapText="1"/>
    </xf>
    <xf numFmtId="49" fontId="5" fillId="0" borderId="0" xfId="0" applyNumberFormat="1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center" vertical="center" wrapText="1"/>
    </xf>
    <xf numFmtId="49" fontId="5" fillId="2" borderId="14" xfId="0" applyNumberFormat="1" applyFont="1" applyFill="1" applyBorder="1" applyAlignment="1">
      <alignment horizontal="center" vertical="center" wrapText="1"/>
    </xf>
    <xf numFmtId="49" fontId="5" fillId="2" borderId="15" xfId="0" applyNumberFormat="1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 wrapText="1"/>
    </xf>
    <xf numFmtId="49" fontId="5" fillId="2" borderId="11" xfId="0" applyNumberFormat="1" applyFont="1" applyFill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7" fillId="2" borderId="8" xfId="0" applyNumberFormat="1" applyFont="1" applyFill="1" applyBorder="1" applyAlignment="1">
      <alignment horizontal="center" vertical="center" wrapText="1"/>
    </xf>
    <xf numFmtId="49" fontId="7" fillId="2" borderId="12" xfId="0" applyNumberFormat="1" applyFont="1" applyFill="1" applyBorder="1" applyAlignment="1">
      <alignment horizontal="center" vertical="center" wrapText="1"/>
    </xf>
    <xf numFmtId="49" fontId="7" fillId="2" borderId="9" xfId="0" applyNumberFormat="1" applyFont="1" applyFill="1" applyBorder="1" applyAlignment="1">
      <alignment horizontal="center" vertical="center" wrapText="1"/>
    </xf>
    <xf numFmtId="49" fontId="7" fillId="2" borderId="10" xfId="0" applyNumberFormat="1" applyFont="1" applyFill="1" applyBorder="1" applyAlignment="1">
      <alignment horizontal="center" vertical="center" wrapText="1"/>
    </xf>
    <xf numFmtId="49" fontId="7" fillId="2" borderId="13" xfId="0" applyNumberFormat="1" applyFont="1" applyFill="1" applyBorder="1" applyAlignment="1">
      <alignment horizontal="center" vertical="center" wrapText="1"/>
    </xf>
    <xf numFmtId="49" fontId="7" fillId="2" borderId="11" xfId="0" applyNumberFormat="1" applyFont="1" applyFill="1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horizontal="center" vertical="center" wrapText="1"/>
    </xf>
    <xf numFmtId="49" fontId="7" fillId="2" borderId="7" xfId="0" applyNumberFormat="1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1" fillId="0" borderId="1" xfId="0" quotePrefix="1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4" fillId="0" borderId="8" xfId="0" applyNumberFormat="1" applyFont="1" applyBorder="1" applyAlignment="1">
      <alignment vertical="top" wrapText="1"/>
    </xf>
    <xf numFmtId="49" fontId="4" fillId="0" borderId="12" xfId="0" applyNumberFormat="1" applyFont="1" applyBorder="1" applyAlignment="1">
      <alignment vertical="top" wrapText="1"/>
    </xf>
    <xf numFmtId="49" fontId="4" fillId="0" borderId="9" xfId="0" applyNumberFormat="1" applyFont="1" applyBorder="1" applyAlignment="1">
      <alignment vertical="top" wrapText="1"/>
    </xf>
    <xf numFmtId="49" fontId="4" fillId="0" borderId="14" xfId="0" applyNumberFormat="1" applyFont="1" applyBorder="1" applyAlignment="1">
      <alignment vertical="top" wrapText="1"/>
    </xf>
    <xf numFmtId="49" fontId="4" fillId="0" borderId="0" xfId="0" applyNumberFormat="1" applyFont="1" applyBorder="1" applyAlignment="1">
      <alignment vertical="top" wrapText="1"/>
    </xf>
    <xf numFmtId="49" fontId="4" fillId="0" borderId="15" xfId="0" applyNumberFormat="1" applyFont="1" applyBorder="1" applyAlignment="1">
      <alignment vertical="top" wrapText="1"/>
    </xf>
    <xf numFmtId="49" fontId="4" fillId="0" borderId="10" xfId="0" applyNumberFormat="1" applyFont="1" applyBorder="1" applyAlignment="1">
      <alignment vertical="top" wrapText="1"/>
    </xf>
    <xf numFmtId="49" fontId="4" fillId="0" borderId="13" xfId="0" applyNumberFormat="1" applyFont="1" applyBorder="1" applyAlignment="1">
      <alignment vertical="top" wrapText="1"/>
    </xf>
    <xf numFmtId="49" fontId="4" fillId="0" borderId="11" xfId="0" applyNumberFormat="1" applyFont="1" applyBorder="1" applyAlignment="1">
      <alignment vertical="top" wrapText="1"/>
    </xf>
    <xf numFmtId="49" fontId="10" fillId="0" borderId="5" xfId="0" applyNumberFormat="1" applyFont="1" applyBorder="1" applyAlignment="1">
      <alignment horizontal="center" vertical="center" wrapText="1"/>
    </xf>
    <xf numFmtId="49" fontId="10" fillId="0" borderId="7" xfId="0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center" vertical="center" wrapText="1"/>
    </xf>
    <xf numFmtId="49" fontId="11" fillId="0" borderId="5" xfId="0" applyNumberFormat="1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20"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103946</xdr:colOff>
      <xdr:row>0</xdr:row>
      <xdr:rowOff>65433</xdr:rowOff>
    </xdr:from>
    <xdr:to>
      <xdr:col>3</xdr:col>
      <xdr:colOff>1759742</xdr:colOff>
      <xdr:row>3</xdr:row>
      <xdr:rowOff>339587</xdr:rowOff>
    </xdr:to>
    <xdr:pic>
      <xdr:nvPicPr>
        <xdr:cNvPr id="2" name="Picture 1" descr="Viettel_Logo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46" y="65433"/>
          <a:ext cx="2836896" cy="1417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78441</xdr:colOff>
      <xdr:row>133</xdr:row>
      <xdr:rowOff>190499</xdr:rowOff>
    </xdr:from>
    <xdr:to>
      <xdr:col>8</xdr:col>
      <xdr:colOff>348853</xdr:colOff>
      <xdr:row>134</xdr:row>
      <xdr:rowOff>280148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5484675"/>
          <a:ext cx="1984912" cy="470649"/>
        </a:xfrm>
        <a:prstGeom prst="rect">
          <a:avLst/>
        </a:prstGeom>
      </xdr:spPr>
    </xdr:pic>
    <xdr:clientData/>
  </xdr:twoCellAnchor>
  <xdr:oneCellAnchor>
    <xdr:from>
      <xdr:col>6</xdr:col>
      <xdr:colOff>78441</xdr:colOff>
      <xdr:row>157</xdr:row>
      <xdr:rowOff>190499</xdr:rowOff>
    </xdr:from>
    <xdr:ext cx="1984912" cy="470649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5484675"/>
          <a:ext cx="1984912" cy="4706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62"/>
  <sheetViews>
    <sheetView tabSelected="1" view="pageBreakPreview" topLeftCell="A16" zoomScale="85" zoomScaleNormal="70" zoomScaleSheetLayoutView="85" zoomScalePageLayoutView="70" workbookViewId="0">
      <selection activeCell="G67" sqref="A67:XFD67"/>
    </sheetView>
  </sheetViews>
  <sheetFormatPr defaultColWidth="9.140625" defaultRowHeight="15" x14ac:dyDescent="0.25"/>
  <cols>
    <col min="1" max="1" width="8.85546875" style="8" customWidth="1"/>
    <col min="2" max="2" width="7.5703125" style="8" customWidth="1"/>
    <col min="3" max="3" width="9.28515625" style="8" customWidth="1"/>
    <col min="4" max="4" width="21" style="8" customWidth="1"/>
    <col min="5" max="5" width="15.5703125" style="8" customWidth="1"/>
    <col min="6" max="6" width="10.7109375" style="8" customWidth="1"/>
    <col min="7" max="7" width="12.7109375" style="8" customWidth="1"/>
    <col min="8" max="8" width="13" style="8" customWidth="1"/>
    <col min="9" max="9" width="13.42578125" style="8" customWidth="1"/>
    <col min="10" max="10" width="5.5703125" style="8" bestFit="1" customWidth="1"/>
    <col min="11" max="11" width="15.5703125" style="8" bestFit="1" customWidth="1"/>
    <col min="12" max="12" width="24.7109375" style="8" customWidth="1"/>
    <col min="13" max="13" width="21.42578125" style="8" customWidth="1"/>
    <col min="14" max="14" width="30" style="8" customWidth="1"/>
    <col min="15" max="24" width="9.140625" style="8"/>
    <col min="25" max="47" width="9.140625" style="29"/>
    <col min="48" max="16384" width="9.140625" style="8"/>
  </cols>
  <sheetData>
    <row r="1" spans="1:47" ht="30" customHeight="1" x14ac:dyDescent="0.25">
      <c r="A1" s="135"/>
      <c r="B1" s="136"/>
      <c r="C1" s="136"/>
      <c r="D1" s="137"/>
      <c r="E1" s="144" t="s">
        <v>30</v>
      </c>
      <c r="F1" s="145"/>
      <c r="G1" s="145"/>
      <c r="H1" s="145"/>
      <c r="I1" s="145"/>
      <c r="J1" s="145"/>
      <c r="K1" s="145"/>
      <c r="L1" s="146"/>
      <c r="M1" s="6" t="s">
        <v>31</v>
      </c>
      <c r="N1" s="7"/>
    </row>
    <row r="2" spans="1:47" ht="30" customHeight="1" x14ac:dyDescent="0.25">
      <c r="A2" s="138"/>
      <c r="B2" s="139"/>
      <c r="C2" s="139"/>
      <c r="D2" s="140"/>
      <c r="E2" s="147" t="s">
        <v>54</v>
      </c>
      <c r="F2" s="148"/>
      <c r="G2" s="148"/>
      <c r="H2" s="148"/>
      <c r="I2" s="148"/>
      <c r="J2" s="148"/>
      <c r="K2" s="148"/>
      <c r="L2" s="149"/>
      <c r="M2" s="6" t="s">
        <v>32</v>
      </c>
      <c r="N2" s="9"/>
    </row>
    <row r="3" spans="1:47" ht="30" customHeight="1" x14ac:dyDescent="0.25">
      <c r="A3" s="138"/>
      <c r="B3" s="139"/>
      <c r="C3" s="139"/>
      <c r="D3" s="140"/>
      <c r="E3" s="147"/>
      <c r="F3" s="148"/>
      <c r="G3" s="148"/>
      <c r="H3" s="148"/>
      <c r="I3" s="148"/>
      <c r="J3" s="148"/>
      <c r="K3" s="148"/>
      <c r="L3" s="149"/>
      <c r="M3" s="6" t="s">
        <v>34</v>
      </c>
      <c r="N3" s="9" t="s">
        <v>35</v>
      </c>
    </row>
    <row r="4" spans="1:47" ht="30" customHeight="1" x14ac:dyDescent="0.25">
      <c r="A4" s="141"/>
      <c r="B4" s="142"/>
      <c r="C4" s="142"/>
      <c r="D4" s="143"/>
      <c r="E4" s="147" t="s">
        <v>33</v>
      </c>
      <c r="F4" s="148"/>
      <c r="G4" s="148"/>
      <c r="H4" s="148"/>
      <c r="I4" s="148"/>
      <c r="J4" s="148"/>
      <c r="K4" s="148"/>
      <c r="L4" s="149"/>
      <c r="M4" s="6" t="s">
        <v>55</v>
      </c>
      <c r="N4" s="10" t="s">
        <v>90</v>
      </c>
    </row>
    <row r="5" spans="1:47" ht="33" customHeight="1" x14ac:dyDescent="0.25">
      <c r="A5" s="121" t="s">
        <v>36</v>
      </c>
      <c r="B5" s="121"/>
      <c r="C5" s="121"/>
      <c r="D5" s="121"/>
      <c r="E5" s="42" t="s">
        <v>64</v>
      </c>
      <c r="F5" s="150" t="s">
        <v>91</v>
      </c>
      <c r="G5" s="150"/>
      <c r="H5" s="150"/>
      <c r="I5" s="42" t="s">
        <v>87</v>
      </c>
      <c r="J5" s="150"/>
      <c r="K5" s="150"/>
      <c r="L5" s="42" t="s">
        <v>71</v>
      </c>
      <c r="M5" s="41"/>
      <c r="N5" s="45"/>
    </row>
    <row r="6" spans="1:47" ht="24.95" customHeight="1" x14ac:dyDescent="0.25">
      <c r="A6" s="121"/>
      <c r="B6" s="121"/>
      <c r="C6" s="121"/>
      <c r="D6" s="121"/>
      <c r="E6" s="42" t="s">
        <v>65</v>
      </c>
      <c r="F6" s="150" t="s">
        <v>108</v>
      </c>
      <c r="G6" s="150"/>
      <c r="H6" s="150"/>
      <c r="I6" s="42" t="s">
        <v>87</v>
      </c>
      <c r="J6" s="150" t="s">
        <v>133</v>
      </c>
      <c r="K6" s="150"/>
      <c r="L6" s="42" t="s">
        <v>71</v>
      </c>
      <c r="M6" s="41" t="s">
        <v>134</v>
      </c>
      <c r="N6" s="45"/>
    </row>
    <row r="7" spans="1:47" ht="56.25" customHeight="1" x14ac:dyDescent="0.25">
      <c r="A7" s="121"/>
      <c r="B7" s="121"/>
      <c r="C7" s="121"/>
      <c r="D7" s="121"/>
      <c r="E7" s="42" t="s">
        <v>131</v>
      </c>
      <c r="F7" s="150" t="s">
        <v>132</v>
      </c>
      <c r="G7" s="150"/>
      <c r="H7" s="150"/>
      <c r="I7" s="42" t="s">
        <v>70</v>
      </c>
      <c r="J7" s="150" t="s">
        <v>92</v>
      </c>
      <c r="K7" s="150"/>
      <c r="L7" s="42" t="s">
        <v>88</v>
      </c>
      <c r="M7" s="41"/>
      <c r="N7" s="45"/>
    </row>
    <row r="8" spans="1:47" ht="24.95" customHeight="1" x14ac:dyDescent="0.25">
      <c r="A8" s="121"/>
      <c r="B8" s="121"/>
      <c r="C8" s="121"/>
      <c r="D8" s="121"/>
      <c r="E8" s="42" t="s">
        <v>66</v>
      </c>
      <c r="F8" s="150" t="s">
        <v>168</v>
      </c>
      <c r="G8" s="150"/>
      <c r="H8" s="150"/>
      <c r="I8" s="42" t="s">
        <v>67</v>
      </c>
      <c r="J8" s="150"/>
      <c r="K8" s="150"/>
      <c r="L8" s="42" t="s">
        <v>88</v>
      </c>
      <c r="M8" s="41"/>
      <c r="N8" s="45"/>
    </row>
    <row r="9" spans="1:47" ht="24.95" customHeight="1" x14ac:dyDescent="0.25">
      <c r="A9" s="121"/>
      <c r="B9" s="121"/>
      <c r="C9" s="121"/>
      <c r="D9" s="121"/>
      <c r="E9" s="42" t="s">
        <v>129</v>
      </c>
      <c r="F9" s="150"/>
      <c r="G9" s="150"/>
      <c r="H9" s="150"/>
      <c r="I9" s="42" t="s">
        <v>130</v>
      </c>
      <c r="J9" s="150"/>
      <c r="K9" s="150"/>
      <c r="L9" s="42" t="s">
        <v>169</v>
      </c>
      <c r="M9" s="41"/>
      <c r="N9" s="45"/>
    </row>
    <row r="10" spans="1:47" ht="24.95" customHeight="1" x14ac:dyDescent="0.25">
      <c r="A10" s="121" t="s">
        <v>37</v>
      </c>
      <c r="B10" s="121"/>
      <c r="C10" s="121"/>
      <c r="D10" s="121"/>
      <c r="E10" s="34" t="s">
        <v>106</v>
      </c>
      <c r="F10" s="134" t="s">
        <v>73</v>
      </c>
      <c r="G10" s="134"/>
      <c r="H10" s="134"/>
      <c r="I10" s="134"/>
      <c r="J10" s="134"/>
      <c r="K10" s="134"/>
      <c r="L10" s="134"/>
      <c r="M10" s="134"/>
      <c r="N10" s="134"/>
    </row>
    <row r="11" spans="1:47" ht="24.95" customHeight="1" x14ac:dyDescent="0.25">
      <c r="A11" s="121"/>
      <c r="B11" s="121"/>
      <c r="C11" s="121"/>
      <c r="D11" s="121"/>
      <c r="E11" s="34" t="s">
        <v>61</v>
      </c>
      <c r="F11" s="134" t="s">
        <v>72</v>
      </c>
      <c r="G11" s="134"/>
      <c r="H11" s="134"/>
      <c r="I11" s="122" t="s">
        <v>62</v>
      </c>
      <c r="J11" s="122"/>
      <c r="K11" s="45"/>
      <c r="L11" s="42" t="s">
        <v>63</v>
      </c>
      <c r="M11" s="45"/>
      <c r="N11" s="45"/>
    </row>
    <row r="12" spans="1:47" ht="24.95" customHeight="1" x14ac:dyDescent="0.25">
      <c r="A12" s="121"/>
      <c r="B12" s="121"/>
      <c r="C12" s="121"/>
      <c r="D12" s="121"/>
      <c r="E12" s="35" t="s">
        <v>107</v>
      </c>
      <c r="F12" s="9" t="s">
        <v>68</v>
      </c>
      <c r="G12" s="132"/>
      <c r="H12" s="132"/>
      <c r="I12" s="133" t="s">
        <v>69</v>
      </c>
      <c r="J12" s="133"/>
      <c r="K12" s="9"/>
      <c r="L12" s="38" t="s">
        <v>136</v>
      </c>
      <c r="M12" s="36"/>
      <c r="N12" s="37"/>
    </row>
    <row r="13" spans="1:47" s="11" customFormat="1" ht="30" customHeight="1" x14ac:dyDescent="0.25">
      <c r="A13" s="119" t="s">
        <v>38</v>
      </c>
      <c r="B13" s="123" t="s">
        <v>109</v>
      </c>
      <c r="C13" s="124"/>
      <c r="D13" s="125"/>
      <c r="E13" s="119" t="s">
        <v>39</v>
      </c>
      <c r="F13" s="129" t="s">
        <v>40</v>
      </c>
      <c r="G13" s="130"/>
      <c r="H13" s="130"/>
      <c r="I13" s="131"/>
      <c r="J13" s="123" t="s">
        <v>41</v>
      </c>
      <c r="K13" s="125"/>
      <c r="L13" s="119" t="s">
        <v>86</v>
      </c>
      <c r="M13" s="119" t="s">
        <v>42</v>
      </c>
      <c r="N13" s="119" t="s">
        <v>43</v>
      </c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</row>
    <row r="14" spans="1:47" s="11" customFormat="1" ht="30" customHeight="1" x14ac:dyDescent="0.25">
      <c r="A14" s="120"/>
      <c r="B14" s="126"/>
      <c r="C14" s="127"/>
      <c r="D14" s="128"/>
      <c r="E14" s="120"/>
      <c r="F14" s="1" t="s">
        <v>0</v>
      </c>
      <c r="G14" s="1" t="s">
        <v>56</v>
      </c>
      <c r="H14" s="1" t="s">
        <v>57</v>
      </c>
      <c r="I14" s="1" t="s">
        <v>58</v>
      </c>
      <c r="J14" s="126"/>
      <c r="K14" s="128"/>
      <c r="L14" s="120"/>
      <c r="M14" s="120"/>
      <c r="N14" s="120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</row>
    <row r="15" spans="1:47" s="11" customFormat="1" ht="45" customHeight="1" x14ac:dyDescent="0.25">
      <c r="A15" s="53" t="s">
        <v>59</v>
      </c>
      <c r="B15" s="152" t="s">
        <v>104</v>
      </c>
      <c r="C15" s="152"/>
      <c r="D15" s="152"/>
      <c r="E15" s="152"/>
      <c r="F15" s="152"/>
      <c r="G15" s="153" t="s">
        <v>174</v>
      </c>
      <c r="H15" s="153"/>
      <c r="I15" s="153" t="s">
        <v>172</v>
      </c>
      <c r="J15" s="153"/>
      <c r="K15" s="153"/>
      <c r="L15" s="52" t="s">
        <v>175</v>
      </c>
      <c r="M15" s="52" t="s">
        <v>173</v>
      </c>
      <c r="N15" s="53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</row>
    <row r="16" spans="1:47" s="11" customFormat="1" ht="30" customHeight="1" x14ac:dyDescent="0.25">
      <c r="A16" s="66">
        <v>1.1000000000000001</v>
      </c>
      <c r="B16" s="54" t="s">
        <v>19</v>
      </c>
      <c r="C16" s="106"/>
      <c r="D16" s="55"/>
      <c r="E16" s="60" t="s">
        <v>48</v>
      </c>
      <c r="F16" s="63" t="s">
        <v>4</v>
      </c>
      <c r="G16" s="40" t="s">
        <v>198</v>
      </c>
      <c r="H16" s="40" t="s">
        <v>199</v>
      </c>
      <c r="I16" s="40" t="s">
        <v>200</v>
      </c>
      <c r="J16" s="40" t="s">
        <v>1</v>
      </c>
      <c r="K16" s="12"/>
      <c r="L16" s="80" t="s">
        <v>146</v>
      </c>
      <c r="M16" s="39"/>
      <c r="N16" s="39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</row>
    <row r="17" spans="1:47" s="11" customFormat="1" ht="30" customHeight="1" x14ac:dyDescent="0.25">
      <c r="A17" s="67"/>
      <c r="B17" s="56"/>
      <c r="C17" s="107"/>
      <c r="D17" s="57"/>
      <c r="E17" s="61"/>
      <c r="F17" s="64"/>
      <c r="G17" s="40" t="str">
        <f>G16</f>
        <v>46</v>
      </c>
      <c r="H17" s="40" t="str">
        <f>H16</f>
        <v>44</v>
      </c>
      <c r="I17" s="40" t="str">
        <f>I16</f>
        <v>48</v>
      </c>
      <c r="J17" s="40" t="s">
        <v>2</v>
      </c>
      <c r="K17" s="12"/>
      <c r="L17" s="81"/>
      <c r="M17" s="39"/>
      <c r="N17" s="39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</row>
    <row r="18" spans="1:47" s="11" customFormat="1" ht="30" customHeight="1" x14ac:dyDescent="0.25">
      <c r="A18" s="67"/>
      <c r="B18" s="56"/>
      <c r="C18" s="107"/>
      <c r="D18" s="57"/>
      <c r="E18" s="61"/>
      <c r="F18" s="64"/>
      <c r="G18" s="40" t="str">
        <f>G16</f>
        <v>46</v>
      </c>
      <c r="H18" s="40" t="str">
        <f>H16</f>
        <v>44</v>
      </c>
      <c r="I18" s="40" t="str">
        <f>I16</f>
        <v>48</v>
      </c>
      <c r="J18" s="40" t="s">
        <v>3</v>
      </c>
      <c r="K18" s="12"/>
      <c r="L18" s="81"/>
      <c r="M18" s="39"/>
      <c r="N18" s="39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</row>
    <row r="19" spans="1:47" s="11" customFormat="1" ht="30" customHeight="1" x14ac:dyDescent="0.25">
      <c r="A19" s="67"/>
      <c r="B19" s="56"/>
      <c r="C19" s="107"/>
      <c r="D19" s="57"/>
      <c r="E19" s="61"/>
      <c r="F19" s="64"/>
      <c r="G19" s="40" t="str">
        <f>G16</f>
        <v>46</v>
      </c>
      <c r="H19" s="40" t="str">
        <f>H16</f>
        <v>44</v>
      </c>
      <c r="I19" s="40" t="str">
        <f>I16</f>
        <v>48</v>
      </c>
      <c r="J19" s="40" t="s">
        <v>26</v>
      </c>
      <c r="K19" s="12"/>
      <c r="L19" s="81"/>
      <c r="M19" s="39"/>
      <c r="N19" s="39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</row>
    <row r="20" spans="1:47" s="11" customFormat="1" ht="30" customHeight="1" x14ac:dyDescent="0.25">
      <c r="A20" s="67"/>
      <c r="B20" s="56"/>
      <c r="C20" s="107"/>
      <c r="D20" s="57"/>
      <c r="E20" s="61"/>
      <c r="F20" s="64"/>
      <c r="G20" s="40" t="str">
        <f>G16</f>
        <v>46</v>
      </c>
      <c r="H20" s="40" t="str">
        <f>H16</f>
        <v>44</v>
      </c>
      <c r="I20" s="40" t="str">
        <f>I16</f>
        <v>48</v>
      </c>
      <c r="J20" s="40" t="s">
        <v>27</v>
      </c>
      <c r="K20" s="12"/>
      <c r="L20" s="81"/>
      <c r="M20" s="39"/>
      <c r="N20" s="39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</row>
    <row r="21" spans="1:47" s="11" customFormat="1" ht="30" customHeight="1" x14ac:dyDescent="0.25">
      <c r="A21" s="67"/>
      <c r="B21" s="56"/>
      <c r="C21" s="107"/>
      <c r="D21" s="57"/>
      <c r="E21" s="61"/>
      <c r="F21" s="64"/>
      <c r="G21" s="40" t="str">
        <f>G16</f>
        <v>46</v>
      </c>
      <c r="H21" s="40" t="str">
        <f>H16</f>
        <v>44</v>
      </c>
      <c r="I21" s="40" t="str">
        <f>I16</f>
        <v>48</v>
      </c>
      <c r="J21" s="40" t="s">
        <v>28</v>
      </c>
      <c r="K21" s="12"/>
      <c r="L21" s="81"/>
      <c r="M21" s="39"/>
      <c r="N21" s="39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</row>
    <row r="22" spans="1:47" s="11" customFormat="1" ht="30" customHeight="1" x14ac:dyDescent="0.25">
      <c r="A22" s="67"/>
      <c r="B22" s="56"/>
      <c r="C22" s="107"/>
      <c r="D22" s="57"/>
      <c r="E22" s="61"/>
      <c r="F22" s="64"/>
      <c r="G22" s="40" t="str">
        <f>G16</f>
        <v>46</v>
      </c>
      <c r="H22" s="40" t="str">
        <f>H16</f>
        <v>44</v>
      </c>
      <c r="I22" s="40" t="str">
        <f>I16</f>
        <v>48</v>
      </c>
      <c r="J22" s="40" t="s">
        <v>29</v>
      </c>
      <c r="K22" s="12"/>
      <c r="L22" s="81"/>
      <c r="M22" s="39"/>
      <c r="N22" s="39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</row>
    <row r="23" spans="1:47" s="11" customFormat="1" ht="30" customHeight="1" x14ac:dyDescent="0.25">
      <c r="A23" s="68"/>
      <c r="B23" s="58"/>
      <c r="C23" s="108"/>
      <c r="D23" s="59"/>
      <c r="E23" s="62"/>
      <c r="F23" s="65"/>
      <c r="G23" s="40" t="str">
        <f>G16</f>
        <v>46</v>
      </c>
      <c r="H23" s="40" t="str">
        <f>H16</f>
        <v>44</v>
      </c>
      <c r="I23" s="40" t="str">
        <f>I16</f>
        <v>48</v>
      </c>
      <c r="J23" s="40" t="s">
        <v>137</v>
      </c>
      <c r="K23" s="12"/>
      <c r="L23" s="82"/>
      <c r="M23" s="39"/>
      <c r="N23" s="39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</row>
    <row r="24" spans="1:47" s="11" customFormat="1" ht="30" customHeight="1" x14ac:dyDescent="0.25">
      <c r="A24" s="39"/>
      <c r="B24" s="13" t="s">
        <v>5</v>
      </c>
      <c r="C24" s="14"/>
      <c r="D24" s="15"/>
      <c r="E24" s="117" t="str">
        <f>IF(OR(K24="",AND(H24="",I24="")),"",IF(OR(AND(K24&lt;&gt;"",I24&lt;&gt;"",K24&gt;I24),AND(K24&lt;&gt;"",H24&lt;&gt;"",K24&lt;H24)),"FAIL","PASS"))</f>
        <v/>
      </c>
      <c r="F24" s="117"/>
      <c r="G24" s="117"/>
      <c r="H24" s="117"/>
      <c r="I24" s="117"/>
      <c r="J24" s="117"/>
      <c r="K24" s="117"/>
      <c r="L24" s="117"/>
      <c r="M24" s="117"/>
      <c r="N24" s="118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</row>
    <row r="25" spans="1:47" s="11" customFormat="1" ht="30" customHeight="1" x14ac:dyDescent="0.25">
      <c r="A25" s="66" t="s">
        <v>76</v>
      </c>
      <c r="B25" s="54" t="s">
        <v>95</v>
      </c>
      <c r="C25" s="106"/>
      <c r="D25" s="55"/>
      <c r="E25" s="60" t="s">
        <v>49</v>
      </c>
      <c r="F25" s="63" t="s">
        <v>110</v>
      </c>
      <c r="G25" s="40" t="s">
        <v>170</v>
      </c>
      <c r="H25" s="40" t="str">
        <f>G25</f>
        <v>23.9</v>
      </c>
      <c r="I25" s="40"/>
      <c r="J25" s="40" t="s">
        <v>1</v>
      </c>
      <c r="K25" s="12"/>
      <c r="L25" s="80" t="s">
        <v>147</v>
      </c>
      <c r="M25" s="39"/>
      <c r="N25" s="39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</row>
    <row r="26" spans="1:47" s="11" customFormat="1" ht="30" customHeight="1" x14ac:dyDescent="0.25">
      <c r="A26" s="67"/>
      <c r="B26" s="56"/>
      <c r="C26" s="107"/>
      <c r="D26" s="57"/>
      <c r="E26" s="61"/>
      <c r="F26" s="64"/>
      <c r="G26" s="40" t="str">
        <f>G25</f>
        <v>23.9</v>
      </c>
      <c r="H26" s="40" t="str">
        <f>H25</f>
        <v>23.9</v>
      </c>
      <c r="I26" s="40"/>
      <c r="J26" s="40" t="s">
        <v>2</v>
      </c>
      <c r="K26" s="12"/>
      <c r="L26" s="81"/>
      <c r="M26" s="39"/>
      <c r="N26" s="39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</row>
    <row r="27" spans="1:47" s="11" customFormat="1" ht="30" customHeight="1" x14ac:dyDescent="0.25">
      <c r="A27" s="67"/>
      <c r="B27" s="56"/>
      <c r="C27" s="107"/>
      <c r="D27" s="57"/>
      <c r="E27" s="61"/>
      <c r="F27" s="64"/>
      <c r="G27" s="40" t="str">
        <f>G25</f>
        <v>23.9</v>
      </c>
      <c r="H27" s="40" t="str">
        <f>H25</f>
        <v>23.9</v>
      </c>
      <c r="I27" s="40"/>
      <c r="J27" s="40" t="s">
        <v>3</v>
      </c>
      <c r="K27" s="12"/>
      <c r="L27" s="81"/>
      <c r="M27" s="39"/>
      <c r="N27" s="39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</row>
    <row r="28" spans="1:47" s="11" customFormat="1" ht="30" customHeight="1" x14ac:dyDescent="0.25">
      <c r="A28" s="67"/>
      <c r="B28" s="56"/>
      <c r="C28" s="107"/>
      <c r="D28" s="57"/>
      <c r="E28" s="61"/>
      <c r="F28" s="64"/>
      <c r="G28" s="40" t="str">
        <f>G25</f>
        <v>23.9</v>
      </c>
      <c r="H28" s="40" t="str">
        <f>H25</f>
        <v>23.9</v>
      </c>
      <c r="I28" s="40"/>
      <c r="J28" s="40" t="s">
        <v>26</v>
      </c>
      <c r="K28" s="12"/>
      <c r="L28" s="81"/>
      <c r="M28" s="39"/>
      <c r="N28" s="39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</row>
    <row r="29" spans="1:47" s="11" customFormat="1" ht="30" customHeight="1" x14ac:dyDescent="0.25">
      <c r="A29" s="67"/>
      <c r="B29" s="56"/>
      <c r="C29" s="107"/>
      <c r="D29" s="57"/>
      <c r="E29" s="61"/>
      <c r="F29" s="64"/>
      <c r="G29" s="40" t="str">
        <f>G25</f>
        <v>23.9</v>
      </c>
      <c r="H29" s="40" t="str">
        <f>H25</f>
        <v>23.9</v>
      </c>
      <c r="I29" s="40"/>
      <c r="J29" s="40" t="s">
        <v>27</v>
      </c>
      <c r="K29" s="12"/>
      <c r="L29" s="81"/>
      <c r="M29" s="39"/>
      <c r="N29" s="39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</row>
    <row r="30" spans="1:47" s="11" customFormat="1" ht="30" customHeight="1" x14ac:dyDescent="0.25">
      <c r="A30" s="67"/>
      <c r="B30" s="56"/>
      <c r="C30" s="107"/>
      <c r="D30" s="57"/>
      <c r="E30" s="61"/>
      <c r="F30" s="64"/>
      <c r="G30" s="40" t="str">
        <f>G25</f>
        <v>23.9</v>
      </c>
      <c r="H30" s="40" t="str">
        <f>H25</f>
        <v>23.9</v>
      </c>
      <c r="I30" s="40"/>
      <c r="J30" s="40" t="s">
        <v>28</v>
      </c>
      <c r="K30" s="12"/>
      <c r="L30" s="81"/>
      <c r="M30" s="39"/>
      <c r="N30" s="39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</row>
    <row r="31" spans="1:47" s="11" customFormat="1" ht="30" customHeight="1" x14ac:dyDescent="0.25">
      <c r="A31" s="67"/>
      <c r="B31" s="56"/>
      <c r="C31" s="107"/>
      <c r="D31" s="57"/>
      <c r="E31" s="61"/>
      <c r="F31" s="64"/>
      <c r="G31" s="40" t="str">
        <f>G25</f>
        <v>23.9</v>
      </c>
      <c r="H31" s="40" t="str">
        <f>H25</f>
        <v>23.9</v>
      </c>
      <c r="I31" s="40"/>
      <c r="J31" s="40" t="s">
        <v>29</v>
      </c>
      <c r="K31" s="12"/>
      <c r="L31" s="81"/>
      <c r="M31" s="39"/>
      <c r="N31" s="39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</row>
    <row r="32" spans="1:47" s="11" customFormat="1" ht="30" customHeight="1" x14ac:dyDescent="0.25">
      <c r="A32" s="68"/>
      <c r="B32" s="58"/>
      <c r="C32" s="108"/>
      <c r="D32" s="59"/>
      <c r="E32" s="62"/>
      <c r="F32" s="65"/>
      <c r="G32" s="40" t="str">
        <f>G25</f>
        <v>23.9</v>
      </c>
      <c r="H32" s="40" t="str">
        <f>H25</f>
        <v>23.9</v>
      </c>
      <c r="I32" s="40"/>
      <c r="J32" s="40" t="s">
        <v>137</v>
      </c>
      <c r="K32" s="12"/>
      <c r="L32" s="81"/>
      <c r="M32" s="39"/>
      <c r="N32" s="39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</row>
    <row r="33" spans="1:47" s="11" customFormat="1" ht="30" customHeight="1" x14ac:dyDescent="0.25">
      <c r="A33" s="39"/>
      <c r="B33" s="13" t="s">
        <v>9</v>
      </c>
      <c r="C33" s="14"/>
      <c r="D33" s="15"/>
      <c r="E33" s="115"/>
      <c r="F33" s="115"/>
      <c r="G33" s="115"/>
      <c r="H33" s="115"/>
      <c r="I33" s="115"/>
      <c r="J33" s="115"/>
      <c r="K33" s="115"/>
      <c r="L33" s="115"/>
      <c r="M33" s="115"/>
      <c r="N33" s="116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</row>
    <row r="34" spans="1:47" s="11" customFormat="1" ht="30" customHeight="1" x14ac:dyDescent="0.25">
      <c r="A34" s="66" t="s">
        <v>77</v>
      </c>
      <c r="B34" s="54" t="s">
        <v>93</v>
      </c>
      <c r="C34" s="106"/>
      <c r="D34" s="55"/>
      <c r="E34" s="66" t="s">
        <v>97</v>
      </c>
      <c r="F34" s="63" t="s">
        <v>4</v>
      </c>
      <c r="G34" s="40" t="s">
        <v>171</v>
      </c>
      <c r="H34" s="40"/>
      <c r="I34" s="40"/>
      <c r="J34" s="40" t="s">
        <v>1</v>
      </c>
      <c r="K34" s="12"/>
      <c r="L34" s="80" t="s">
        <v>148</v>
      </c>
      <c r="M34" s="39"/>
      <c r="N34" s="39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</row>
    <row r="35" spans="1:47" s="11" customFormat="1" ht="30" customHeight="1" x14ac:dyDescent="0.25">
      <c r="A35" s="67"/>
      <c r="B35" s="56"/>
      <c r="C35" s="107"/>
      <c r="D35" s="57"/>
      <c r="E35" s="67"/>
      <c r="F35" s="64"/>
      <c r="G35" s="40" t="str">
        <f>G34</f>
        <v>-82.5</v>
      </c>
      <c r="H35" s="40"/>
      <c r="I35" s="40"/>
      <c r="J35" s="40" t="s">
        <v>2</v>
      </c>
      <c r="K35" s="39"/>
      <c r="L35" s="81"/>
      <c r="M35" s="39"/>
      <c r="N35" s="39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</row>
    <row r="36" spans="1:47" s="11" customFormat="1" ht="30" customHeight="1" x14ac:dyDescent="0.25">
      <c r="A36" s="67"/>
      <c r="B36" s="56"/>
      <c r="C36" s="107"/>
      <c r="D36" s="57"/>
      <c r="E36" s="67"/>
      <c r="F36" s="64"/>
      <c r="G36" s="40" t="str">
        <f>G34</f>
        <v>-82.5</v>
      </c>
      <c r="H36" s="40"/>
      <c r="I36" s="40"/>
      <c r="J36" s="40" t="s">
        <v>3</v>
      </c>
      <c r="K36" s="39"/>
      <c r="L36" s="81"/>
      <c r="M36" s="39"/>
      <c r="N36" s="39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</row>
    <row r="37" spans="1:47" s="11" customFormat="1" ht="30" customHeight="1" x14ac:dyDescent="0.25">
      <c r="A37" s="67"/>
      <c r="B37" s="56"/>
      <c r="C37" s="107"/>
      <c r="D37" s="57"/>
      <c r="E37" s="67"/>
      <c r="F37" s="64"/>
      <c r="G37" s="40" t="str">
        <f>G34</f>
        <v>-82.5</v>
      </c>
      <c r="H37" s="40"/>
      <c r="I37" s="40"/>
      <c r="J37" s="40" t="s">
        <v>26</v>
      </c>
      <c r="K37" s="39"/>
      <c r="L37" s="81"/>
      <c r="M37" s="39"/>
      <c r="N37" s="39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</row>
    <row r="38" spans="1:47" s="11" customFormat="1" ht="30" customHeight="1" x14ac:dyDescent="0.25">
      <c r="A38" s="67"/>
      <c r="B38" s="56"/>
      <c r="C38" s="107"/>
      <c r="D38" s="57"/>
      <c r="E38" s="67"/>
      <c r="F38" s="64"/>
      <c r="G38" s="40" t="str">
        <f>G34</f>
        <v>-82.5</v>
      </c>
      <c r="H38" s="40"/>
      <c r="I38" s="40"/>
      <c r="J38" s="40" t="s">
        <v>27</v>
      </c>
      <c r="K38" s="39"/>
      <c r="L38" s="81"/>
      <c r="M38" s="39"/>
      <c r="N38" s="39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</row>
    <row r="39" spans="1:47" s="11" customFormat="1" ht="30" customHeight="1" x14ac:dyDescent="0.25">
      <c r="A39" s="67"/>
      <c r="B39" s="56"/>
      <c r="C39" s="107"/>
      <c r="D39" s="57"/>
      <c r="E39" s="67"/>
      <c r="F39" s="64"/>
      <c r="G39" s="40" t="str">
        <f>G34</f>
        <v>-82.5</v>
      </c>
      <c r="H39" s="40"/>
      <c r="I39" s="40"/>
      <c r="J39" s="40" t="s">
        <v>28</v>
      </c>
      <c r="K39" s="39"/>
      <c r="L39" s="81"/>
      <c r="M39" s="39"/>
      <c r="N39" s="39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</row>
    <row r="40" spans="1:47" s="11" customFormat="1" ht="30" customHeight="1" x14ac:dyDescent="0.25">
      <c r="A40" s="67"/>
      <c r="B40" s="56"/>
      <c r="C40" s="107"/>
      <c r="D40" s="57"/>
      <c r="E40" s="67"/>
      <c r="F40" s="64"/>
      <c r="G40" s="40" t="str">
        <f>G34</f>
        <v>-82.5</v>
      </c>
      <c r="H40" s="40"/>
      <c r="I40" s="40"/>
      <c r="J40" s="40" t="s">
        <v>29</v>
      </c>
      <c r="K40" s="39"/>
      <c r="L40" s="81"/>
      <c r="M40" s="39"/>
      <c r="N40" s="39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</row>
    <row r="41" spans="1:47" s="11" customFormat="1" ht="30" customHeight="1" x14ac:dyDescent="0.25">
      <c r="A41" s="68"/>
      <c r="B41" s="58"/>
      <c r="C41" s="108"/>
      <c r="D41" s="59"/>
      <c r="E41" s="68"/>
      <c r="F41" s="65"/>
      <c r="G41" s="40" t="str">
        <f>G34</f>
        <v>-82.5</v>
      </c>
      <c r="H41" s="40"/>
      <c r="I41" s="40"/>
      <c r="J41" s="40" t="s">
        <v>137</v>
      </c>
      <c r="K41" s="39"/>
      <c r="L41" s="82"/>
      <c r="M41" s="39"/>
      <c r="N41" s="39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</row>
    <row r="42" spans="1:47" s="11" customFormat="1" ht="30" customHeight="1" x14ac:dyDescent="0.25">
      <c r="A42" s="66" t="s">
        <v>78</v>
      </c>
      <c r="B42" s="54" t="s">
        <v>10</v>
      </c>
      <c r="C42" s="106"/>
      <c r="D42" s="55"/>
      <c r="E42" s="60" t="s">
        <v>50</v>
      </c>
      <c r="F42" s="63" t="s">
        <v>4</v>
      </c>
      <c r="G42" s="49" t="s">
        <v>188</v>
      </c>
      <c r="H42" s="40" t="s">
        <v>189</v>
      </c>
      <c r="I42" s="40"/>
      <c r="J42" s="40" t="s">
        <v>1</v>
      </c>
      <c r="K42" s="39"/>
      <c r="L42" s="80" t="s">
        <v>149</v>
      </c>
      <c r="M42" s="39"/>
      <c r="N42" s="39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</row>
    <row r="43" spans="1:47" s="11" customFormat="1" ht="30" customHeight="1" x14ac:dyDescent="0.25">
      <c r="A43" s="67"/>
      <c r="B43" s="56"/>
      <c r="C43" s="107"/>
      <c r="D43" s="57"/>
      <c r="E43" s="61"/>
      <c r="F43" s="64"/>
      <c r="G43" s="49" t="s">
        <v>188</v>
      </c>
      <c r="H43" s="40" t="s">
        <v>189</v>
      </c>
      <c r="I43" s="40"/>
      <c r="J43" s="40" t="s">
        <v>2</v>
      </c>
      <c r="K43" s="39"/>
      <c r="L43" s="81"/>
      <c r="M43" s="39"/>
      <c r="N43" s="39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</row>
    <row r="44" spans="1:47" s="11" customFormat="1" ht="30" customHeight="1" x14ac:dyDescent="0.25">
      <c r="A44" s="67"/>
      <c r="B44" s="56"/>
      <c r="C44" s="107"/>
      <c r="D44" s="57"/>
      <c r="E44" s="61"/>
      <c r="F44" s="64"/>
      <c r="G44" s="49" t="s">
        <v>188</v>
      </c>
      <c r="H44" s="40" t="s">
        <v>189</v>
      </c>
      <c r="I44" s="40"/>
      <c r="J44" s="40" t="s">
        <v>3</v>
      </c>
      <c r="K44" s="39"/>
      <c r="L44" s="81"/>
      <c r="M44" s="39"/>
      <c r="N44" s="39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</row>
    <row r="45" spans="1:47" s="11" customFormat="1" ht="30" customHeight="1" x14ac:dyDescent="0.25">
      <c r="A45" s="67"/>
      <c r="B45" s="56"/>
      <c r="C45" s="107"/>
      <c r="D45" s="57"/>
      <c r="E45" s="61"/>
      <c r="F45" s="64"/>
      <c r="G45" s="49" t="s">
        <v>188</v>
      </c>
      <c r="H45" s="40" t="s">
        <v>189</v>
      </c>
      <c r="I45" s="40"/>
      <c r="J45" s="40" t="s">
        <v>26</v>
      </c>
      <c r="K45" s="39"/>
      <c r="L45" s="81"/>
      <c r="M45" s="39"/>
      <c r="N45" s="39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</row>
    <row r="46" spans="1:47" s="11" customFormat="1" ht="30" customHeight="1" x14ac:dyDescent="0.25">
      <c r="A46" s="67"/>
      <c r="B46" s="56"/>
      <c r="C46" s="107"/>
      <c r="D46" s="57"/>
      <c r="E46" s="61"/>
      <c r="F46" s="64"/>
      <c r="G46" s="49" t="s">
        <v>188</v>
      </c>
      <c r="H46" s="40" t="s">
        <v>189</v>
      </c>
      <c r="I46" s="40"/>
      <c r="J46" s="40" t="s">
        <v>27</v>
      </c>
      <c r="K46" s="39"/>
      <c r="L46" s="81"/>
      <c r="M46" s="39"/>
      <c r="N46" s="39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</row>
    <row r="47" spans="1:47" s="11" customFormat="1" ht="30" customHeight="1" x14ac:dyDescent="0.25">
      <c r="A47" s="67"/>
      <c r="B47" s="56"/>
      <c r="C47" s="107"/>
      <c r="D47" s="57"/>
      <c r="E47" s="61"/>
      <c r="F47" s="64"/>
      <c r="G47" s="49" t="s">
        <v>188</v>
      </c>
      <c r="H47" s="40" t="s">
        <v>189</v>
      </c>
      <c r="I47" s="40"/>
      <c r="J47" s="40" t="s">
        <v>28</v>
      </c>
      <c r="K47" s="39"/>
      <c r="L47" s="81"/>
      <c r="M47" s="39"/>
      <c r="N47" s="39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</row>
    <row r="48" spans="1:47" s="11" customFormat="1" ht="30" customHeight="1" x14ac:dyDescent="0.25">
      <c r="A48" s="67"/>
      <c r="B48" s="56"/>
      <c r="C48" s="107"/>
      <c r="D48" s="57"/>
      <c r="E48" s="61"/>
      <c r="F48" s="64"/>
      <c r="G48" s="49" t="s">
        <v>188</v>
      </c>
      <c r="H48" s="40" t="s">
        <v>189</v>
      </c>
      <c r="I48" s="40"/>
      <c r="J48" s="40" t="s">
        <v>29</v>
      </c>
      <c r="K48" s="39"/>
      <c r="L48" s="81"/>
      <c r="M48" s="39"/>
      <c r="N48" s="39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</row>
    <row r="49" spans="1:47" s="11" customFormat="1" ht="30" customHeight="1" x14ac:dyDescent="0.25">
      <c r="A49" s="68"/>
      <c r="B49" s="58"/>
      <c r="C49" s="108"/>
      <c r="D49" s="59"/>
      <c r="E49" s="62"/>
      <c r="F49" s="65"/>
      <c r="G49" s="49" t="s">
        <v>188</v>
      </c>
      <c r="H49" s="40" t="s">
        <v>189</v>
      </c>
      <c r="I49" s="40"/>
      <c r="J49" s="40" t="s">
        <v>137</v>
      </c>
      <c r="K49" s="39"/>
      <c r="L49" s="82"/>
      <c r="M49" s="39"/>
      <c r="N49" s="39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</row>
    <row r="50" spans="1:47" s="11" customFormat="1" ht="30" customHeight="1" x14ac:dyDescent="0.25">
      <c r="A50" s="39"/>
      <c r="B50" s="13" t="s">
        <v>11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6"/>
      <c r="Y50" s="31"/>
      <c r="Z50" s="32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</row>
    <row r="51" spans="1:47" s="11" customFormat="1" ht="30" customHeight="1" x14ac:dyDescent="0.25">
      <c r="A51" s="66" t="s">
        <v>79</v>
      </c>
      <c r="B51" s="54" t="s">
        <v>96</v>
      </c>
      <c r="C51" s="106"/>
      <c r="D51" s="55"/>
      <c r="E51" s="60" t="s">
        <v>51</v>
      </c>
      <c r="F51" s="63" t="s">
        <v>98</v>
      </c>
      <c r="G51" s="40">
        <f>$I$15*0.05-12</f>
        <v>115.5</v>
      </c>
      <c r="H51" s="40">
        <f>$I$15*0.05</f>
        <v>127.5</v>
      </c>
      <c r="I51" s="40">
        <f>$I$15*0.05+12</f>
        <v>139.5</v>
      </c>
      <c r="J51" s="40" t="s">
        <v>1</v>
      </c>
      <c r="K51" s="30"/>
      <c r="L51" s="80" t="s">
        <v>150</v>
      </c>
      <c r="M51" s="39"/>
      <c r="N51" s="39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</row>
    <row r="52" spans="1:47" s="11" customFormat="1" ht="30" customHeight="1" x14ac:dyDescent="0.25">
      <c r="A52" s="67"/>
      <c r="B52" s="56"/>
      <c r="C52" s="107"/>
      <c r="D52" s="57"/>
      <c r="E52" s="61"/>
      <c r="F52" s="64"/>
      <c r="G52" s="40">
        <f>G51</f>
        <v>115.5</v>
      </c>
      <c r="H52" s="40">
        <f>H51</f>
        <v>127.5</v>
      </c>
      <c r="I52" s="40">
        <f>I51</f>
        <v>139.5</v>
      </c>
      <c r="J52" s="40" t="s">
        <v>2</v>
      </c>
      <c r="K52" s="30"/>
      <c r="L52" s="81"/>
      <c r="M52" s="39"/>
      <c r="N52" s="39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</row>
    <row r="53" spans="1:47" s="11" customFormat="1" ht="30" customHeight="1" x14ac:dyDescent="0.25">
      <c r="A53" s="67"/>
      <c r="B53" s="56"/>
      <c r="C53" s="107"/>
      <c r="D53" s="57"/>
      <c r="E53" s="61"/>
      <c r="F53" s="64"/>
      <c r="G53" s="40">
        <f>G51</f>
        <v>115.5</v>
      </c>
      <c r="H53" s="40">
        <f>H51</f>
        <v>127.5</v>
      </c>
      <c r="I53" s="40">
        <f>I51</f>
        <v>139.5</v>
      </c>
      <c r="J53" s="40" t="s">
        <v>3</v>
      </c>
      <c r="K53" s="30"/>
      <c r="L53" s="81"/>
      <c r="M53" s="39"/>
      <c r="N53" s="39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</row>
    <row r="54" spans="1:47" s="11" customFormat="1" ht="30" customHeight="1" x14ac:dyDescent="0.25">
      <c r="A54" s="67"/>
      <c r="B54" s="56"/>
      <c r="C54" s="107"/>
      <c r="D54" s="57"/>
      <c r="E54" s="61"/>
      <c r="F54" s="64"/>
      <c r="G54" s="40">
        <f>G51</f>
        <v>115.5</v>
      </c>
      <c r="H54" s="40">
        <f>H51</f>
        <v>127.5</v>
      </c>
      <c r="I54" s="40">
        <f>I51</f>
        <v>139.5</v>
      </c>
      <c r="J54" s="40" t="s">
        <v>26</v>
      </c>
      <c r="K54" s="30"/>
      <c r="L54" s="81"/>
      <c r="M54" s="39"/>
      <c r="N54" s="39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</row>
    <row r="55" spans="1:47" s="11" customFormat="1" ht="30" customHeight="1" x14ac:dyDescent="0.25">
      <c r="A55" s="67"/>
      <c r="B55" s="56"/>
      <c r="C55" s="107"/>
      <c r="D55" s="57"/>
      <c r="E55" s="61"/>
      <c r="F55" s="64"/>
      <c r="G55" s="40">
        <f>G51</f>
        <v>115.5</v>
      </c>
      <c r="H55" s="40">
        <f>H51</f>
        <v>127.5</v>
      </c>
      <c r="I55" s="40">
        <f>I51</f>
        <v>139.5</v>
      </c>
      <c r="J55" s="40" t="s">
        <v>27</v>
      </c>
      <c r="K55" s="39"/>
      <c r="L55" s="81"/>
      <c r="M55" s="39"/>
      <c r="N55" s="39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</row>
    <row r="56" spans="1:47" s="11" customFormat="1" ht="30" customHeight="1" x14ac:dyDescent="0.25">
      <c r="A56" s="67"/>
      <c r="B56" s="56"/>
      <c r="C56" s="107"/>
      <c r="D56" s="57"/>
      <c r="E56" s="61"/>
      <c r="F56" s="64"/>
      <c r="G56" s="40">
        <f>G51</f>
        <v>115.5</v>
      </c>
      <c r="H56" s="40">
        <f>H51</f>
        <v>127.5</v>
      </c>
      <c r="I56" s="40">
        <f>I51</f>
        <v>139.5</v>
      </c>
      <c r="J56" s="40" t="s">
        <v>28</v>
      </c>
      <c r="K56" s="39"/>
      <c r="L56" s="81"/>
      <c r="M56" s="39"/>
      <c r="N56" s="39"/>
      <c r="Y56" s="31"/>
      <c r="Z56" s="33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</row>
    <row r="57" spans="1:47" s="11" customFormat="1" ht="30" customHeight="1" x14ac:dyDescent="0.25">
      <c r="A57" s="67"/>
      <c r="B57" s="56"/>
      <c r="C57" s="107"/>
      <c r="D57" s="57"/>
      <c r="E57" s="61"/>
      <c r="F57" s="64"/>
      <c r="G57" s="40">
        <f>G51</f>
        <v>115.5</v>
      </c>
      <c r="H57" s="40">
        <f>H51</f>
        <v>127.5</v>
      </c>
      <c r="I57" s="40">
        <f>I51</f>
        <v>139.5</v>
      </c>
      <c r="J57" s="40" t="s">
        <v>29</v>
      </c>
      <c r="K57" s="39"/>
      <c r="L57" s="81"/>
      <c r="M57" s="39"/>
      <c r="N57" s="39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</row>
    <row r="58" spans="1:47" s="11" customFormat="1" ht="30" customHeight="1" x14ac:dyDescent="0.25">
      <c r="A58" s="68"/>
      <c r="B58" s="58"/>
      <c r="C58" s="108"/>
      <c r="D58" s="59"/>
      <c r="E58" s="62"/>
      <c r="F58" s="65"/>
      <c r="G58" s="40">
        <f>G51</f>
        <v>115.5</v>
      </c>
      <c r="H58" s="40">
        <f>H51</f>
        <v>127.5</v>
      </c>
      <c r="I58" s="40">
        <f>I51</f>
        <v>139.5</v>
      </c>
      <c r="J58" s="40" t="s">
        <v>137</v>
      </c>
      <c r="K58" s="39"/>
      <c r="L58" s="81"/>
      <c r="M58" s="39"/>
      <c r="N58" s="39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</row>
    <row r="59" spans="1:47" s="11" customFormat="1" ht="30" customHeight="1" x14ac:dyDescent="0.25">
      <c r="A59" s="66" t="s">
        <v>80</v>
      </c>
      <c r="B59" s="66" t="s">
        <v>99</v>
      </c>
      <c r="C59" s="54" t="s">
        <v>20</v>
      </c>
      <c r="D59" s="55"/>
      <c r="E59" s="60" t="s">
        <v>52</v>
      </c>
      <c r="F59" s="63" t="s">
        <v>13</v>
      </c>
      <c r="G59" s="40" t="s">
        <v>176</v>
      </c>
      <c r="H59" s="40"/>
      <c r="I59" s="40" t="s">
        <v>176</v>
      </c>
      <c r="J59" s="40" t="s">
        <v>1</v>
      </c>
      <c r="K59" s="39"/>
      <c r="L59" s="80" t="s">
        <v>151</v>
      </c>
      <c r="M59" s="39"/>
      <c r="N59" s="39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</row>
    <row r="60" spans="1:47" s="11" customFormat="1" ht="30" customHeight="1" x14ac:dyDescent="0.25">
      <c r="A60" s="67"/>
      <c r="B60" s="67"/>
      <c r="C60" s="56"/>
      <c r="D60" s="57"/>
      <c r="E60" s="61"/>
      <c r="F60" s="64"/>
      <c r="G60" s="40" t="str">
        <f>G59</f>
        <v>18.5</v>
      </c>
      <c r="H60" s="40"/>
      <c r="I60" s="40" t="str">
        <f>I59</f>
        <v>18.5</v>
      </c>
      <c r="J60" s="40" t="s">
        <v>2</v>
      </c>
      <c r="K60" s="39"/>
      <c r="L60" s="81"/>
      <c r="M60" s="39"/>
      <c r="N60" s="39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</row>
    <row r="61" spans="1:47" s="11" customFormat="1" ht="30" customHeight="1" x14ac:dyDescent="0.25">
      <c r="A61" s="67"/>
      <c r="B61" s="67"/>
      <c r="C61" s="56"/>
      <c r="D61" s="57"/>
      <c r="E61" s="61"/>
      <c r="F61" s="64"/>
      <c r="G61" s="40" t="str">
        <f>G59</f>
        <v>18.5</v>
      </c>
      <c r="H61" s="40"/>
      <c r="I61" s="40" t="str">
        <f>I59</f>
        <v>18.5</v>
      </c>
      <c r="J61" s="40" t="s">
        <v>3</v>
      </c>
      <c r="K61" s="39"/>
      <c r="L61" s="81"/>
      <c r="M61" s="39"/>
      <c r="N61" s="39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</row>
    <row r="62" spans="1:47" s="11" customFormat="1" ht="30" customHeight="1" x14ac:dyDescent="0.25">
      <c r="A62" s="67"/>
      <c r="B62" s="67"/>
      <c r="C62" s="56"/>
      <c r="D62" s="57"/>
      <c r="E62" s="61"/>
      <c r="F62" s="64"/>
      <c r="G62" s="40" t="str">
        <f>G59</f>
        <v>18.5</v>
      </c>
      <c r="H62" s="40"/>
      <c r="I62" s="40" t="str">
        <f>I59</f>
        <v>18.5</v>
      </c>
      <c r="J62" s="40" t="s">
        <v>26</v>
      </c>
      <c r="K62" s="39"/>
      <c r="L62" s="81"/>
      <c r="M62" s="39"/>
      <c r="N62" s="39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</row>
    <row r="63" spans="1:47" s="11" customFormat="1" ht="30" customHeight="1" x14ac:dyDescent="0.25">
      <c r="A63" s="67"/>
      <c r="B63" s="67"/>
      <c r="C63" s="56"/>
      <c r="D63" s="57"/>
      <c r="E63" s="61"/>
      <c r="F63" s="64"/>
      <c r="G63" s="40" t="str">
        <f>G59</f>
        <v>18.5</v>
      </c>
      <c r="H63" s="40"/>
      <c r="I63" s="40" t="str">
        <f>I59</f>
        <v>18.5</v>
      </c>
      <c r="J63" s="40" t="s">
        <v>27</v>
      </c>
      <c r="K63" s="39"/>
      <c r="L63" s="81"/>
      <c r="M63" s="39"/>
      <c r="N63" s="39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</row>
    <row r="64" spans="1:47" s="11" customFormat="1" ht="30" customHeight="1" x14ac:dyDescent="0.25">
      <c r="A64" s="67"/>
      <c r="B64" s="67"/>
      <c r="C64" s="56"/>
      <c r="D64" s="57"/>
      <c r="E64" s="61"/>
      <c r="F64" s="64"/>
      <c r="G64" s="40" t="str">
        <f>G59</f>
        <v>18.5</v>
      </c>
      <c r="H64" s="40"/>
      <c r="I64" s="40" t="str">
        <f>I59</f>
        <v>18.5</v>
      </c>
      <c r="J64" s="40" t="s">
        <v>28</v>
      </c>
      <c r="K64" s="39"/>
      <c r="L64" s="81"/>
      <c r="M64" s="39"/>
      <c r="N64" s="39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</row>
    <row r="65" spans="1:47" s="11" customFormat="1" ht="30" customHeight="1" x14ac:dyDescent="0.25">
      <c r="A65" s="67"/>
      <c r="B65" s="67"/>
      <c r="C65" s="56"/>
      <c r="D65" s="57"/>
      <c r="E65" s="61"/>
      <c r="F65" s="64"/>
      <c r="G65" s="40" t="str">
        <f>G59</f>
        <v>18.5</v>
      </c>
      <c r="H65" s="40"/>
      <c r="I65" s="40" t="str">
        <f>I59</f>
        <v>18.5</v>
      </c>
      <c r="J65" s="40" t="s">
        <v>29</v>
      </c>
      <c r="K65" s="39"/>
      <c r="L65" s="81"/>
      <c r="M65" s="39"/>
      <c r="N65" s="39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</row>
    <row r="66" spans="1:47" s="11" customFormat="1" ht="30" customHeight="1" x14ac:dyDescent="0.25">
      <c r="A66" s="67"/>
      <c r="B66" s="68"/>
      <c r="C66" s="58"/>
      <c r="D66" s="59"/>
      <c r="E66" s="62"/>
      <c r="F66" s="65"/>
      <c r="G66" s="40" t="str">
        <f>G59</f>
        <v>18.5</v>
      </c>
      <c r="H66" s="40"/>
      <c r="I66" s="40" t="str">
        <f>I59</f>
        <v>18.5</v>
      </c>
      <c r="J66" s="40" t="s">
        <v>137</v>
      </c>
      <c r="K66" s="39"/>
      <c r="L66" s="81"/>
      <c r="M66" s="39"/>
      <c r="N66" s="39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</row>
    <row r="67" spans="1:47" s="11" customFormat="1" ht="30" customHeight="1" x14ac:dyDescent="0.25">
      <c r="A67" s="67"/>
      <c r="B67" s="66" t="s">
        <v>100</v>
      </c>
      <c r="C67" s="54" t="s">
        <v>21</v>
      </c>
      <c r="D67" s="55"/>
      <c r="E67" s="60" t="s">
        <v>52</v>
      </c>
      <c r="F67" s="63" t="s">
        <v>12</v>
      </c>
      <c r="G67" s="40" t="s">
        <v>177</v>
      </c>
      <c r="H67" s="40"/>
      <c r="I67" s="40" t="s">
        <v>177</v>
      </c>
      <c r="J67" s="40" t="s">
        <v>1</v>
      </c>
      <c r="K67" s="39"/>
      <c r="L67" s="81"/>
      <c r="M67" s="39"/>
      <c r="N67" s="39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</row>
    <row r="68" spans="1:47" s="11" customFormat="1" ht="30" customHeight="1" x14ac:dyDescent="0.25">
      <c r="A68" s="67"/>
      <c r="B68" s="67"/>
      <c r="C68" s="56"/>
      <c r="D68" s="57"/>
      <c r="E68" s="61"/>
      <c r="F68" s="64"/>
      <c r="G68" s="40" t="str">
        <f>G67</f>
        <v>13.5</v>
      </c>
      <c r="H68" s="40"/>
      <c r="I68" s="40" t="str">
        <f>I67</f>
        <v>13.5</v>
      </c>
      <c r="J68" s="40" t="s">
        <v>2</v>
      </c>
      <c r="K68" s="39"/>
      <c r="L68" s="81"/>
      <c r="M68" s="39"/>
      <c r="N68" s="39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</row>
    <row r="69" spans="1:47" s="11" customFormat="1" ht="30" customHeight="1" x14ac:dyDescent="0.25">
      <c r="A69" s="67"/>
      <c r="B69" s="67"/>
      <c r="C69" s="56"/>
      <c r="D69" s="57"/>
      <c r="E69" s="61"/>
      <c r="F69" s="64"/>
      <c r="G69" s="40" t="str">
        <f>G67</f>
        <v>13.5</v>
      </c>
      <c r="H69" s="40"/>
      <c r="I69" s="40" t="str">
        <f>I67</f>
        <v>13.5</v>
      </c>
      <c r="J69" s="40" t="s">
        <v>3</v>
      </c>
      <c r="K69" s="39"/>
      <c r="L69" s="81"/>
      <c r="M69" s="39"/>
      <c r="N69" s="39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</row>
    <row r="70" spans="1:47" s="11" customFormat="1" ht="30" customHeight="1" x14ac:dyDescent="0.25">
      <c r="A70" s="67"/>
      <c r="B70" s="67"/>
      <c r="C70" s="56"/>
      <c r="D70" s="57"/>
      <c r="E70" s="61"/>
      <c r="F70" s="64"/>
      <c r="G70" s="40" t="str">
        <f>G67</f>
        <v>13.5</v>
      </c>
      <c r="H70" s="40"/>
      <c r="I70" s="40" t="str">
        <f>I67</f>
        <v>13.5</v>
      </c>
      <c r="J70" s="40" t="s">
        <v>26</v>
      </c>
      <c r="K70" s="39"/>
      <c r="L70" s="81"/>
      <c r="M70" s="39"/>
      <c r="N70" s="39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</row>
    <row r="71" spans="1:47" s="11" customFormat="1" ht="30" customHeight="1" x14ac:dyDescent="0.25">
      <c r="A71" s="67"/>
      <c r="B71" s="67"/>
      <c r="C71" s="56"/>
      <c r="D71" s="57"/>
      <c r="E71" s="61"/>
      <c r="F71" s="64"/>
      <c r="G71" s="40" t="str">
        <f>G67</f>
        <v>13.5</v>
      </c>
      <c r="H71" s="40"/>
      <c r="I71" s="40" t="str">
        <f>I67</f>
        <v>13.5</v>
      </c>
      <c r="J71" s="40" t="s">
        <v>27</v>
      </c>
      <c r="K71" s="39"/>
      <c r="L71" s="81"/>
      <c r="M71" s="39"/>
      <c r="N71" s="39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</row>
    <row r="72" spans="1:47" s="11" customFormat="1" ht="30" customHeight="1" x14ac:dyDescent="0.25">
      <c r="A72" s="67"/>
      <c r="B72" s="67"/>
      <c r="C72" s="56"/>
      <c r="D72" s="57"/>
      <c r="E72" s="61"/>
      <c r="F72" s="64"/>
      <c r="G72" s="40" t="str">
        <f>G67</f>
        <v>13.5</v>
      </c>
      <c r="H72" s="40"/>
      <c r="I72" s="40" t="str">
        <f>I67</f>
        <v>13.5</v>
      </c>
      <c r="J72" s="40" t="s">
        <v>28</v>
      </c>
      <c r="K72" s="39"/>
      <c r="L72" s="81"/>
      <c r="M72" s="39"/>
      <c r="N72" s="39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</row>
    <row r="73" spans="1:47" s="11" customFormat="1" ht="30" customHeight="1" x14ac:dyDescent="0.25">
      <c r="A73" s="67"/>
      <c r="B73" s="67"/>
      <c r="C73" s="56"/>
      <c r="D73" s="57"/>
      <c r="E73" s="61"/>
      <c r="F73" s="64"/>
      <c r="G73" s="40" t="str">
        <f>G67</f>
        <v>13.5</v>
      </c>
      <c r="H73" s="40"/>
      <c r="I73" s="40" t="str">
        <f>I67</f>
        <v>13.5</v>
      </c>
      <c r="J73" s="40" t="s">
        <v>29</v>
      </c>
      <c r="K73" s="39"/>
      <c r="L73" s="81"/>
      <c r="M73" s="39"/>
      <c r="N73" s="39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</row>
    <row r="74" spans="1:47" s="11" customFormat="1" ht="30" customHeight="1" x14ac:dyDescent="0.25">
      <c r="A74" s="67"/>
      <c r="B74" s="68"/>
      <c r="C74" s="58"/>
      <c r="D74" s="59"/>
      <c r="E74" s="62"/>
      <c r="F74" s="65"/>
      <c r="G74" s="40" t="str">
        <f>G67</f>
        <v>13.5</v>
      </c>
      <c r="H74" s="40"/>
      <c r="I74" s="40" t="str">
        <f>I67</f>
        <v>13.5</v>
      </c>
      <c r="J74" s="40" t="s">
        <v>137</v>
      </c>
      <c r="K74" s="39"/>
      <c r="L74" s="81"/>
      <c r="M74" s="39"/>
      <c r="N74" s="39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</row>
    <row r="75" spans="1:47" s="11" customFormat="1" ht="30" customHeight="1" x14ac:dyDescent="0.25">
      <c r="A75" s="67"/>
      <c r="B75" s="66" t="s">
        <v>101</v>
      </c>
      <c r="C75" s="54" t="s">
        <v>22</v>
      </c>
      <c r="D75" s="55"/>
      <c r="E75" s="60" t="s">
        <v>52</v>
      </c>
      <c r="F75" s="63" t="s">
        <v>6</v>
      </c>
      <c r="G75" s="40" t="s">
        <v>178</v>
      </c>
      <c r="H75" s="40"/>
      <c r="I75" s="40" t="s">
        <v>178</v>
      </c>
      <c r="J75" s="40" t="s">
        <v>1</v>
      </c>
      <c r="K75" s="39"/>
      <c r="L75" s="81"/>
      <c r="M75" s="39"/>
      <c r="N75" s="39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</row>
    <row r="76" spans="1:47" s="11" customFormat="1" ht="30" customHeight="1" x14ac:dyDescent="0.25">
      <c r="A76" s="67"/>
      <c r="B76" s="67"/>
      <c r="C76" s="56"/>
      <c r="D76" s="57"/>
      <c r="E76" s="61"/>
      <c r="F76" s="64"/>
      <c r="G76" s="40" t="str">
        <f>G75</f>
        <v>9</v>
      </c>
      <c r="H76" s="40"/>
      <c r="I76" s="40" t="str">
        <f>I75</f>
        <v>9</v>
      </c>
      <c r="J76" s="40" t="s">
        <v>2</v>
      </c>
      <c r="K76" s="39"/>
      <c r="L76" s="81"/>
      <c r="M76" s="39"/>
      <c r="N76" s="39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</row>
    <row r="77" spans="1:47" s="11" customFormat="1" ht="30" customHeight="1" x14ac:dyDescent="0.25">
      <c r="A77" s="67"/>
      <c r="B77" s="67"/>
      <c r="C77" s="56"/>
      <c r="D77" s="57"/>
      <c r="E77" s="61"/>
      <c r="F77" s="64"/>
      <c r="G77" s="40" t="str">
        <f>G75</f>
        <v>9</v>
      </c>
      <c r="H77" s="40"/>
      <c r="I77" s="40" t="str">
        <f>I75</f>
        <v>9</v>
      </c>
      <c r="J77" s="40" t="s">
        <v>3</v>
      </c>
      <c r="K77" s="39"/>
      <c r="L77" s="81"/>
      <c r="M77" s="39"/>
      <c r="N77" s="39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</row>
    <row r="78" spans="1:47" s="11" customFormat="1" ht="30" customHeight="1" x14ac:dyDescent="0.25">
      <c r="A78" s="67"/>
      <c r="B78" s="67"/>
      <c r="C78" s="56"/>
      <c r="D78" s="57"/>
      <c r="E78" s="61"/>
      <c r="F78" s="64"/>
      <c r="G78" s="40" t="str">
        <f>G75</f>
        <v>9</v>
      </c>
      <c r="H78" s="40"/>
      <c r="I78" s="40" t="str">
        <f>I75</f>
        <v>9</v>
      </c>
      <c r="J78" s="40" t="s">
        <v>26</v>
      </c>
      <c r="K78" s="39"/>
      <c r="L78" s="81"/>
      <c r="M78" s="39"/>
      <c r="N78" s="39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</row>
    <row r="79" spans="1:47" s="11" customFormat="1" ht="30" customHeight="1" x14ac:dyDescent="0.25">
      <c r="A79" s="67"/>
      <c r="B79" s="67"/>
      <c r="C79" s="56"/>
      <c r="D79" s="57"/>
      <c r="E79" s="61"/>
      <c r="F79" s="64"/>
      <c r="G79" s="40" t="str">
        <f>G75</f>
        <v>9</v>
      </c>
      <c r="H79" s="40"/>
      <c r="I79" s="40" t="str">
        <f>I75</f>
        <v>9</v>
      </c>
      <c r="J79" s="40" t="s">
        <v>27</v>
      </c>
      <c r="K79" s="39"/>
      <c r="L79" s="81"/>
      <c r="M79" s="39"/>
      <c r="N79" s="39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</row>
    <row r="80" spans="1:47" s="11" customFormat="1" ht="30" customHeight="1" x14ac:dyDescent="0.25">
      <c r="A80" s="67"/>
      <c r="B80" s="67"/>
      <c r="C80" s="56"/>
      <c r="D80" s="57"/>
      <c r="E80" s="61"/>
      <c r="F80" s="64"/>
      <c r="G80" s="40" t="str">
        <f>G75</f>
        <v>9</v>
      </c>
      <c r="H80" s="40"/>
      <c r="I80" s="40" t="str">
        <f>I75</f>
        <v>9</v>
      </c>
      <c r="J80" s="40" t="s">
        <v>28</v>
      </c>
      <c r="K80" s="39"/>
      <c r="L80" s="81"/>
      <c r="M80" s="39"/>
      <c r="N80" s="39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</row>
    <row r="81" spans="1:47" s="11" customFormat="1" ht="30" customHeight="1" x14ac:dyDescent="0.25">
      <c r="A81" s="67"/>
      <c r="B81" s="67"/>
      <c r="C81" s="56"/>
      <c r="D81" s="57"/>
      <c r="E81" s="61"/>
      <c r="F81" s="64"/>
      <c r="G81" s="40" t="str">
        <f>G75</f>
        <v>9</v>
      </c>
      <c r="H81" s="40"/>
      <c r="I81" s="40" t="str">
        <f>I75</f>
        <v>9</v>
      </c>
      <c r="J81" s="40" t="s">
        <v>29</v>
      </c>
      <c r="K81" s="39"/>
      <c r="L81" s="81"/>
      <c r="M81" s="39"/>
      <c r="N81" s="39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</row>
    <row r="82" spans="1:47" s="11" customFormat="1" ht="30" customHeight="1" x14ac:dyDescent="0.25">
      <c r="A82" s="67"/>
      <c r="B82" s="67"/>
      <c r="C82" s="58"/>
      <c r="D82" s="59"/>
      <c r="E82" s="62"/>
      <c r="F82" s="65"/>
      <c r="G82" s="40" t="str">
        <f>G75</f>
        <v>9</v>
      </c>
      <c r="H82" s="40"/>
      <c r="I82" s="40" t="str">
        <f>I75</f>
        <v>9</v>
      </c>
      <c r="J82" s="40" t="s">
        <v>137</v>
      </c>
      <c r="K82" s="39"/>
      <c r="L82" s="81"/>
      <c r="M82" s="39"/>
      <c r="N82" s="39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</row>
    <row r="83" spans="1:47" s="11" customFormat="1" ht="30" customHeight="1" x14ac:dyDescent="0.25">
      <c r="A83" s="67"/>
      <c r="B83" s="67"/>
      <c r="C83" s="54" t="s">
        <v>22</v>
      </c>
      <c r="D83" s="55"/>
      <c r="E83" s="60" t="s">
        <v>52</v>
      </c>
      <c r="F83" s="63" t="s">
        <v>7</v>
      </c>
      <c r="G83" s="40" t="s">
        <v>178</v>
      </c>
      <c r="H83" s="40"/>
      <c r="I83" s="40" t="s">
        <v>178</v>
      </c>
      <c r="J83" s="40" t="s">
        <v>1</v>
      </c>
      <c r="K83" s="39"/>
      <c r="L83" s="81"/>
      <c r="M83" s="39"/>
      <c r="N83" s="39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</row>
    <row r="84" spans="1:47" s="11" customFormat="1" ht="30" customHeight="1" x14ac:dyDescent="0.25">
      <c r="A84" s="67"/>
      <c r="B84" s="67"/>
      <c r="C84" s="56"/>
      <c r="D84" s="57"/>
      <c r="E84" s="61"/>
      <c r="F84" s="64"/>
      <c r="G84" s="40" t="str">
        <f>G83</f>
        <v>9</v>
      </c>
      <c r="H84" s="40"/>
      <c r="I84" s="40" t="str">
        <f>I83</f>
        <v>9</v>
      </c>
      <c r="J84" s="40" t="s">
        <v>2</v>
      </c>
      <c r="K84" s="39"/>
      <c r="L84" s="81"/>
      <c r="M84" s="39"/>
      <c r="N84" s="39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</row>
    <row r="85" spans="1:47" s="11" customFormat="1" ht="30" customHeight="1" x14ac:dyDescent="0.25">
      <c r="A85" s="67"/>
      <c r="B85" s="67"/>
      <c r="C85" s="56"/>
      <c r="D85" s="57"/>
      <c r="E85" s="61"/>
      <c r="F85" s="64"/>
      <c r="G85" s="40" t="str">
        <f>G83</f>
        <v>9</v>
      </c>
      <c r="H85" s="40"/>
      <c r="I85" s="40" t="str">
        <f>I83</f>
        <v>9</v>
      </c>
      <c r="J85" s="40" t="s">
        <v>3</v>
      </c>
      <c r="K85" s="39"/>
      <c r="L85" s="81"/>
      <c r="M85" s="39"/>
      <c r="N85" s="39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</row>
    <row r="86" spans="1:47" s="11" customFormat="1" ht="30" customHeight="1" x14ac:dyDescent="0.25">
      <c r="A86" s="67"/>
      <c r="B86" s="67"/>
      <c r="C86" s="56"/>
      <c r="D86" s="57"/>
      <c r="E86" s="61"/>
      <c r="F86" s="64"/>
      <c r="G86" s="40" t="str">
        <f>G83</f>
        <v>9</v>
      </c>
      <c r="H86" s="40"/>
      <c r="I86" s="40" t="str">
        <f>I83</f>
        <v>9</v>
      </c>
      <c r="J86" s="40" t="s">
        <v>26</v>
      </c>
      <c r="K86" s="39"/>
      <c r="L86" s="81"/>
      <c r="M86" s="39"/>
      <c r="N86" s="39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</row>
    <row r="87" spans="1:47" s="11" customFormat="1" ht="30" customHeight="1" x14ac:dyDescent="0.25">
      <c r="A87" s="67"/>
      <c r="B87" s="67"/>
      <c r="C87" s="56"/>
      <c r="D87" s="57"/>
      <c r="E87" s="61"/>
      <c r="F87" s="64"/>
      <c r="G87" s="40" t="str">
        <f>G83</f>
        <v>9</v>
      </c>
      <c r="H87" s="40"/>
      <c r="I87" s="40" t="str">
        <f>I83</f>
        <v>9</v>
      </c>
      <c r="J87" s="40" t="s">
        <v>27</v>
      </c>
      <c r="K87" s="39"/>
      <c r="L87" s="81"/>
      <c r="M87" s="39"/>
      <c r="N87" s="39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</row>
    <row r="88" spans="1:47" s="11" customFormat="1" ht="30" customHeight="1" x14ac:dyDescent="0.25">
      <c r="A88" s="67"/>
      <c r="B88" s="67"/>
      <c r="C88" s="56"/>
      <c r="D88" s="57"/>
      <c r="E88" s="61"/>
      <c r="F88" s="64"/>
      <c r="G88" s="40" t="str">
        <f>G83</f>
        <v>9</v>
      </c>
      <c r="H88" s="40"/>
      <c r="I88" s="40" t="str">
        <f>I83</f>
        <v>9</v>
      </c>
      <c r="J88" s="40" t="s">
        <v>28</v>
      </c>
      <c r="K88" s="39"/>
      <c r="L88" s="81"/>
      <c r="M88" s="39"/>
      <c r="N88" s="39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</row>
    <row r="89" spans="1:47" s="11" customFormat="1" ht="30" customHeight="1" x14ac:dyDescent="0.25">
      <c r="A89" s="67"/>
      <c r="B89" s="67"/>
      <c r="C89" s="56"/>
      <c r="D89" s="57"/>
      <c r="E89" s="61"/>
      <c r="F89" s="64"/>
      <c r="G89" s="40" t="str">
        <f>G83</f>
        <v>9</v>
      </c>
      <c r="H89" s="40"/>
      <c r="I89" s="40" t="str">
        <f>I83</f>
        <v>9</v>
      </c>
      <c r="J89" s="40" t="s">
        <v>29</v>
      </c>
      <c r="K89" s="39"/>
      <c r="L89" s="81"/>
      <c r="M89" s="39"/>
      <c r="N89" s="39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</row>
    <row r="90" spans="1:47" s="11" customFormat="1" ht="30" customHeight="1" x14ac:dyDescent="0.25">
      <c r="A90" s="67"/>
      <c r="B90" s="68"/>
      <c r="C90" s="58"/>
      <c r="D90" s="59"/>
      <c r="E90" s="62"/>
      <c r="F90" s="65"/>
      <c r="G90" s="40" t="str">
        <f>G83</f>
        <v>9</v>
      </c>
      <c r="H90" s="40"/>
      <c r="I90" s="40" t="str">
        <f>I83</f>
        <v>9</v>
      </c>
      <c r="J90" s="40" t="s">
        <v>137</v>
      </c>
      <c r="K90" s="39"/>
      <c r="L90" s="81"/>
      <c r="M90" s="39"/>
      <c r="N90" s="39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</row>
    <row r="91" spans="1:47" s="11" customFormat="1" ht="30" customHeight="1" x14ac:dyDescent="0.25">
      <c r="A91" s="67"/>
      <c r="B91" s="66" t="s">
        <v>102</v>
      </c>
      <c r="C91" s="54" t="s">
        <v>23</v>
      </c>
      <c r="D91" s="55"/>
      <c r="E91" s="60" t="s">
        <v>52</v>
      </c>
      <c r="F91" s="63" t="s">
        <v>8</v>
      </c>
      <c r="G91" s="40" t="s">
        <v>179</v>
      </c>
      <c r="H91" s="40"/>
      <c r="I91" s="40" t="s">
        <v>179</v>
      </c>
      <c r="J91" s="40" t="s">
        <v>1</v>
      </c>
      <c r="K91" s="39"/>
      <c r="L91" s="81"/>
      <c r="M91" s="39"/>
      <c r="N91" s="39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</row>
    <row r="92" spans="1:47" s="11" customFormat="1" ht="30" customHeight="1" x14ac:dyDescent="0.25">
      <c r="A92" s="67"/>
      <c r="B92" s="67"/>
      <c r="C92" s="56"/>
      <c r="D92" s="57"/>
      <c r="E92" s="61"/>
      <c r="F92" s="64"/>
      <c r="G92" s="40" t="str">
        <f>G91</f>
        <v>4.5</v>
      </c>
      <c r="H92" s="40"/>
      <c r="I92" s="40" t="str">
        <f>I91</f>
        <v>4.5</v>
      </c>
      <c r="J92" s="40" t="s">
        <v>2</v>
      </c>
      <c r="K92" s="39"/>
      <c r="L92" s="81"/>
      <c r="M92" s="39"/>
      <c r="N92" s="39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</row>
    <row r="93" spans="1:47" s="11" customFormat="1" ht="30" customHeight="1" x14ac:dyDescent="0.25">
      <c r="A93" s="67"/>
      <c r="B93" s="67"/>
      <c r="C93" s="56"/>
      <c r="D93" s="57"/>
      <c r="E93" s="61"/>
      <c r="F93" s="64"/>
      <c r="G93" s="40" t="str">
        <f>G91</f>
        <v>4.5</v>
      </c>
      <c r="H93" s="40"/>
      <c r="I93" s="40" t="str">
        <f>I91</f>
        <v>4.5</v>
      </c>
      <c r="J93" s="40" t="s">
        <v>3</v>
      </c>
      <c r="K93" s="39"/>
      <c r="L93" s="81"/>
      <c r="M93" s="39"/>
      <c r="N93" s="39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</row>
    <row r="94" spans="1:47" s="11" customFormat="1" ht="30" customHeight="1" x14ac:dyDescent="0.25">
      <c r="A94" s="67"/>
      <c r="B94" s="67"/>
      <c r="C94" s="56"/>
      <c r="D94" s="57"/>
      <c r="E94" s="61"/>
      <c r="F94" s="64"/>
      <c r="G94" s="40" t="str">
        <f>G91</f>
        <v>4.5</v>
      </c>
      <c r="H94" s="40"/>
      <c r="I94" s="40" t="str">
        <f>I91</f>
        <v>4.5</v>
      </c>
      <c r="J94" s="40" t="s">
        <v>26</v>
      </c>
      <c r="K94" s="39"/>
      <c r="L94" s="81"/>
      <c r="M94" s="39"/>
      <c r="N94" s="39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</row>
    <row r="95" spans="1:47" s="11" customFormat="1" ht="30" customHeight="1" x14ac:dyDescent="0.25">
      <c r="A95" s="67"/>
      <c r="B95" s="67"/>
      <c r="C95" s="56"/>
      <c r="D95" s="57"/>
      <c r="E95" s="61"/>
      <c r="F95" s="64"/>
      <c r="G95" s="40" t="str">
        <f>G91</f>
        <v>4.5</v>
      </c>
      <c r="H95" s="40"/>
      <c r="I95" s="40" t="str">
        <f>I91</f>
        <v>4.5</v>
      </c>
      <c r="J95" s="40" t="s">
        <v>27</v>
      </c>
      <c r="K95" s="39"/>
      <c r="L95" s="81"/>
      <c r="M95" s="39"/>
      <c r="N95" s="39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</row>
    <row r="96" spans="1:47" s="11" customFormat="1" ht="30" customHeight="1" x14ac:dyDescent="0.25">
      <c r="A96" s="67"/>
      <c r="B96" s="67"/>
      <c r="C96" s="56"/>
      <c r="D96" s="57"/>
      <c r="E96" s="61"/>
      <c r="F96" s="64"/>
      <c r="G96" s="40" t="str">
        <f>G91</f>
        <v>4.5</v>
      </c>
      <c r="H96" s="40"/>
      <c r="I96" s="40" t="str">
        <f>I91</f>
        <v>4.5</v>
      </c>
      <c r="J96" s="40" t="s">
        <v>28</v>
      </c>
      <c r="K96" s="39"/>
      <c r="L96" s="81"/>
      <c r="M96" s="39"/>
      <c r="N96" s="39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</row>
    <row r="97" spans="1:47" s="11" customFormat="1" ht="30" customHeight="1" x14ac:dyDescent="0.25">
      <c r="A97" s="67"/>
      <c r="B97" s="67"/>
      <c r="C97" s="56"/>
      <c r="D97" s="57"/>
      <c r="E97" s="61"/>
      <c r="F97" s="64"/>
      <c r="G97" s="40" t="str">
        <f>G91</f>
        <v>4.5</v>
      </c>
      <c r="H97" s="40"/>
      <c r="I97" s="40" t="str">
        <f>I91</f>
        <v>4.5</v>
      </c>
      <c r="J97" s="40" t="s">
        <v>29</v>
      </c>
      <c r="K97" s="39"/>
      <c r="L97" s="81"/>
      <c r="M97" s="39"/>
      <c r="N97" s="39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</row>
    <row r="98" spans="1:47" s="11" customFormat="1" ht="30" customHeight="1" x14ac:dyDescent="0.25">
      <c r="A98" s="67"/>
      <c r="B98" s="67"/>
      <c r="C98" s="58"/>
      <c r="D98" s="59"/>
      <c r="E98" s="62"/>
      <c r="F98" s="65"/>
      <c r="G98" s="40" t="str">
        <f>G91</f>
        <v>4.5</v>
      </c>
      <c r="H98" s="40"/>
      <c r="I98" s="40" t="str">
        <f>I91</f>
        <v>4.5</v>
      </c>
      <c r="J98" s="40" t="s">
        <v>137</v>
      </c>
      <c r="K98" s="39"/>
      <c r="L98" s="82"/>
      <c r="M98" s="39"/>
      <c r="N98" s="39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</row>
    <row r="99" spans="1:47" s="11" customFormat="1" ht="30" customHeight="1" x14ac:dyDescent="0.25">
      <c r="A99" s="46"/>
      <c r="B99" s="67"/>
      <c r="C99" s="54" t="s">
        <v>23</v>
      </c>
      <c r="D99" s="55"/>
      <c r="E99" s="60" t="s">
        <v>52</v>
      </c>
      <c r="F99" s="63" t="s">
        <v>187</v>
      </c>
      <c r="G99" s="40" t="s">
        <v>179</v>
      </c>
      <c r="H99" s="40"/>
      <c r="I99" s="40" t="str">
        <f>I92</f>
        <v>4.5</v>
      </c>
      <c r="J99" s="40" t="s">
        <v>1</v>
      </c>
      <c r="K99" s="39"/>
      <c r="L99" s="47"/>
      <c r="M99" s="39"/>
      <c r="N99" s="39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</row>
    <row r="100" spans="1:47" s="11" customFormat="1" ht="30" customHeight="1" x14ac:dyDescent="0.25">
      <c r="A100" s="46"/>
      <c r="B100" s="67"/>
      <c r="C100" s="56"/>
      <c r="D100" s="57"/>
      <c r="E100" s="61"/>
      <c r="F100" s="64"/>
      <c r="G100" s="40" t="str">
        <f>G99</f>
        <v>4.5</v>
      </c>
      <c r="H100" s="40"/>
      <c r="I100" s="40" t="str">
        <f>I99</f>
        <v>4.5</v>
      </c>
      <c r="J100" s="40" t="s">
        <v>2</v>
      </c>
      <c r="K100" s="39"/>
      <c r="L100" s="47"/>
      <c r="M100" s="39"/>
      <c r="N100" s="39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</row>
    <row r="101" spans="1:47" s="11" customFormat="1" ht="30" customHeight="1" x14ac:dyDescent="0.25">
      <c r="A101" s="46"/>
      <c r="B101" s="67"/>
      <c r="C101" s="56"/>
      <c r="D101" s="57"/>
      <c r="E101" s="61"/>
      <c r="F101" s="64"/>
      <c r="G101" s="40" t="str">
        <f>G99</f>
        <v>4.5</v>
      </c>
      <c r="H101" s="40"/>
      <c r="I101" s="40" t="str">
        <f>I99</f>
        <v>4.5</v>
      </c>
      <c r="J101" s="40" t="s">
        <v>3</v>
      </c>
      <c r="K101" s="39"/>
      <c r="L101" s="47"/>
      <c r="M101" s="39"/>
      <c r="N101" s="39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</row>
    <row r="102" spans="1:47" s="11" customFormat="1" ht="30" customHeight="1" x14ac:dyDescent="0.25">
      <c r="A102" s="46"/>
      <c r="B102" s="67"/>
      <c r="C102" s="56"/>
      <c r="D102" s="57"/>
      <c r="E102" s="61"/>
      <c r="F102" s="64"/>
      <c r="G102" s="40" t="str">
        <f>G99</f>
        <v>4.5</v>
      </c>
      <c r="H102" s="40"/>
      <c r="I102" s="40" t="str">
        <f>I99</f>
        <v>4.5</v>
      </c>
      <c r="J102" s="40" t="s">
        <v>26</v>
      </c>
      <c r="K102" s="39"/>
      <c r="L102" s="47"/>
      <c r="M102" s="39"/>
      <c r="N102" s="39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</row>
    <row r="103" spans="1:47" s="11" customFormat="1" ht="30" customHeight="1" x14ac:dyDescent="0.25">
      <c r="A103" s="46"/>
      <c r="B103" s="67"/>
      <c r="C103" s="56"/>
      <c r="D103" s="57"/>
      <c r="E103" s="61"/>
      <c r="F103" s="64"/>
      <c r="G103" s="40" t="str">
        <f>G99</f>
        <v>4.5</v>
      </c>
      <c r="H103" s="40"/>
      <c r="I103" s="40" t="str">
        <f>I99</f>
        <v>4.5</v>
      </c>
      <c r="J103" s="40" t="s">
        <v>27</v>
      </c>
      <c r="K103" s="39"/>
      <c r="L103" s="47"/>
      <c r="M103" s="39"/>
      <c r="N103" s="39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</row>
    <row r="104" spans="1:47" s="11" customFormat="1" ht="30" customHeight="1" x14ac:dyDescent="0.25">
      <c r="A104" s="46"/>
      <c r="B104" s="67"/>
      <c r="C104" s="56"/>
      <c r="D104" s="57"/>
      <c r="E104" s="61"/>
      <c r="F104" s="64"/>
      <c r="G104" s="40" t="str">
        <f>G99</f>
        <v>4.5</v>
      </c>
      <c r="H104" s="40"/>
      <c r="I104" s="40" t="str">
        <f>I99</f>
        <v>4.5</v>
      </c>
      <c r="J104" s="40" t="s">
        <v>28</v>
      </c>
      <c r="K104" s="39"/>
      <c r="L104" s="47"/>
      <c r="M104" s="39"/>
      <c r="N104" s="39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</row>
    <row r="105" spans="1:47" s="11" customFormat="1" ht="30" customHeight="1" x14ac:dyDescent="0.25">
      <c r="A105" s="46"/>
      <c r="B105" s="67"/>
      <c r="C105" s="56"/>
      <c r="D105" s="57"/>
      <c r="E105" s="61"/>
      <c r="F105" s="64"/>
      <c r="G105" s="40" t="str">
        <f>G99</f>
        <v>4.5</v>
      </c>
      <c r="H105" s="40"/>
      <c r="I105" s="40" t="str">
        <f>I99</f>
        <v>4.5</v>
      </c>
      <c r="J105" s="40" t="s">
        <v>29</v>
      </c>
      <c r="K105" s="39"/>
      <c r="L105" s="47"/>
      <c r="M105" s="39"/>
      <c r="N105" s="39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</row>
    <row r="106" spans="1:47" s="11" customFormat="1" ht="30" customHeight="1" x14ac:dyDescent="0.25">
      <c r="A106" s="46"/>
      <c r="B106" s="68"/>
      <c r="C106" s="58"/>
      <c r="D106" s="59"/>
      <c r="E106" s="62"/>
      <c r="F106" s="65"/>
      <c r="G106" s="40" t="str">
        <f>G99</f>
        <v>4.5</v>
      </c>
      <c r="H106" s="40"/>
      <c r="I106" s="40" t="str">
        <f>I99</f>
        <v>4.5</v>
      </c>
      <c r="J106" s="40" t="s">
        <v>137</v>
      </c>
      <c r="K106" s="39"/>
      <c r="L106" s="47"/>
      <c r="M106" s="39"/>
      <c r="N106" s="39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</row>
    <row r="107" spans="1:47" s="11" customFormat="1" ht="30" customHeight="1" x14ac:dyDescent="0.25">
      <c r="A107" s="66" t="s">
        <v>81</v>
      </c>
      <c r="B107" s="54" t="s">
        <v>24</v>
      </c>
      <c r="C107" s="106"/>
      <c r="D107" s="55"/>
      <c r="E107" s="60" t="s">
        <v>53</v>
      </c>
      <c r="F107" s="63" t="s">
        <v>4</v>
      </c>
      <c r="G107" s="40" t="s">
        <v>180</v>
      </c>
      <c r="H107" s="40"/>
      <c r="I107" s="40" t="s">
        <v>180</v>
      </c>
      <c r="J107" s="40" t="s">
        <v>1</v>
      </c>
      <c r="K107" s="39"/>
      <c r="L107" s="80" t="s">
        <v>152</v>
      </c>
      <c r="M107" s="39"/>
      <c r="N107" s="39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</row>
    <row r="108" spans="1:47" s="11" customFormat="1" ht="30" customHeight="1" x14ac:dyDescent="0.25">
      <c r="A108" s="67"/>
      <c r="B108" s="56"/>
      <c r="C108" s="107"/>
      <c r="D108" s="57"/>
      <c r="E108" s="61"/>
      <c r="F108" s="64"/>
      <c r="G108" s="40" t="str">
        <f>G107</f>
        <v>90</v>
      </c>
      <c r="H108" s="40"/>
      <c r="I108" s="40" t="s">
        <v>180</v>
      </c>
      <c r="J108" s="40" t="s">
        <v>2</v>
      </c>
      <c r="K108" s="39"/>
      <c r="L108" s="81"/>
      <c r="M108" s="39"/>
      <c r="N108" s="39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</row>
    <row r="109" spans="1:47" s="11" customFormat="1" ht="30" customHeight="1" x14ac:dyDescent="0.25">
      <c r="A109" s="67"/>
      <c r="B109" s="56"/>
      <c r="C109" s="107"/>
      <c r="D109" s="57"/>
      <c r="E109" s="61"/>
      <c r="F109" s="64"/>
      <c r="G109" s="40" t="str">
        <f>G107</f>
        <v>90</v>
      </c>
      <c r="H109" s="40"/>
      <c r="I109" s="40" t="s">
        <v>180</v>
      </c>
      <c r="J109" s="40" t="s">
        <v>3</v>
      </c>
      <c r="K109" s="39"/>
      <c r="L109" s="81"/>
      <c r="M109" s="39"/>
      <c r="N109" s="39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</row>
    <row r="110" spans="1:47" s="11" customFormat="1" ht="30" customHeight="1" x14ac:dyDescent="0.25">
      <c r="A110" s="67"/>
      <c r="B110" s="56"/>
      <c r="C110" s="107"/>
      <c r="D110" s="57"/>
      <c r="E110" s="61"/>
      <c r="F110" s="64"/>
      <c r="G110" s="40" t="str">
        <f>G107</f>
        <v>90</v>
      </c>
      <c r="H110" s="40"/>
      <c r="I110" s="40" t="s">
        <v>180</v>
      </c>
      <c r="J110" s="40" t="s">
        <v>26</v>
      </c>
      <c r="K110" s="39"/>
      <c r="L110" s="81"/>
      <c r="M110" s="39"/>
      <c r="N110" s="39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</row>
    <row r="111" spans="1:47" s="11" customFormat="1" ht="30" customHeight="1" x14ac:dyDescent="0.25">
      <c r="A111" s="67"/>
      <c r="B111" s="56"/>
      <c r="C111" s="107"/>
      <c r="D111" s="57"/>
      <c r="E111" s="61"/>
      <c r="F111" s="64"/>
      <c r="G111" s="40" t="str">
        <f>G107</f>
        <v>90</v>
      </c>
      <c r="H111" s="40"/>
      <c r="I111" s="40" t="s">
        <v>180</v>
      </c>
      <c r="J111" s="40" t="s">
        <v>27</v>
      </c>
      <c r="K111" s="39"/>
      <c r="L111" s="81"/>
      <c r="M111" s="39"/>
      <c r="N111" s="39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</row>
    <row r="112" spans="1:47" s="11" customFormat="1" ht="30" customHeight="1" x14ac:dyDescent="0.25">
      <c r="A112" s="67"/>
      <c r="B112" s="56"/>
      <c r="C112" s="107"/>
      <c r="D112" s="57"/>
      <c r="E112" s="61"/>
      <c r="F112" s="64"/>
      <c r="G112" s="40" t="str">
        <f>G107</f>
        <v>90</v>
      </c>
      <c r="H112" s="40"/>
      <c r="I112" s="40" t="s">
        <v>180</v>
      </c>
      <c r="J112" s="40" t="s">
        <v>28</v>
      </c>
      <c r="K112" s="39"/>
      <c r="L112" s="81"/>
      <c r="M112" s="39"/>
      <c r="N112" s="39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</row>
    <row r="113" spans="1:47" s="11" customFormat="1" ht="30" customHeight="1" x14ac:dyDescent="0.25">
      <c r="A113" s="67"/>
      <c r="B113" s="56"/>
      <c r="C113" s="107"/>
      <c r="D113" s="57"/>
      <c r="E113" s="61"/>
      <c r="F113" s="64"/>
      <c r="G113" s="40" t="str">
        <f>G107</f>
        <v>90</v>
      </c>
      <c r="H113" s="40"/>
      <c r="I113" s="40" t="s">
        <v>180</v>
      </c>
      <c r="J113" s="40" t="s">
        <v>29</v>
      </c>
      <c r="K113" s="39"/>
      <c r="L113" s="81"/>
      <c r="M113" s="39"/>
      <c r="N113" s="39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</row>
    <row r="114" spans="1:47" s="11" customFormat="1" ht="30" customHeight="1" x14ac:dyDescent="0.25">
      <c r="A114" s="68"/>
      <c r="B114" s="58"/>
      <c r="C114" s="108"/>
      <c r="D114" s="59"/>
      <c r="E114" s="62"/>
      <c r="F114" s="65"/>
      <c r="G114" s="40" t="str">
        <f>G107</f>
        <v>90</v>
      </c>
      <c r="H114" s="40"/>
      <c r="I114" s="40" t="s">
        <v>180</v>
      </c>
      <c r="J114" s="40" t="s">
        <v>137</v>
      </c>
      <c r="K114" s="39"/>
      <c r="L114" s="82"/>
      <c r="M114" s="39"/>
      <c r="N114" s="39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</row>
    <row r="115" spans="1:47" s="11" customFormat="1" ht="30" customHeight="1" x14ac:dyDescent="0.25">
      <c r="A115" s="39"/>
      <c r="B115" s="17" t="s">
        <v>14</v>
      </c>
      <c r="C115" s="18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6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</row>
    <row r="116" spans="1:47" s="11" customFormat="1" ht="30" customHeight="1" x14ac:dyDescent="0.25">
      <c r="A116" s="66" t="s">
        <v>82</v>
      </c>
      <c r="B116" s="54" t="s">
        <v>15</v>
      </c>
      <c r="C116" s="106"/>
      <c r="D116" s="55"/>
      <c r="E116" s="60" t="s">
        <v>89</v>
      </c>
      <c r="F116" s="63" t="s">
        <v>103</v>
      </c>
      <c r="G116" s="49" t="s">
        <v>190</v>
      </c>
      <c r="H116" s="49"/>
      <c r="I116" s="49" t="s">
        <v>190</v>
      </c>
      <c r="J116" s="40" t="s">
        <v>1</v>
      </c>
      <c r="K116" s="39"/>
      <c r="L116" s="80" t="s">
        <v>153</v>
      </c>
      <c r="M116" s="39"/>
      <c r="N116" s="39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</row>
    <row r="117" spans="1:47" s="11" customFormat="1" ht="30" customHeight="1" x14ac:dyDescent="0.25">
      <c r="A117" s="67"/>
      <c r="B117" s="56"/>
      <c r="C117" s="107"/>
      <c r="D117" s="57"/>
      <c r="E117" s="61"/>
      <c r="F117" s="64"/>
      <c r="G117" s="49" t="s">
        <v>190</v>
      </c>
      <c r="H117" s="49"/>
      <c r="I117" s="49" t="s">
        <v>190</v>
      </c>
      <c r="J117" s="40" t="s">
        <v>2</v>
      </c>
      <c r="K117" s="39"/>
      <c r="L117" s="81"/>
      <c r="M117" s="39"/>
      <c r="N117" s="39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</row>
    <row r="118" spans="1:47" s="11" customFormat="1" ht="30" customHeight="1" x14ac:dyDescent="0.25">
      <c r="A118" s="67"/>
      <c r="B118" s="56"/>
      <c r="C118" s="107"/>
      <c r="D118" s="57"/>
      <c r="E118" s="61"/>
      <c r="F118" s="64"/>
      <c r="G118" s="49" t="s">
        <v>190</v>
      </c>
      <c r="H118" s="49"/>
      <c r="I118" s="49" t="s">
        <v>190</v>
      </c>
      <c r="J118" s="40" t="s">
        <v>3</v>
      </c>
      <c r="K118" s="39"/>
      <c r="L118" s="81"/>
      <c r="M118" s="39"/>
      <c r="N118" s="39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</row>
    <row r="119" spans="1:47" s="11" customFormat="1" ht="30" customHeight="1" x14ac:dyDescent="0.25">
      <c r="A119" s="67"/>
      <c r="B119" s="56"/>
      <c r="C119" s="107"/>
      <c r="D119" s="57"/>
      <c r="E119" s="61"/>
      <c r="F119" s="64"/>
      <c r="G119" s="49" t="s">
        <v>190</v>
      </c>
      <c r="H119" s="49"/>
      <c r="I119" s="49" t="s">
        <v>190</v>
      </c>
      <c r="J119" s="40" t="s">
        <v>26</v>
      </c>
      <c r="K119" s="39"/>
      <c r="L119" s="81"/>
      <c r="M119" s="39"/>
      <c r="N119" s="39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</row>
    <row r="120" spans="1:47" s="11" customFormat="1" ht="30" customHeight="1" x14ac:dyDescent="0.25">
      <c r="A120" s="67"/>
      <c r="B120" s="56"/>
      <c r="C120" s="107"/>
      <c r="D120" s="57"/>
      <c r="E120" s="61"/>
      <c r="F120" s="64"/>
      <c r="G120" s="49" t="s">
        <v>190</v>
      </c>
      <c r="H120" s="49"/>
      <c r="I120" s="49" t="s">
        <v>190</v>
      </c>
      <c r="J120" s="40" t="s">
        <v>27</v>
      </c>
      <c r="K120" s="39"/>
      <c r="L120" s="81"/>
      <c r="M120" s="39"/>
      <c r="N120" s="39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</row>
    <row r="121" spans="1:47" s="11" customFormat="1" ht="30" customHeight="1" x14ac:dyDescent="0.25">
      <c r="A121" s="67"/>
      <c r="B121" s="56"/>
      <c r="C121" s="107"/>
      <c r="D121" s="57"/>
      <c r="E121" s="61"/>
      <c r="F121" s="64"/>
      <c r="G121" s="49" t="s">
        <v>190</v>
      </c>
      <c r="H121" s="49"/>
      <c r="I121" s="49" t="s">
        <v>190</v>
      </c>
      <c r="J121" s="40" t="s">
        <v>28</v>
      </c>
      <c r="K121" s="39"/>
      <c r="L121" s="81"/>
      <c r="M121" s="39"/>
      <c r="N121" s="39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</row>
    <row r="122" spans="1:47" s="11" customFormat="1" ht="30" customHeight="1" x14ac:dyDescent="0.25">
      <c r="A122" s="67"/>
      <c r="B122" s="56"/>
      <c r="C122" s="107"/>
      <c r="D122" s="57"/>
      <c r="E122" s="61"/>
      <c r="F122" s="64"/>
      <c r="G122" s="49" t="s">
        <v>190</v>
      </c>
      <c r="H122" s="49"/>
      <c r="I122" s="49" t="s">
        <v>190</v>
      </c>
      <c r="J122" s="40" t="s">
        <v>29</v>
      </c>
      <c r="K122" s="39"/>
      <c r="L122" s="81"/>
      <c r="M122" s="39"/>
      <c r="N122" s="39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</row>
    <row r="123" spans="1:47" s="11" customFormat="1" ht="30" customHeight="1" x14ac:dyDescent="0.25">
      <c r="A123" s="68"/>
      <c r="B123" s="58"/>
      <c r="C123" s="108"/>
      <c r="D123" s="59"/>
      <c r="E123" s="62"/>
      <c r="F123" s="65"/>
      <c r="G123" s="49" t="s">
        <v>190</v>
      </c>
      <c r="H123" s="49"/>
      <c r="I123" s="49" t="s">
        <v>190</v>
      </c>
      <c r="J123" s="40" t="s">
        <v>137</v>
      </c>
      <c r="K123" s="39"/>
      <c r="L123" s="82"/>
      <c r="M123" s="39"/>
      <c r="N123" s="39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</row>
    <row r="124" spans="1:47" s="11" customFormat="1" ht="30" customHeight="1" x14ac:dyDescent="0.25">
      <c r="A124" s="66" t="s">
        <v>83</v>
      </c>
      <c r="B124" s="54" t="s">
        <v>25</v>
      </c>
      <c r="C124" s="106"/>
      <c r="D124" s="55"/>
      <c r="E124" s="60" t="s">
        <v>94</v>
      </c>
      <c r="F124" s="63" t="s">
        <v>103</v>
      </c>
      <c r="G124" s="49" t="s">
        <v>181</v>
      </c>
      <c r="H124" s="49" t="s">
        <v>181</v>
      </c>
      <c r="I124" s="40"/>
      <c r="J124" s="40" t="s">
        <v>1</v>
      </c>
      <c r="K124" s="39"/>
      <c r="L124" s="80" t="s">
        <v>154</v>
      </c>
      <c r="M124" s="39"/>
      <c r="N124" s="19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</row>
    <row r="125" spans="1:47" s="11" customFormat="1" ht="30" customHeight="1" x14ac:dyDescent="0.25">
      <c r="A125" s="67"/>
      <c r="B125" s="56"/>
      <c r="C125" s="107"/>
      <c r="D125" s="57"/>
      <c r="E125" s="61"/>
      <c r="F125" s="64"/>
      <c r="G125" s="49" t="str">
        <f>G124</f>
        <v>43.8</v>
      </c>
      <c r="H125" s="49" t="str">
        <f t="shared" ref="H125" si="0">H124</f>
        <v>43.8</v>
      </c>
      <c r="I125" s="40"/>
      <c r="J125" s="40" t="s">
        <v>2</v>
      </c>
      <c r="K125" s="39"/>
      <c r="L125" s="81"/>
      <c r="M125" s="39"/>
      <c r="N125" s="50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</row>
    <row r="126" spans="1:47" s="11" customFormat="1" ht="30" customHeight="1" x14ac:dyDescent="0.25">
      <c r="A126" s="67"/>
      <c r="B126" s="56"/>
      <c r="C126" s="107"/>
      <c r="D126" s="57"/>
      <c r="E126" s="61"/>
      <c r="F126" s="64"/>
      <c r="G126" s="49" t="str">
        <f>G124</f>
        <v>43.8</v>
      </c>
      <c r="H126" s="49" t="str">
        <f t="shared" ref="H126" si="1">H124</f>
        <v>43.8</v>
      </c>
      <c r="I126" s="40"/>
      <c r="J126" s="40" t="s">
        <v>3</v>
      </c>
      <c r="K126" s="39"/>
      <c r="L126" s="81"/>
      <c r="M126" s="39"/>
      <c r="N126" s="20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</row>
    <row r="127" spans="1:47" s="11" customFormat="1" ht="30" customHeight="1" x14ac:dyDescent="0.25">
      <c r="A127" s="67"/>
      <c r="B127" s="56"/>
      <c r="C127" s="107"/>
      <c r="D127" s="57"/>
      <c r="E127" s="61"/>
      <c r="F127" s="64"/>
      <c r="G127" s="49" t="str">
        <f>G124</f>
        <v>43.8</v>
      </c>
      <c r="H127" s="49" t="str">
        <f t="shared" ref="H127" si="2">H124</f>
        <v>43.8</v>
      </c>
      <c r="I127" s="40"/>
      <c r="J127" s="40" t="s">
        <v>26</v>
      </c>
      <c r="K127" s="39"/>
      <c r="L127" s="81"/>
      <c r="M127" s="39"/>
      <c r="N127" s="20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</row>
    <row r="128" spans="1:47" s="11" customFormat="1" ht="30" customHeight="1" x14ac:dyDescent="0.25">
      <c r="A128" s="67"/>
      <c r="B128" s="56"/>
      <c r="C128" s="107"/>
      <c r="D128" s="57"/>
      <c r="E128" s="61"/>
      <c r="F128" s="64"/>
      <c r="G128" s="49" t="str">
        <f>G124</f>
        <v>43.8</v>
      </c>
      <c r="H128" s="49" t="str">
        <f t="shared" ref="H128" si="3">H124</f>
        <v>43.8</v>
      </c>
      <c r="I128" s="40"/>
      <c r="J128" s="40" t="s">
        <v>27</v>
      </c>
      <c r="K128" s="39"/>
      <c r="L128" s="81"/>
      <c r="M128" s="39"/>
      <c r="N128" s="39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</row>
    <row r="129" spans="1:47" s="11" customFormat="1" ht="30" customHeight="1" x14ac:dyDescent="0.25">
      <c r="A129" s="67"/>
      <c r="B129" s="56"/>
      <c r="C129" s="107"/>
      <c r="D129" s="57"/>
      <c r="E129" s="61"/>
      <c r="F129" s="64"/>
      <c r="G129" s="49" t="str">
        <f>G124</f>
        <v>43.8</v>
      </c>
      <c r="H129" s="49" t="str">
        <f t="shared" ref="H129" si="4">H124</f>
        <v>43.8</v>
      </c>
      <c r="I129" s="40"/>
      <c r="J129" s="40" t="s">
        <v>28</v>
      </c>
      <c r="K129" s="39"/>
      <c r="L129" s="81"/>
      <c r="M129" s="39"/>
      <c r="N129" s="39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</row>
    <row r="130" spans="1:47" s="11" customFormat="1" ht="30" customHeight="1" x14ac:dyDescent="0.25">
      <c r="A130" s="67"/>
      <c r="B130" s="56"/>
      <c r="C130" s="107"/>
      <c r="D130" s="57"/>
      <c r="E130" s="61"/>
      <c r="F130" s="64"/>
      <c r="G130" s="49" t="str">
        <f>G124</f>
        <v>43.8</v>
      </c>
      <c r="H130" s="49" t="str">
        <f t="shared" ref="H130" si="5">H124</f>
        <v>43.8</v>
      </c>
      <c r="I130" s="40"/>
      <c r="J130" s="40" t="s">
        <v>29</v>
      </c>
      <c r="K130" s="39"/>
      <c r="L130" s="81"/>
      <c r="M130" s="39"/>
      <c r="N130" s="39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</row>
    <row r="131" spans="1:47" s="11" customFormat="1" ht="30" customHeight="1" x14ac:dyDescent="0.25">
      <c r="A131" s="68"/>
      <c r="B131" s="58"/>
      <c r="C131" s="108"/>
      <c r="D131" s="59"/>
      <c r="E131" s="62"/>
      <c r="F131" s="65"/>
      <c r="G131" s="49" t="str">
        <f>G124</f>
        <v>43.8</v>
      </c>
      <c r="H131" s="49" t="str">
        <f t="shared" ref="H131" si="6">H124</f>
        <v>43.8</v>
      </c>
      <c r="I131" s="40"/>
      <c r="J131" s="40" t="s">
        <v>137</v>
      </c>
      <c r="K131" s="39"/>
      <c r="L131" s="82"/>
      <c r="M131" s="39"/>
      <c r="N131" s="39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</row>
    <row r="132" spans="1:47" s="11" customFormat="1" ht="30" customHeight="1" x14ac:dyDescent="0.25">
      <c r="A132" s="66" t="s">
        <v>60</v>
      </c>
      <c r="B132" s="54" t="s">
        <v>16</v>
      </c>
      <c r="C132" s="106"/>
      <c r="D132" s="55"/>
      <c r="E132" s="60" t="s">
        <v>49</v>
      </c>
      <c r="F132" s="63" t="s">
        <v>103</v>
      </c>
      <c r="G132" s="69" t="s">
        <v>186</v>
      </c>
      <c r="H132" s="70"/>
      <c r="I132" s="71"/>
      <c r="J132" s="40" t="s">
        <v>1</v>
      </c>
      <c r="K132" s="21"/>
      <c r="L132" s="80" t="s">
        <v>155</v>
      </c>
      <c r="M132" s="39"/>
      <c r="N132" s="39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</row>
    <row r="133" spans="1:47" s="11" customFormat="1" ht="30" customHeight="1" x14ac:dyDescent="0.25">
      <c r="A133" s="67"/>
      <c r="B133" s="56"/>
      <c r="C133" s="107"/>
      <c r="D133" s="57"/>
      <c r="E133" s="61"/>
      <c r="F133" s="64"/>
      <c r="G133" s="72"/>
      <c r="H133" s="73"/>
      <c r="I133" s="74"/>
      <c r="J133" s="40" t="s">
        <v>2</v>
      </c>
      <c r="K133" s="21"/>
      <c r="L133" s="81"/>
      <c r="M133" s="39"/>
      <c r="N133" s="39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</row>
    <row r="134" spans="1:47" s="11" customFormat="1" ht="30" customHeight="1" x14ac:dyDescent="0.25">
      <c r="A134" s="67"/>
      <c r="B134" s="56"/>
      <c r="C134" s="107"/>
      <c r="D134" s="57"/>
      <c r="E134" s="61"/>
      <c r="F134" s="64"/>
      <c r="G134" s="72"/>
      <c r="H134" s="73"/>
      <c r="I134" s="74"/>
      <c r="J134" s="40" t="s">
        <v>3</v>
      </c>
      <c r="K134" s="21"/>
      <c r="L134" s="81"/>
      <c r="M134" s="39"/>
      <c r="N134" s="39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</row>
    <row r="135" spans="1:47" s="11" customFormat="1" ht="30" customHeight="1" x14ac:dyDescent="0.25">
      <c r="A135" s="67"/>
      <c r="B135" s="56"/>
      <c r="C135" s="107"/>
      <c r="D135" s="57"/>
      <c r="E135" s="61"/>
      <c r="F135" s="64"/>
      <c r="G135" s="72"/>
      <c r="H135" s="73"/>
      <c r="I135" s="74"/>
      <c r="J135" s="40" t="s">
        <v>26</v>
      </c>
      <c r="K135" s="21"/>
      <c r="L135" s="81"/>
      <c r="M135" s="39"/>
      <c r="N135" s="39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</row>
    <row r="136" spans="1:47" s="11" customFormat="1" ht="30" customHeight="1" x14ac:dyDescent="0.25">
      <c r="A136" s="67"/>
      <c r="B136" s="56"/>
      <c r="C136" s="107"/>
      <c r="D136" s="57"/>
      <c r="E136" s="61"/>
      <c r="F136" s="64"/>
      <c r="G136" s="72"/>
      <c r="H136" s="73"/>
      <c r="I136" s="74"/>
      <c r="J136" s="40" t="s">
        <v>27</v>
      </c>
      <c r="K136" s="21"/>
      <c r="L136" s="81"/>
      <c r="M136" s="39"/>
      <c r="N136" s="39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</row>
    <row r="137" spans="1:47" s="11" customFormat="1" ht="30" customHeight="1" x14ac:dyDescent="0.25">
      <c r="A137" s="67"/>
      <c r="B137" s="56"/>
      <c r="C137" s="107"/>
      <c r="D137" s="57"/>
      <c r="E137" s="61"/>
      <c r="F137" s="64"/>
      <c r="G137" s="72"/>
      <c r="H137" s="73"/>
      <c r="I137" s="74"/>
      <c r="J137" s="40" t="s">
        <v>28</v>
      </c>
      <c r="K137" s="21"/>
      <c r="L137" s="81"/>
      <c r="M137" s="39"/>
      <c r="N137" s="39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</row>
    <row r="138" spans="1:47" s="11" customFormat="1" ht="30" customHeight="1" x14ac:dyDescent="0.25">
      <c r="A138" s="67"/>
      <c r="B138" s="56"/>
      <c r="C138" s="107"/>
      <c r="D138" s="57"/>
      <c r="E138" s="61"/>
      <c r="F138" s="64"/>
      <c r="G138" s="72"/>
      <c r="H138" s="73"/>
      <c r="I138" s="74"/>
      <c r="J138" s="40" t="s">
        <v>29</v>
      </c>
      <c r="K138" s="21"/>
      <c r="L138" s="81"/>
      <c r="M138" s="39"/>
      <c r="N138" s="39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</row>
    <row r="139" spans="1:47" s="11" customFormat="1" ht="30" customHeight="1" x14ac:dyDescent="0.25">
      <c r="A139" s="68"/>
      <c r="B139" s="58"/>
      <c r="C139" s="108"/>
      <c r="D139" s="59"/>
      <c r="E139" s="62"/>
      <c r="F139" s="65"/>
      <c r="G139" s="75"/>
      <c r="H139" s="76"/>
      <c r="I139" s="77"/>
      <c r="J139" s="40" t="s">
        <v>137</v>
      </c>
      <c r="K139" s="21"/>
      <c r="L139" s="82"/>
      <c r="M139" s="39"/>
      <c r="N139" s="39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</row>
    <row r="140" spans="1:47" s="11" customFormat="1" ht="30" customHeight="1" x14ac:dyDescent="0.25">
      <c r="A140" s="66" t="s">
        <v>84</v>
      </c>
      <c r="B140" s="54" t="s">
        <v>17</v>
      </c>
      <c r="C140" s="106"/>
      <c r="D140" s="55"/>
      <c r="E140" s="60" t="s">
        <v>48</v>
      </c>
      <c r="F140" s="63" t="s">
        <v>4</v>
      </c>
      <c r="G140" s="78" t="s">
        <v>185</v>
      </c>
      <c r="H140" s="70"/>
      <c r="I140" s="71"/>
      <c r="J140" s="40" t="s">
        <v>1</v>
      </c>
      <c r="K140" s="39"/>
      <c r="L140" s="80" t="s">
        <v>156</v>
      </c>
      <c r="M140" s="39"/>
      <c r="N140" s="39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</row>
    <row r="141" spans="1:47" s="11" customFormat="1" ht="30" customHeight="1" x14ac:dyDescent="0.25">
      <c r="A141" s="67"/>
      <c r="B141" s="56"/>
      <c r="C141" s="107"/>
      <c r="D141" s="57"/>
      <c r="E141" s="61"/>
      <c r="F141" s="64"/>
      <c r="G141" s="72"/>
      <c r="H141" s="73"/>
      <c r="I141" s="74"/>
      <c r="J141" s="40" t="s">
        <v>2</v>
      </c>
      <c r="K141" s="39"/>
      <c r="L141" s="81"/>
      <c r="M141" s="39"/>
      <c r="N141" s="39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</row>
    <row r="142" spans="1:47" s="11" customFormat="1" ht="30" customHeight="1" x14ac:dyDescent="0.25">
      <c r="A142" s="67"/>
      <c r="B142" s="56"/>
      <c r="C142" s="107"/>
      <c r="D142" s="57"/>
      <c r="E142" s="61"/>
      <c r="F142" s="64"/>
      <c r="G142" s="72"/>
      <c r="H142" s="73"/>
      <c r="I142" s="74"/>
      <c r="J142" s="40" t="s">
        <v>3</v>
      </c>
      <c r="K142" s="39"/>
      <c r="L142" s="81"/>
      <c r="M142" s="39"/>
      <c r="N142" s="39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</row>
    <row r="143" spans="1:47" s="11" customFormat="1" ht="30" customHeight="1" x14ac:dyDescent="0.25">
      <c r="A143" s="67"/>
      <c r="B143" s="56"/>
      <c r="C143" s="107"/>
      <c r="D143" s="57"/>
      <c r="E143" s="61"/>
      <c r="F143" s="64"/>
      <c r="G143" s="72"/>
      <c r="H143" s="73"/>
      <c r="I143" s="74"/>
      <c r="J143" s="40" t="s">
        <v>26</v>
      </c>
      <c r="K143" s="39"/>
      <c r="L143" s="81"/>
      <c r="M143" s="39"/>
      <c r="N143" s="39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</row>
    <row r="144" spans="1:47" s="11" customFormat="1" ht="30" customHeight="1" x14ac:dyDescent="0.25">
      <c r="A144" s="67"/>
      <c r="B144" s="56"/>
      <c r="C144" s="107"/>
      <c r="D144" s="57"/>
      <c r="E144" s="61"/>
      <c r="F144" s="64"/>
      <c r="G144" s="72"/>
      <c r="H144" s="73"/>
      <c r="I144" s="74"/>
      <c r="J144" s="40" t="s">
        <v>27</v>
      </c>
      <c r="K144" s="39"/>
      <c r="L144" s="81"/>
      <c r="M144" s="39"/>
      <c r="N144" s="39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</row>
    <row r="145" spans="1:47" s="11" customFormat="1" ht="30" customHeight="1" x14ac:dyDescent="0.25">
      <c r="A145" s="67"/>
      <c r="B145" s="56"/>
      <c r="C145" s="107"/>
      <c r="D145" s="57"/>
      <c r="E145" s="61"/>
      <c r="F145" s="64"/>
      <c r="G145" s="72"/>
      <c r="H145" s="73"/>
      <c r="I145" s="74"/>
      <c r="J145" s="40" t="s">
        <v>28</v>
      </c>
      <c r="K145" s="39"/>
      <c r="L145" s="81"/>
      <c r="M145" s="39"/>
      <c r="N145" s="39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</row>
    <row r="146" spans="1:47" s="11" customFormat="1" ht="30" customHeight="1" x14ac:dyDescent="0.25">
      <c r="A146" s="67"/>
      <c r="B146" s="56"/>
      <c r="C146" s="107"/>
      <c r="D146" s="57"/>
      <c r="E146" s="61"/>
      <c r="F146" s="64"/>
      <c r="G146" s="72"/>
      <c r="H146" s="73"/>
      <c r="I146" s="74"/>
      <c r="J146" s="40" t="s">
        <v>29</v>
      </c>
      <c r="K146" s="39"/>
      <c r="L146" s="81"/>
      <c r="M146" s="39"/>
      <c r="N146" s="39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</row>
    <row r="147" spans="1:47" s="11" customFormat="1" ht="30" customHeight="1" x14ac:dyDescent="0.25">
      <c r="A147" s="68"/>
      <c r="B147" s="58"/>
      <c r="C147" s="108"/>
      <c r="D147" s="59"/>
      <c r="E147" s="62"/>
      <c r="F147" s="65"/>
      <c r="G147" s="75"/>
      <c r="H147" s="76"/>
      <c r="I147" s="77"/>
      <c r="J147" s="40" t="s">
        <v>137</v>
      </c>
      <c r="K147" s="39"/>
      <c r="L147" s="82"/>
      <c r="M147" s="39"/>
      <c r="N147" s="39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</row>
    <row r="148" spans="1:47" s="11" customFormat="1" ht="30" customHeight="1" x14ac:dyDescent="0.25">
      <c r="A148" s="66" t="s">
        <v>85</v>
      </c>
      <c r="B148" s="109" t="s">
        <v>18</v>
      </c>
      <c r="C148" s="110"/>
      <c r="D148" s="63" t="s">
        <v>135</v>
      </c>
      <c r="E148" s="60" t="s">
        <v>94</v>
      </c>
      <c r="F148" s="63" t="s">
        <v>4</v>
      </c>
      <c r="G148" s="40" t="s">
        <v>181</v>
      </c>
      <c r="H148" s="40" t="s">
        <v>181</v>
      </c>
      <c r="I148" s="40"/>
      <c r="J148" s="40" t="s">
        <v>1</v>
      </c>
      <c r="K148" s="39"/>
      <c r="L148" s="103" t="s">
        <v>157</v>
      </c>
      <c r="M148" s="39"/>
      <c r="N148" s="40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</row>
    <row r="149" spans="1:47" s="11" customFormat="1" ht="30" customHeight="1" x14ac:dyDescent="0.25">
      <c r="A149" s="67"/>
      <c r="B149" s="111"/>
      <c r="C149" s="112"/>
      <c r="D149" s="64"/>
      <c r="E149" s="61"/>
      <c r="F149" s="64"/>
      <c r="G149" s="40" t="str">
        <f>G148</f>
        <v>43.8</v>
      </c>
      <c r="H149" s="40" t="str">
        <f>H148</f>
        <v>43.8</v>
      </c>
      <c r="I149" s="40"/>
      <c r="J149" s="40" t="s">
        <v>2</v>
      </c>
      <c r="K149" s="39"/>
      <c r="L149" s="104"/>
      <c r="M149" s="39"/>
      <c r="N149" s="39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</row>
    <row r="150" spans="1:47" s="11" customFormat="1" ht="30" customHeight="1" x14ac:dyDescent="0.25">
      <c r="A150" s="67"/>
      <c r="B150" s="111"/>
      <c r="C150" s="112"/>
      <c r="D150" s="64"/>
      <c r="E150" s="61"/>
      <c r="F150" s="64"/>
      <c r="G150" s="40" t="str">
        <f>G148</f>
        <v>43.8</v>
      </c>
      <c r="H150" s="40" t="str">
        <f>H148</f>
        <v>43.8</v>
      </c>
      <c r="I150" s="40"/>
      <c r="J150" s="40" t="s">
        <v>3</v>
      </c>
      <c r="K150" s="39"/>
      <c r="L150" s="104"/>
      <c r="M150" s="39"/>
      <c r="N150" s="39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</row>
    <row r="151" spans="1:47" s="11" customFormat="1" ht="30" customHeight="1" x14ac:dyDescent="0.25">
      <c r="A151" s="67"/>
      <c r="B151" s="111"/>
      <c r="C151" s="112"/>
      <c r="D151" s="64"/>
      <c r="E151" s="61"/>
      <c r="F151" s="64"/>
      <c r="G151" s="40" t="str">
        <f>G148</f>
        <v>43.8</v>
      </c>
      <c r="H151" s="40" t="str">
        <f>H148</f>
        <v>43.8</v>
      </c>
      <c r="I151" s="40"/>
      <c r="J151" s="40" t="s">
        <v>26</v>
      </c>
      <c r="K151" s="39"/>
      <c r="L151" s="104"/>
      <c r="M151" s="39"/>
      <c r="N151" s="39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</row>
    <row r="152" spans="1:47" s="11" customFormat="1" ht="30" customHeight="1" x14ac:dyDescent="0.25">
      <c r="A152" s="67"/>
      <c r="B152" s="111"/>
      <c r="C152" s="112"/>
      <c r="D152" s="64"/>
      <c r="E152" s="61"/>
      <c r="F152" s="64"/>
      <c r="G152" s="40" t="str">
        <f>G148</f>
        <v>43.8</v>
      </c>
      <c r="H152" s="40" t="str">
        <f>H148</f>
        <v>43.8</v>
      </c>
      <c r="I152" s="40"/>
      <c r="J152" s="40" t="s">
        <v>27</v>
      </c>
      <c r="K152" s="39"/>
      <c r="L152" s="104"/>
      <c r="M152" s="39"/>
      <c r="N152" s="39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</row>
    <row r="153" spans="1:47" s="11" customFormat="1" ht="30" customHeight="1" x14ac:dyDescent="0.25">
      <c r="A153" s="67"/>
      <c r="B153" s="111"/>
      <c r="C153" s="112"/>
      <c r="D153" s="64"/>
      <c r="E153" s="61"/>
      <c r="F153" s="64"/>
      <c r="G153" s="40" t="str">
        <f>G148</f>
        <v>43.8</v>
      </c>
      <c r="H153" s="40" t="str">
        <f>H148</f>
        <v>43.8</v>
      </c>
      <c r="I153" s="40"/>
      <c r="J153" s="40" t="s">
        <v>28</v>
      </c>
      <c r="K153" s="39"/>
      <c r="L153" s="104"/>
      <c r="M153" s="39"/>
      <c r="N153" s="39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</row>
    <row r="154" spans="1:47" s="11" customFormat="1" ht="30" customHeight="1" x14ac:dyDescent="0.25">
      <c r="A154" s="67"/>
      <c r="B154" s="111"/>
      <c r="C154" s="112"/>
      <c r="D154" s="64"/>
      <c r="E154" s="61"/>
      <c r="F154" s="64"/>
      <c r="G154" s="40" t="str">
        <f>G148</f>
        <v>43.8</v>
      </c>
      <c r="H154" s="40" t="str">
        <f>H148</f>
        <v>43.8</v>
      </c>
      <c r="I154" s="40"/>
      <c r="J154" s="40" t="s">
        <v>29</v>
      </c>
      <c r="K154" s="39"/>
      <c r="L154" s="104"/>
      <c r="M154" s="39"/>
      <c r="N154" s="39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</row>
    <row r="155" spans="1:47" s="11" customFormat="1" ht="30" customHeight="1" x14ac:dyDescent="0.25">
      <c r="A155" s="67"/>
      <c r="B155" s="111"/>
      <c r="C155" s="112"/>
      <c r="D155" s="65"/>
      <c r="E155" s="62"/>
      <c r="F155" s="65"/>
      <c r="G155" s="40" t="str">
        <f>G148</f>
        <v>43.8</v>
      </c>
      <c r="H155" s="40" t="str">
        <f>H148</f>
        <v>43.8</v>
      </c>
      <c r="I155" s="40"/>
      <c r="J155" s="40" t="s">
        <v>137</v>
      </c>
      <c r="K155" s="39"/>
      <c r="L155" s="104"/>
      <c r="M155" s="39"/>
      <c r="N155" s="39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</row>
    <row r="156" spans="1:47" s="11" customFormat="1" ht="30" customHeight="1" x14ac:dyDescent="0.25">
      <c r="A156" s="67"/>
      <c r="B156" s="111"/>
      <c r="C156" s="112"/>
      <c r="D156" s="63" t="s">
        <v>16</v>
      </c>
      <c r="E156" s="60" t="s">
        <v>49</v>
      </c>
      <c r="F156" s="63" t="s">
        <v>4</v>
      </c>
      <c r="G156" s="69" t="s">
        <v>186</v>
      </c>
      <c r="H156" s="70"/>
      <c r="I156" s="71"/>
      <c r="J156" s="40" t="s">
        <v>1</v>
      </c>
      <c r="K156" s="39"/>
      <c r="L156" s="104"/>
      <c r="M156" s="39"/>
      <c r="N156" s="48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</row>
    <row r="157" spans="1:47" s="11" customFormat="1" ht="30" customHeight="1" x14ac:dyDescent="0.25">
      <c r="A157" s="67"/>
      <c r="B157" s="111"/>
      <c r="C157" s="112"/>
      <c r="D157" s="64"/>
      <c r="E157" s="61"/>
      <c r="F157" s="64"/>
      <c r="G157" s="72"/>
      <c r="H157" s="73"/>
      <c r="I157" s="74"/>
      <c r="J157" s="40" t="s">
        <v>2</v>
      </c>
      <c r="K157" s="39"/>
      <c r="L157" s="104"/>
      <c r="M157" s="39"/>
      <c r="N157" s="48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</row>
    <row r="158" spans="1:47" s="11" customFormat="1" ht="30" customHeight="1" x14ac:dyDescent="0.25">
      <c r="A158" s="67"/>
      <c r="B158" s="111"/>
      <c r="C158" s="112"/>
      <c r="D158" s="64"/>
      <c r="E158" s="61"/>
      <c r="F158" s="64"/>
      <c r="G158" s="72"/>
      <c r="H158" s="73"/>
      <c r="I158" s="74"/>
      <c r="J158" s="40" t="s">
        <v>3</v>
      </c>
      <c r="K158" s="39"/>
      <c r="L158" s="104"/>
      <c r="M158" s="39"/>
      <c r="N158" s="48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</row>
    <row r="159" spans="1:47" s="11" customFormat="1" ht="30" customHeight="1" x14ac:dyDescent="0.25">
      <c r="A159" s="67"/>
      <c r="B159" s="111"/>
      <c r="C159" s="112"/>
      <c r="D159" s="64"/>
      <c r="E159" s="61"/>
      <c r="F159" s="64"/>
      <c r="G159" s="72"/>
      <c r="H159" s="73"/>
      <c r="I159" s="74"/>
      <c r="J159" s="40" t="s">
        <v>26</v>
      </c>
      <c r="K159" s="39"/>
      <c r="L159" s="104"/>
      <c r="M159" s="39"/>
      <c r="N159" s="48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</row>
    <row r="160" spans="1:47" s="11" customFormat="1" ht="30" customHeight="1" x14ac:dyDescent="0.25">
      <c r="A160" s="67"/>
      <c r="B160" s="111"/>
      <c r="C160" s="112"/>
      <c r="D160" s="64"/>
      <c r="E160" s="61"/>
      <c r="F160" s="64"/>
      <c r="G160" s="72"/>
      <c r="H160" s="73"/>
      <c r="I160" s="74"/>
      <c r="J160" s="40" t="s">
        <v>27</v>
      </c>
      <c r="K160" s="39"/>
      <c r="L160" s="104"/>
      <c r="M160" s="39"/>
      <c r="N160" s="48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</row>
    <row r="161" spans="1:47" s="11" customFormat="1" ht="30" customHeight="1" x14ac:dyDescent="0.25">
      <c r="A161" s="67"/>
      <c r="B161" s="111"/>
      <c r="C161" s="112"/>
      <c r="D161" s="64"/>
      <c r="E161" s="61"/>
      <c r="F161" s="64"/>
      <c r="G161" s="72"/>
      <c r="H161" s="73"/>
      <c r="I161" s="74"/>
      <c r="J161" s="40" t="s">
        <v>28</v>
      </c>
      <c r="K161" s="39"/>
      <c r="L161" s="104"/>
      <c r="M161" s="39"/>
      <c r="N161" s="48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</row>
    <row r="162" spans="1:47" s="11" customFormat="1" ht="30" customHeight="1" x14ac:dyDescent="0.25">
      <c r="A162" s="67"/>
      <c r="B162" s="111"/>
      <c r="C162" s="112"/>
      <c r="D162" s="64"/>
      <c r="E162" s="61"/>
      <c r="F162" s="64"/>
      <c r="G162" s="72"/>
      <c r="H162" s="73"/>
      <c r="I162" s="74"/>
      <c r="J162" s="40" t="s">
        <v>29</v>
      </c>
      <c r="K162" s="39"/>
      <c r="L162" s="104"/>
      <c r="M162" s="39"/>
      <c r="N162" s="48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</row>
    <row r="163" spans="1:47" s="11" customFormat="1" ht="30" customHeight="1" x14ac:dyDescent="0.25">
      <c r="A163" s="67"/>
      <c r="B163" s="111"/>
      <c r="C163" s="112"/>
      <c r="D163" s="65"/>
      <c r="E163" s="62"/>
      <c r="F163" s="65"/>
      <c r="G163" s="75"/>
      <c r="H163" s="76"/>
      <c r="I163" s="77"/>
      <c r="J163" s="40" t="s">
        <v>137</v>
      </c>
      <c r="K163" s="39"/>
      <c r="L163" s="104"/>
      <c r="M163" s="39"/>
      <c r="N163" s="48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</row>
    <row r="164" spans="1:47" s="11" customFormat="1" ht="30" customHeight="1" x14ac:dyDescent="0.25">
      <c r="A164" s="67"/>
      <c r="B164" s="111"/>
      <c r="C164" s="112"/>
      <c r="D164" s="63" t="s">
        <v>17</v>
      </c>
      <c r="E164" s="60" t="s">
        <v>48</v>
      </c>
      <c r="F164" s="63" t="s">
        <v>4</v>
      </c>
      <c r="G164" s="78" t="s">
        <v>185</v>
      </c>
      <c r="H164" s="70"/>
      <c r="I164" s="71"/>
      <c r="J164" s="40" t="s">
        <v>1</v>
      </c>
      <c r="K164" s="39"/>
      <c r="L164" s="104"/>
      <c r="M164" s="39"/>
      <c r="N164" s="48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</row>
    <row r="165" spans="1:47" s="11" customFormat="1" ht="30" customHeight="1" x14ac:dyDescent="0.25">
      <c r="A165" s="67"/>
      <c r="B165" s="111"/>
      <c r="C165" s="112"/>
      <c r="D165" s="64"/>
      <c r="E165" s="61"/>
      <c r="F165" s="64"/>
      <c r="G165" s="72"/>
      <c r="H165" s="73"/>
      <c r="I165" s="74"/>
      <c r="J165" s="40" t="s">
        <v>2</v>
      </c>
      <c r="K165" s="39"/>
      <c r="L165" s="104"/>
      <c r="M165" s="39"/>
      <c r="N165" s="48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</row>
    <row r="166" spans="1:47" s="11" customFormat="1" ht="30" customHeight="1" x14ac:dyDescent="0.25">
      <c r="A166" s="67"/>
      <c r="B166" s="111"/>
      <c r="C166" s="112"/>
      <c r="D166" s="64"/>
      <c r="E166" s="61"/>
      <c r="F166" s="64"/>
      <c r="G166" s="72"/>
      <c r="H166" s="73"/>
      <c r="I166" s="74"/>
      <c r="J166" s="40" t="s">
        <v>3</v>
      </c>
      <c r="K166" s="39"/>
      <c r="L166" s="104"/>
      <c r="M166" s="39"/>
      <c r="N166" s="48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</row>
    <row r="167" spans="1:47" s="11" customFormat="1" ht="30" customHeight="1" x14ac:dyDescent="0.25">
      <c r="A167" s="67"/>
      <c r="B167" s="111"/>
      <c r="C167" s="112"/>
      <c r="D167" s="64"/>
      <c r="E167" s="61"/>
      <c r="F167" s="64"/>
      <c r="G167" s="72"/>
      <c r="H167" s="73"/>
      <c r="I167" s="74"/>
      <c r="J167" s="40" t="s">
        <v>26</v>
      </c>
      <c r="K167" s="39"/>
      <c r="L167" s="104"/>
      <c r="M167" s="39"/>
      <c r="N167" s="48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</row>
    <row r="168" spans="1:47" s="11" customFormat="1" ht="30" customHeight="1" x14ac:dyDescent="0.25">
      <c r="A168" s="67"/>
      <c r="B168" s="111"/>
      <c r="C168" s="112"/>
      <c r="D168" s="64"/>
      <c r="E168" s="61"/>
      <c r="F168" s="64"/>
      <c r="G168" s="72"/>
      <c r="H168" s="73"/>
      <c r="I168" s="74"/>
      <c r="J168" s="40" t="s">
        <v>27</v>
      </c>
      <c r="K168" s="39"/>
      <c r="L168" s="104"/>
      <c r="M168" s="39"/>
      <c r="N168" s="48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</row>
    <row r="169" spans="1:47" s="11" customFormat="1" ht="30" customHeight="1" x14ac:dyDescent="0.25">
      <c r="A169" s="67"/>
      <c r="B169" s="111"/>
      <c r="C169" s="112"/>
      <c r="D169" s="64"/>
      <c r="E169" s="61"/>
      <c r="F169" s="64"/>
      <c r="G169" s="72"/>
      <c r="H169" s="73"/>
      <c r="I169" s="74"/>
      <c r="J169" s="40" t="s">
        <v>28</v>
      </c>
      <c r="K169" s="39"/>
      <c r="L169" s="104"/>
      <c r="M169" s="39"/>
      <c r="N169" s="48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</row>
    <row r="170" spans="1:47" s="11" customFormat="1" ht="30" customHeight="1" x14ac:dyDescent="0.25">
      <c r="A170" s="67"/>
      <c r="B170" s="111"/>
      <c r="C170" s="112"/>
      <c r="D170" s="64"/>
      <c r="E170" s="61"/>
      <c r="F170" s="64"/>
      <c r="G170" s="72"/>
      <c r="H170" s="73"/>
      <c r="I170" s="74"/>
      <c r="J170" s="40" t="s">
        <v>29</v>
      </c>
      <c r="K170" s="39"/>
      <c r="L170" s="104"/>
      <c r="M170" s="39"/>
      <c r="N170" s="48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</row>
    <row r="171" spans="1:47" s="11" customFormat="1" ht="30" customHeight="1" x14ac:dyDescent="0.25">
      <c r="A171" s="68"/>
      <c r="B171" s="113"/>
      <c r="C171" s="114"/>
      <c r="D171" s="65"/>
      <c r="E171" s="62"/>
      <c r="F171" s="65"/>
      <c r="G171" s="75"/>
      <c r="H171" s="76"/>
      <c r="I171" s="77"/>
      <c r="J171" s="40" t="s">
        <v>137</v>
      </c>
      <c r="K171" s="39"/>
      <c r="L171" s="105"/>
      <c r="M171" s="39"/>
      <c r="N171" s="48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</row>
    <row r="172" spans="1:47" s="11" customFormat="1" ht="30" customHeight="1" x14ac:dyDescent="0.25">
      <c r="A172" s="1" t="s">
        <v>47</v>
      </c>
      <c r="B172" s="2" t="s">
        <v>105</v>
      </c>
      <c r="C172" s="3"/>
      <c r="D172" s="3"/>
      <c r="E172" s="3"/>
      <c r="F172" s="3"/>
      <c r="G172" s="43"/>
      <c r="H172" s="43"/>
      <c r="I172" s="43"/>
      <c r="J172" s="43"/>
      <c r="K172" s="43"/>
      <c r="L172" s="43"/>
      <c r="M172" s="39"/>
      <c r="N172" s="44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</row>
    <row r="173" spans="1:47" s="11" customFormat="1" ht="30" customHeight="1" x14ac:dyDescent="0.25">
      <c r="A173" s="66" t="s">
        <v>74</v>
      </c>
      <c r="B173" s="85" t="s">
        <v>75</v>
      </c>
      <c r="C173" s="86"/>
      <c r="D173" s="87"/>
      <c r="E173" s="79" t="s">
        <v>48</v>
      </c>
      <c r="F173" s="60" t="s">
        <v>183</v>
      </c>
      <c r="G173" s="40" t="s">
        <v>191</v>
      </c>
      <c r="H173" s="40" t="str">
        <f>G174</f>
        <v>-94.9</v>
      </c>
      <c r="I173" s="40"/>
      <c r="J173" s="40" t="s">
        <v>138</v>
      </c>
      <c r="K173" s="39"/>
      <c r="L173" s="80" t="s">
        <v>158</v>
      </c>
      <c r="M173" s="39"/>
      <c r="N173" s="19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</row>
    <row r="174" spans="1:47" s="11" customFormat="1" ht="30" customHeight="1" x14ac:dyDescent="0.25">
      <c r="A174" s="67"/>
      <c r="B174" s="88"/>
      <c r="C174" s="89"/>
      <c r="D174" s="90"/>
      <c r="E174" s="79"/>
      <c r="F174" s="61"/>
      <c r="G174" s="40" t="str">
        <f>G173</f>
        <v>-94.9</v>
      </c>
      <c r="H174" s="40" t="str">
        <f t="shared" ref="H174:H179" si="7">G175</f>
        <v>-94.9</v>
      </c>
      <c r="I174" s="40"/>
      <c r="J174" s="40" t="s">
        <v>139</v>
      </c>
      <c r="K174" s="39"/>
      <c r="L174" s="81"/>
      <c r="M174" s="39"/>
      <c r="N174" s="19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</row>
    <row r="175" spans="1:47" s="11" customFormat="1" ht="30" customHeight="1" x14ac:dyDescent="0.25">
      <c r="A175" s="67"/>
      <c r="B175" s="88"/>
      <c r="C175" s="89"/>
      <c r="D175" s="90"/>
      <c r="E175" s="79"/>
      <c r="F175" s="61"/>
      <c r="G175" s="40" t="str">
        <f t="shared" ref="G175:G180" si="8">G174</f>
        <v>-94.9</v>
      </c>
      <c r="H175" s="40" t="str">
        <f t="shared" si="7"/>
        <v>-94.9</v>
      </c>
      <c r="I175" s="40"/>
      <c r="J175" s="40" t="s">
        <v>140</v>
      </c>
      <c r="K175" s="39"/>
      <c r="L175" s="81"/>
      <c r="M175" s="39"/>
      <c r="N175" s="19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</row>
    <row r="176" spans="1:47" s="11" customFormat="1" ht="30" customHeight="1" x14ac:dyDescent="0.25">
      <c r="A176" s="67"/>
      <c r="B176" s="88"/>
      <c r="C176" s="89"/>
      <c r="D176" s="90"/>
      <c r="E176" s="79"/>
      <c r="F176" s="61"/>
      <c r="G176" s="40" t="str">
        <f t="shared" si="8"/>
        <v>-94.9</v>
      </c>
      <c r="H176" s="40" t="str">
        <f t="shared" si="7"/>
        <v>-94.9</v>
      </c>
      <c r="I176" s="40"/>
      <c r="J176" s="40" t="s">
        <v>141</v>
      </c>
      <c r="K176" s="39"/>
      <c r="L176" s="81"/>
      <c r="M176" s="39"/>
      <c r="N176" s="19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</row>
    <row r="177" spans="1:47" s="11" customFormat="1" ht="30" customHeight="1" x14ac:dyDescent="0.25">
      <c r="A177" s="67"/>
      <c r="B177" s="88"/>
      <c r="C177" s="89"/>
      <c r="D177" s="90"/>
      <c r="E177" s="79"/>
      <c r="F177" s="61"/>
      <c r="G177" s="40" t="str">
        <f t="shared" si="8"/>
        <v>-94.9</v>
      </c>
      <c r="H177" s="40" t="str">
        <f t="shared" si="7"/>
        <v>-94.9</v>
      </c>
      <c r="I177" s="40"/>
      <c r="J177" s="40" t="s">
        <v>142</v>
      </c>
      <c r="K177" s="39"/>
      <c r="L177" s="81"/>
      <c r="M177" s="39"/>
      <c r="N177" s="19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</row>
    <row r="178" spans="1:47" s="11" customFormat="1" ht="30" customHeight="1" x14ac:dyDescent="0.25">
      <c r="A178" s="67"/>
      <c r="B178" s="88"/>
      <c r="C178" s="89"/>
      <c r="D178" s="90"/>
      <c r="E178" s="79"/>
      <c r="F178" s="61"/>
      <c r="G178" s="40" t="str">
        <f t="shared" si="8"/>
        <v>-94.9</v>
      </c>
      <c r="H178" s="40" t="str">
        <f t="shared" si="7"/>
        <v>-94.9</v>
      </c>
      <c r="I178" s="40"/>
      <c r="J178" s="40" t="s">
        <v>143</v>
      </c>
      <c r="K178" s="39"/>
      <c r="L178" s="81"/>
      <c r="M178" s="39"/>
      <c r="N178" s="19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</row>
    <row r="179" spans="1:47" s="11" customFormat="1" ht="30" customHeight="1" x14ac:dyDescent="0.25">
      <c r="A179" s="67"/>
      <c r="B179" s="88"/>
      <c r="C179" s="89"/>
      <c r="D179" s="90"/>
      <c r="E179" s="79"/>
      <c r="F179" s="61"/>
      <c r="G179" s="40" t="str">
        <f t="shared" si="8"/>
        <v>-94.9</v>
      </c>
      <c r="H179" s="40" t="str">
        <f t="shared" si="7"/>
        <v>-94.9</v>
      </c>
      <c r="I179" s="40"/>
      <c r="J179" s="40" t="s">
        <v>144</v>
      </c>
      <c r="K179" s="39"/>
      <c r="L179" s="81"/>
      <c r="M179" s="39"/>
      <c r="N179" s="19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</row>
    <row r="180" spans="1:47" s="11" customFormat="1" ht="30" customHeight="1" x14ac:dyDescent="0.25">
      <c r="A180" s="68"/>
      <c r="B180" s="91"/>
      <c r="C180" s="92"/>
      <c r="D180" s="93"/>
      <c r="E180" s="79"/>
      <c r="F180" s="62"/>
      <c r="G180" s="40" t="str">
        <f t="shared" si="8"/>
        <v>-94.9</v>
      </c>
      <c r="H180" s="40" t="str">
        <f>H173</f>
        <v>-94.9</v>
      </c>
      <c r="I180" s="40"/>
      <c r="J180" s="40" t="s">
        <v>145</v>
      </c>
      <c r="K180" s="39"/>
      <c r="L180" s="82"/>
      <c r="M180" s="39"/>
      <c r="N180" s="19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</row>
    <row r="181" spans="1:47" s="11" customFormat="1" ht="30" customHeight="1" x14ac:dyDescent="0.25">
      <c r="A181" s="83" t="s">
        <v>111</v>
      </c>
      <c r="B181" s="94" t="s">
        <v>112</v>
      </c>
      <c r="C181" s="95"/>
      <c r="D181" s="96"/>
      <c r="E181" s="79" t="s">
        <v>49</v>
      </c>
      <c r="F181" s="79" t="s">
        <v>184</v>
      </c>
      <c r="G181" s="49" t="s">
        <v>192</v>
      </c>
      <c r="H181" s="49" t="str">
        <f>G182</f>
        <v>-69.1</v>
      </c>
      <c r="I181" s="40"/>
      <c r="J181" s="40" t="s">
        <v>138</v>
      </c>
      <c r="K181" s="39"/>
      <c r="L181" s="84" t="s">
        <v>159</v>
      </c>
      <c r="M181" s="39"/>
      <c r="N181" s="39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</row>
    <row r="182" spans="1:47" ht="30" customHeight="1" x14ac:dyDescent="0.25">
      <c r="A182" s="83"/>
      <c r="B182" s="97"/>
      <c r="C182" s="98"/>
      <c r="D182" s="99"/>
      <c r="E182" s="79"/>
      <c r="F182" s="79"/>
      <c r="G182" s="49" t="str">
        <f>G181</f>
        <v>-69.1</v>
      </c>
      <c r="H182" s="49" t="str">
        <f t="shared" ref="H182:H187" si="9">G183</f>
        <v>-69.1</v>
      </c>
      <c r="I182" s="40"/>
      <c r="J182" s="40" t="s">
        <v>139</v>
      </c>
      <c r="K182" s="39"/>
      <c r="L182" s="84"/>
      <c r="M182" s="39"/>
      <c r="N182" s="39"/>
    </row>
    <row r="183" spans="1:47" ht="30" customHeight="1" x14ac:dyDescent="0.25">
      <c r="A183" s="83"/>
      <c r="B183" s="97"/>
      <c r="C183" s="98"/>
      <c r="D183" s="99"/>
      <c r="E183" s="79"/>
      <c r="F183" s="79"/>
      <c r="G183" s="49" t="str">
        <f t="shared" ref="G183:G188" si="10">G182</f>
        <v>-69.1</v>
      </c>
      <c r="H183" s="49" t="str">
        <f t="shared" si="9"/>
        <v>-69.1</v>
      </c>
      <c r="I183" s="40"/>
      <c r="J183" s="40" t="s">
        <v>140</v>
      </c>
      <c r="K183" s="39"/>
      <c r="L183" s="84"/>
      <c r="M183" s="39"/>
      <c r="N183" s="39"/>
    </row>
    <row r="184" spans="1:47" ht="30" customHeight="1" x14ac:dyDescent="0.25">
      <c r="A184" s="83"/>
      <c r="B184" s="97"/>
      <c r="C184" s="98"/>
      <c r="D184" s="99"/>
      <c r="E184" s="79"/>
      <c r="F184" s="79"/>
      <c r="G184" s="49" t="str">
        <f t="shared" si="10"/>
        <v>-69.1</v>
      </c>
      <c r="H184" s="49" t="str">
        <f t="shared" si="9"/>
        <v>-69.1</v>
      </c>
      <c r="I184" s="40"/>
      <c r="J184" s="40" t="s">
        <v>141</v>
      </c>
      <c r="K184" s="39"/>
      <c r="L184" s="84"/>
      <c r="M184" s="39"/>
      <c r="N184" s="39"/>
    </row>
    <row r="185" spans="1:47" ht="30" customHeight="1" x14ac:dyDescent="0.25">
      <c r="A185" s="83"/>
      <c r="B185" s="97"/>
      <c r="C185" s="98"/>
      <c r="D185" s="99"/>
      <c r="E185" s="79"/>
      <c r="F185" s="79"/>
      <c r="G185" s="49" t="str">
        <f t="shared" si="10"/>
        <v>-69.1</v>
      </c>
      <c r="H185" s="49" t="str">
        <f t="shared" si="9"/>
        <v>-69.1</v>
      </c>
      <c r="I185" s="40"/>
      <c r="J185" s="40" t="s">
        <v>142</v>
      </c>
      <c r="K185" s="39"/>
      <c r="L185" s="84"/>
      <c r="M185" s="39"/>
      <c r="N185" s="39"/>
    </row>
    <row r="186" spans="1:47" ht="30" customHeight="1" x14ac:dyDescent="0.25">
      <c r="A186" s="83"/>
      <c r="B186" s="97"/>
      <c r="C186" s="98"/>
      <c r="D186" s="99"/>
      <c r="E186" s="79"/>
      <c r="F186" s="79"/>
      <c r="G186" s="49" t="str">
        <f t="shared" si="10"/>
        <v>-69.1</v>
      </c>
      <c r="H186" s="49" t="str">
        <f t="shared" si="9"/>
        <v>-69.1</v>
      </c>
      <c r="I186" s="40"/>
      <c r="J186" s="40" t="s">
        <v>143</v>
      </c>
      <c r="K186" s="39"/>
      <c r="L186" s="84"/>
      <c r="M186" s="39"/>
      <c r="N186" s="39"/>
    </row>
    <row r="187" spans="1:47" ht="30" customHeight="1" x14ac:dyDescent="0.25">
      <c r="A187" s="83"/>
      <c r="B187" s="97"/>
      <c r="C187" s="98"/>
      <c r="D187" s="99"/>
      <c r="E187" s="79"/>
      <c r="F187" s="79"/>
      <c r="G187" s="49" t="str">
        <f t="shared" si="10"/>
        <v>-69.1</v>
      </c>
      <c r="H187" s="49" t="str">
        <f t="shared" si="9"/>
        <v>-69.1</v>
      </c>
      <c r="I187" s="40"/>
      <c r="J187" s="40" t="s">
        <v>144</v>
      </c>
      <c r="K187" s="39"/>
      <c r="L187" s="84"/>
      <c r="M187" s="39"/>
      <c r="N187" s="39"/>
    </row>
    <row r="188" spans="1:47" ht="30" customHeight="1" x14ac:dyDescent="0.25">
      <c r="A188" s="83"/>
      <c r="B188" s="100"/>
      <c r="C188" s="101"/>
      <c r="D188" s="102"/>
      <c r="E188" s="79"/>
      <c r="F188" s="79"/>
      <c r="G188" s="49" t="str">
        <f t="shared" si="10"/>
        <v>-69.1</v>
      </c>
      <c r="H188" s="49" t="str">
        <f>H187</f>
        <v>-69.1</v>
      </c>
      <c r="I188" s="40"/>
      <c r="J188" s="40" t="s">
        <v>145</v>
      </c>
      <c r="K188" s="39"/>
      <c r="L188" s="84"/>
      <c r="M188" s="39"/>
      <c r="N188" s="39"/>
    </row>
    <row r="189" spans="1:47" ht="30" customHeight="1" x14ac:dyDescent="0.25">
      <c r="A189" s="83" t="s">
        <v>113</v>
      </c>
      <c r="B189" s="94" t="s">
        <v>114</v>
      </c>
      <c r="C189" s="95"/>
      <c r="D189" s="96"/>
      <c r="E189" s="79" t="s">
        <v>49</v>
      </c>
      <c r="F189" s="60" t="s">
        <v>183</v>
      </c>
      <c r="G189" s="49" t="s">
        <v>193</v>
      </c>
      <c r="H189" s="49" t="str">
        <f>G189</f>
        <v>-52</v>
      </c>
      <c r="I189" s="40"/>
      <c r="J189" s="40" t="s">
        <v>138</v>
      </c>
      <c r="K189" s="39"/>
      <c r="L189" s="84" t="s">
        <v>160</v>
      </c>
      <c r="M189" s="39"/>
      <c r="N189" s="39"/>
    </row>
    <row r="190" spans="1:47" ht="30" customHeight="1" x14ac:dyDescent="0.25">
      <c r="A190" s="83"/>
      <c r="B190" s="97"/>
      <c r="C190" s="98"/>
      <c r="D190" s="99"/>
      <c r="E190" s="79"/>
      <c r="F190" s="61"/>
      <c r="G190" s="49" t="str">
        <f>G189</f>
        <v>-52</v>
      </c>
      <c r="H190" s="49" t="str">
        <f>G190</f>
        <v>-52</v>
      </c>
      <c r="I190" s="40"/>
      <c r="J190" s="40" t="s">
        <v>139</v>
      </c>
      <c r="K190" s="39"/>
      <c r="L190" s="84"/>
      <c r="M190" s="39"/>
      <c r="N190" s="39"/>
    </row>
    <row r="191" spans="1:47" ht="30" customHeight="1" x14ac:dyDescent="0.25">
      <c r="A191" s="83"/>
      <c r="B191" s="97"/>
      <c r="C191" s="98"/>
      <c r="D191" s="99"/>
      <c r="E191" s="79"/>
      <c r="F191" s="61"/>
      <c r="G191" s="49" t="str">
        <f t="shared" ref="G191:G196" si="11">G190</f>
        <v>-52</v>
      </c>
      <c r="H191" s="49" t="str">
        <f t="shared" ref="H191:H196" si="12">G191</f>
        <v>-52</v>
      </c>
      <c r="I191" s="40"/>
      <c r="J191" s="40" t="s">
        <v>140</v>
      </c>
      <c r="K191" s="39"/>
      <c r="L191" s="84"/>
      <c r="M191" s="39"/>
      <c r="N191" s="39"/>
    </row>
    <row r="192" spans="1:47" ht="30" customHeight="1" x14ac:dyDescent="0.25">
      <c r="A192" s="83"/>
      <c r="B192" s="97"/>
      <c r="C192" s="98"/>
      <c r="D192" s="99"/>
      <c r="E192" s="79"/>
      <c r="F192" s="61"/>
      <c r="G192" s="49" t="str">
        <f t="shared" si="11"/>
        <v>-52</v>
      </c>
      <c r="H192" s="49" t="str">
        <f t="shared" si="12"/>
        <v>-52</v>
      </c>
      <c r="I192" s="40"/>
      <c r="J192" s="40" t="s">
        <v>141</v>
      </c>
      <c r="K192" s="39"/>
      <c r="L192" s="84"/>
      <c r="M192" s="39"/>
      <c r="N192" s="39"/>
    </row>
    <row r="193" spans="1:14" ht="30" customHeight="1" x14ac:dyDescent="0.25">
      <c r="A193" s="83"/>
      <c r="B193" s="97"/>
      <c r="C193" s="98"/>
      <c r="D193" s="99"/>
      <c r="E193" s="79"/>
      <c r="F193" s="61"/>
      <c r="G193" s="49" t="str">
        <f t="shared" si="11"/>
        <v>-52</v>
      </c>
      <c r="H193" s="49" t="str">
        <f t="shared" si="12"/>
        <v>-52</v>
      </c>
      <c r="I193" s="40"/>
      <c r="J193" s="40" t="s">
        <v>142</v>
      </c>
      <c r="K193" s="39"/>
      <c r="L193" s="84"/>
      <c r="M193" s="39"/>
      <c r="N193" s="39"/>
    </row>
    <row r="194" spans="1:14" ht="30" customHeight="1" x14ac:dyDescent="0.25">
      <c r="A194" s="83"/>
      <c r="B194" s="97"/>
      <c r="C194" s="98"/>
      <c r="D194" s="99"/>
      <c r="E194" s="79"/>
      <c r="F194" s="61"/>
      <c r="G194" s="49" t="str">
        <f t="shared" si="11"/>
        <v>-52</v>
      </c>
      <c r="H194" s="49" t="str">
        <f t="shared" si="12"/>
        <v>-52</v>
      </c>
      <c r="I194" s="40"/>
      <c r="J194" s="40" t="s">
        <v>143</v>
      </c>
      <c r="K194" s="39"/>
      <c r="L194" s="84"/>
      <c r="M194" s="39"/>
      <c r="N194" s="39"/>
    </row>
    <row r="195" spans="1:14" ht="30" customHeight="1" x14ac:dyDescent="0.25">
      <c r="A195" s="83"/>
      <c r="B195" s="97"/>
      <c r="C195" s="98"/>
      <c r="D195" s="99"/>
      <c r="E195" s="79"/>
      <c r="F195" s="61"/>
      <c r="G195" s="49" t="str">
        <f t="shared" si="11"/>
        <v>-52</v>
      </c>
      <c r="H195" s="49" t="str">
        <f t="shared" si="12"/>
        <v>-52</v>
      </c>
      <c r="I195" s="40"/>
      <c r="J195" s="40" t="s">
        <v>144</v>
      </c>
      <c r="K195" s="39"/>
      <c r="L195" s="84"/>
      <c r="M195" s="39"/>
      <c r="N195" s="39"/>
    </row>
    <row r="196" spans="1:14" ht="30" customHeight="1" x14ac:dyDescent="0.25">
      <c r="A196" s="83"/>
      <c r="B196" s="100"/>
      <c r="C196" s="101"/>
      <c r="D196" s="102"/>
      <c r="E196" s="79"/>
      <c r="F196" s="62"/>
      <c r="G196" s="49" t="str">
        <f t="shared" si="11"/>
        <v>-52</v>
      </c>
      <c r="H196" s="49" t="str">
        <f t="shared" si="12"/>
        <v>-52</v>
      </c>
      <c r="I196" s="40"/>
      <c r="J196" s="40" t="s">
        <v>145</v>
      </c>
      <c r="K196" s="39"/>
      <c r="L196" s="84"/>
      <c r="M196" s="39"/>
      <c r="N196" s="39"/>
    </row>
    <row r="197" spans="1:14" ht="30" customHeight="1" x14ac:dyDescent="0.25">
      <c r="A197" s="83" t="s">
        <v>115</v>
      </c>
      <c r="B197" s="94" t="s">
        <v>116</v>
      </c>
      <c r="C197" s="95"/>
      <c r="D197" s="96"/>
      <c r="E197" s="79" t="s">
        <v>49</v>
      </c>
      <c r="F197" s="60" t="s">
        <v>183</v>
      </c>
      <c r="G197" s="49" t="s">
        <v>194</v>
      </c>
      <c r="H197" s="49" t="str">
        <f>G197</f>
        <v>-43</v>
      </c>
      <c r="I197" s="40"/>
      <c r="J197" s="40" t="s">
        <v>138</v>
      </c>
      <c r="K197" s="39"/>
      <c r="L197" s="84" t="s">
        <v>161</v>
      </c>
      <c r="M197" s="39"/>
      <c r="N197" s="39"/>
    </row>
    <row r="198" spans="1:14" ht="30" customHeight="1" x14ac:dyDescent="0.25">
      <c r="A198" s="83"/>
      <c r="B198" s="97"/>
      <c r="C198" s="98"/>
      <c r="D198" s="99"/>
      <c r="E198" s="79"/>
      <c r="F198" s="61"/>
      <c r="G198" s="49" t="str">
        <f>G197</f>
        <v>-43</v>
      </c>
      <c r="H198" s="49" t="str">
        <f>G197</f>
        <v>-43</v>
      </c>
      <c r="I198" s="40"/>
      <c r="J198" s="40" t="s">
        <v>139</v>
      </c>
      <c r="K198" s="39"/>
      <c r="L198" s="84"/>
      <c r="M198" s="39"/>
      <c r="N198" s="39"/>
    </row>
    <row r="199" spans="1:14" ht="30" customHeight="1" x14ac:dyDescent="0.25">
      <c r="A199" s="83"/>
      <c r="B199" s="97"/>
      <c r="C199" s="98"/>
      <c r="D199" s="99"/>
      <c r="E199" s="79"/>
      <c r="F199" s="61"/>
      <c r="G199" s="49" t="str">
        <f>G197</f>
        <v>-43</v>
      </c>
      <c r="H199" s="49" t="str">
        <f t="shared" ref="H199" si="13">G199</f>
        <v>-43</v>
      </c>
      <c r="I199" s="40"/>
      <c r="J199" s="40" t="s">
        <v>140</v>
      </c>
      <c r="K199" s="39"/>
      <c r="L199" s="84"/>
      <c r="M199" s="39"/>
      <c r="N199" s="39"/>
    </row>
    <row r="200" spans="1:14" ht="30" customHeight="1" x14ac:dyDescent="0.25">
      <c r="A200" s="83"/>
      <c r="B200" s="97"/>
      <c r="C200" s="98"/>
      <c r="D200" s="99"/>
      <c r="E200" s="79"/>
      <c r="F200" s="61"/>
      <c r="G200" s="49" t="str">
        <f>G197</f>
        <v>-43</v>
      </c>
      <c r="H200" s="49" t="str">
        <f t="shared" ref="H200" si="14">G199</f>
        <v>-43</v>
      </c>
      <c r="I200" s="40"/>
      <c r="J200" s="40" t="s">
        <v>141</v>
      </c>
      <c r="K200" s="39"/>
      <c r="L200" s="84"/>
      <c r="M200" s="39"/>
      <c r="N200" s="39"/>
    </row>
    <row r="201" spans="1:14" ht="30" customHeight="1" x14ac:dyDescent="0.25">
      <c r="A201" s="83"/>
      <c r="B201" s="97"/>
      <c r="C201" s="98"/>
      <c r="D201" s="99"/>
      <c r="E201" s="79"/>
      <c r="F201" s="61"/>
      <c r="G201" s="49" t="str">
        <f>G197</f>
        <v>-43</v>
      </c>
      <c r="H201" s="49" t="str">
        <f t="shared" ref="H201" si="15">G201</f>
        <v>-43</v>
      </c>
      <c r="I201" s="40"/>
      <c r="J201" s="40" t="s">
        <v>142</v>
      </c>
      <c r="K201" s="39"/>
      <c r="L201" s="84"/>
      <c r="M201" s="39"/>
      <c r="N201" s="39"/>
    </row>
    <row r="202" spans="1:14" ht="30" customHeight="1" x14ac:dyDescent="0.25">
      <c r="A202" s="83"/>
      <c r="B202" s="97"/>
      <c r="C202" s="98"/>
      <c r="D202" s="99"/>
      <c r="E202" s="79"/>
      <c r="F202" s="61"/>
      <c r="G202" s="49" t="str">
        <f>G197</f>
        <v>-43</v>
      </c>
      <c r="H202" s="49" t="str">
        <f t="shared" ref="H202" si="16">G201</f>
        <v>-43</v>
      </c>
      <c r="I202" s="40"/>
      <c r="J202" s="40" t="s">
        <v>143</v>
      </c>
      <c r="K202" s="39"/>
      <c r="L202" s="84"/>
      <c r="M202" s="39"/>
      <c r="N202" s="39"/>
    </row>
    <row r="203" spans="1:14" ht="30" customHeight="1" x14ac:dyDescent="0.25">
      <c r="A203" s="83"/>
      <c r="B203" s="97"/>
      <c r="C203" s="98"/>
      <c r="D203" s="99"/>
      <c r="E203" s="79"/>
      <c r="F203" s="61"/>
      <c r="G203" s="49" t="str">
        <f>G197</f>
        <v>-43</v>
      </c>
      <c r="H203" s="49" t="str">
        <f t="shared" ref="H203" si="17">G203</f>
        <v>-43</v>
      </c>
      <c r="I203" s="40"/>
      <c r="J203" s="40" t="s">
        <v>144</v>
      </c>
      <c r="K203" s="39"/>
      <c r="L203" s="84"/>
      <c r="M203" s="39"/>
      <c r="N203" s="39"/>
    </row>
    <row r="204" spans="1:14" ht="30" customHeight="1" x14ac:dyDescent="0.25">
      <c r="A204" s="83"/>
      <c r="B204" s="100"/>
      <c r="C204" s="101"/>
      <c r="D204" s="102"/>
      <c r="E204" s="79"/>
      <c r="F204" s="62"/>
      <c r="G204" s="49" t="str">
        <f>G197</f>
        <v>-43</v>
      </c>
      <c r="H204" s="49" t="str">
        <f>G204</f>
        <v>-43</v>
      </c>
      <c r="I204" s="40"/>
      <c r="J204" s="40" t="s">
        <v>145</v>
      </c>
      <c r="K204" s="39"/>
      <c r="L204" s="84"/>
      <c r="M204" s="39"/>
      <c r="N204" s="39"/>
    </row>
    <row r="205" spans="1:14" ht="30" customHeight="1" x14ac:dyDescent="0.25">
      <c r="A205" s="83" t="s">
        <v>117</v>
      </c>
      <c r="B205" s="94" t="s">
        <v>118</v>
      </c>
      <c r="C205" s="95"/>
      <c r="D205" s="96"/>
      <c r="E205" s="79" t="s">
        <v>49</v>
      </c>
      <c r="F205" s="60" t="s">
        <v>183</v>
      </c>
      <c r="G205" s="51" t="s">
        <v>195</v>
      </c>
      <c r="H205" s="49" t="str">
        <f>G205</f>
        <v>-49</v>
      </c>
      <c r="I205" s="40"/>
      <c r="J205" s="40" t="s">
        <v>138</v>
      </c>
      <c r="K205" s="39"/>
      <c r="L205" s="84" t="s">
        <v>162</v>
      </c>
      <c r="M205" s="39"/>
      <c r="N205" s="39"/>
    </row>
    <row r="206" spans="1:14" ht="30" customHeight="1" x14ac:dyDescent="0.25">
      <c r="A206" s="83"/>
      <c r="B206" s="97"/>
      <c r="C206" s="98"/>
      <c r="D206" s="99"/>
      <c r="E206" s="79"/>
      <c r="F206" s="61"/>
      <c r="G206" s="49" t="str">
        <f>G205</f>
        <v>-49</v>
      </c>
      <c r="H206" s="49" t="str">
        <f>G205</f>
        <v>-49</v>
      </c>
      <c r="I206" s="40"/>
      <c r="J206" s="40" t="s">
        <v>139</v>
      </c>
      <c r="K206" s="39"/>
      <c r="L206" s="84"/>
      <c r="M206" s="39"/>
      <c r="N206" s="39"/>
    </row>
    <row r="207" spans="1:14" ht="30" customHeight="1" x14ac:dyDescent="0.25">
      <c r="A207" s="83"/>
      <c r="B207" s="97"/>
      <c r="C207" s="98"/>
      <c r="D207" s="99"/>
      <c r="E207" s="79"/>
      <c r="F207" s="61"/>
      <c r="G207" s="49" t="str">
        <f>G205</f>
        <v>-49</v>
      </c>
      <c r="H207" s="49" t="str">
        <f t="shared" ref="H207" si="18">G207</f>
        <v>-49</v>
      </c>
      <c r="I207" s="40"/>
      <c r="J207" s="40" t="s">
        <v>140</v>
      </c>
      <c r="K207" s="39"/>
      <c r="L207" s="84"/>
      <c r="M207" s="39"/>
      <c r="N207" s="39"/>
    </row>
    <row r="208" spans="1:14" ht="30" customHeight="1" x14ac:dyDescent="0.25">
      <c r="A208" s="83"/>
      <c r="B208" s="97"/>
      <c r="C208" s="98"/>
      <c r="D208" s="99"/>
      <c r="E208" s="79"/>
      <c r="F208" s="61"/>
      <c r="G208" s="49" t="str">
        <f>G205</f>
        <v>-49</v>
      </c>
      <c r="H208" s="49" t="str">
        <f t="shared" ref="H208" si="19">G207</f>
        <v>-49</v>
      </c>
      <c r="I208" s="40"/>
      <c r="J208" s="40" t="s">
        <v>141</v>
      </c>
      <c r="K208" s="39"/>
      <c r="L208" s="84"/>
      <c r="M208" s="39"/>
      <c r="N208" s="39"/>
    </row>
    <row r="209" spans="1:14" ht="30" customHeight="1" x14ac:dyDescent="0.25">
      <c r="A209" s="83"/>
      <c r="B209" s="97"/>
      <c r="C209" s="98"/>
      <c r="D209" s="99"/>
      <c r="E209" s="79"/>
      <c r="F209" s="61"/>
      <c r="G209" s="49" t="str">
        <f>G205</f>
        <v>-49</v>
      </c>
      <c r="H209" s="49" t="str">
        <f t="shared" ref="H209" si="20">G209</f>
        <v>-49</v>
      </c>
      <c r="I209" s="40"/>
      <c r="J209" s="40" t="s">
        <v>142</v>
      </c>
      <c r="K209" s="39"/>
      <c r="L209" s="84"/>
      <c r="M209" s="39"/>
      <c r="N209" s="39"/>
    </row>
    <row r="210" spans="1:14" ht="30" customHeight="1" x14ac:dyDescent="0.25">
      <c r="A210" s="83"/>
      <c r="B210" s="97"/>
      <c r="C210" s="98"/>
      <c r="D210" s="99"/>
      <c r="E210" s="79"/>
      <c r="F210" s="61"/>
      <c r="G210" s="49" t="str">
        <f>G205</f>
        <v>-49</v>
      </c>
      <c r="H210" s="49" t="str">
        <f t="shared" ref="H210" si="21">G209</f>
        <v>-49</v>
      </c>
      <c r="I210" s="40"/>
      <c r="J210" s="40" t="s">
        <v>143</v>
      </c>
      <c r="K210" s="39"/>
      <c r="L210" s="84"/>
      <c r="M210" s="39"/>
      <c r="N210" s="39"/>
    </row>
    <row r="211" spans="1:14" ht="30" customHeight="1" x14ac:dyDescent="0.25">
      <c r="A211" s="83"/>
      <c r="B211" s="97"/>
      <c r="C211" s="98"/>
      <c r="D211" s="99"/>
      <c r="E211" s="79"/>
      <c r="F211" s="61"/>
      <c r="G211" s="49" t="str">
        <f>G205</f>
        <v>-49</v>
      </c>
      <c r="H211" s="49" t="str">
        <f t="shared" ref="H211" si="22">G211</f>
        <v>-49</v>
      </c>
      <c r="I211" s="40"/>
      <c r="J211" s="40" t="s">
        <v>144</v>
      </c>
      <c r="K211" s="39"/>
      <c r="L211" s="84"/>
      <c r="M211" s="39"/>
      <c r="N211" s="39"/>
    </row>
    <row r="212" spans="1:14" ht="30" customHeight="1" x14ac:dyDescent="0.25">
      <c r="A212" s="83"/>
      <c r="B212" s="100"/>
      <c r="C212" s="101"/>
      <c r="D212" s="102"/>
      <c r="E212" s="79"/>
      <c r="F212" s="62"/>
      <c r="G212" s="49" t="str">
        <f>G205</f>
        <v>-49</v>
      </c>
      <c r="H212" s="49" t="str">
        <f t="shared" ref="H212" si="23">G211</f>
        <v>-49</v>
      </c>
      <c r="I212" s="40"/>
      <c r="J212" s="40" t="s">
        <v>145</v>
      </c>
      <c r="K212" s="39"/>
      <c r="L212" s="84"/>
      <c r="M212" s="39"/>
      <c r="N212" s="39"/>
    </row>
    <row r="213" spans="1:14" ht="30" customHeight="1" x14ac:dyDescent="0.25">
      <c r="A213" s="83" t="s">
        <v>119</v>
      </c>
      <c r="B213" s="94" t="s">
        <v>120</v>
      </c>
      <c r="C213" s="95"/>
      <c r="D213" s="96"/>
      <c r="E213" s="79" t="s">
        <v>49</v>
      </c>
      <c r="F213" s="60" t="s">
        <v>183</v>
      </c>
      <c r="G213" s="49" t="s">
        <v>196</v>
      </c>
      <c r="H213" s="49" t="str">
        <f>G213</f>
        <v>-15</v>
      </c>
      <c r="I213" s="40"/>
      <c r="J213" s="40" t="s">
        <v>138</v>
      </c>
      <c r="K213" s="39"/>
      <c r="L213" s="84" t="s">
        <v>163</v>
      </c>
      <c r="M213" s="39"/>
      <c r="N213" s="39"/>
    </row>
    <row r="214" spans="1:14" ht="30" customHeight="1" x14ac:dyDescent="0.25">
      <c r="A214" s="83"/>
      <c r="B214" s="97"/>
      <c r="C214" s="98"/>
      <c r="D214" s="99"/>
      <c r="E214" s="79"/>
      <c r="F214" s="61"/>
      <c r="G214" s="49" t="str">
        <f>G213</f>
        <v>-15</v>
      </c>
      <c r="H214" s="49" t="str">
        <f>G213</f>
        <v>-15</v>
      </c>
      <c r="I214" s="40"/>
      <c r="J214" s="40" t="s">
        <v>139</v>
      </c>
      <c r="K214" s="39"/>
      <c r="L214" s="84"/>
      <c r="M214" s="39"/>
      <c r="N214" s="39"/>
    </row>
    <row r="215" spans="1:14" ht="30" customHeight="1" x14ac:dyDescent="0.25">
      <c r="A215" s="83"/>
      <c r="B215" s="97"/>
      <c r="C215" s="98"/>
      <c r="D215" s="99"/>
      <c r="E215" s="79"/>
      <c r="F215" s="61"/>
      <c r="G215" s="49" t="str">
        <f>G213</f>
        <v>-15</v>
      </c>
      <c r="H215" s="49" t="str">
        <f t="shared" ref="H215" si="24">G215</f>
        <v>-15</v>
      </c>
      <c r="I215" s="40"/>
      <c r="J215" s="40" t="s">
        <v>140</v>
      </c>
      <c r="K215" s="39"/>
      <c r="L215" s="84"/>
      <c r="M215" s="39"/>
      <c r="N215" s="39"/>
    </row>
    <row r="216" spans="1:14" ht="30" customHeight="1" x14ac:dyDescent="0.25">
      <c r="A216" s="83"/>
      <c r="B216" s="97"/>
      <c r="C216" s="98"/>
      <c r="D216" s="99"/>
      <c r="E216" s="79"/>
      <c r="F216" s="61"/>
      <c r="G216" s="49" t="str">
        <f>G213</f>
        <v>-15</v>
      </c>
      <c r="H216" s="49" t="str">
        <f t="shared" ref="H216" si="25">G215</f>
        <v>-15</v>
      </c>
      <c r="I216" s="40"/>
      <c r="J216" s="40" t="s">
        <v>141</v>
      </c>
      <c r="K216" s="39"/>
      <c r="L216" s="84"/>
      <c r="M216" s="39"/>
      <c r="N216" s="39"/>
    </row>
    <row r="217" spans="1:14" ht="30" customHeight="1" x14ac:dyDescent="0.25">
      <c r="A217" s="83"/>
      <c r="B217" s="97"/>
      <c r="C217" s="98"/>
      <c r="D217" s="99"/>
      <c r="E217" s="79"/>
      <c r="F217" s="61"/>
      <c r="G217" s="49" t="str">
        <f>G213</f>
        <v>-15</v>
      </c>
      <c r="H217" s="49" t="str">
        <f t="shared" ref="H217" si="26">G217</f>
        <v>-15</v>
      </c>
      <c r="I217" s="40"/>
      <c r="J217" s="40" t="s">
        <v>142</v>
      </c>
      <c r="K217" s="39"/>
      <c r="L217" s="84"/>
      <c r="M217" s="39"/>
      <c r="N217" s="39"/>
    </row>
    <row r="218" spans="1:14" ht="30" customHeight="1" x14ac:dyDescent="0.25">
      <c r="A218" s="83"/>
      <c r="B218" s="97"/>
      <c r="C218" s="98"/>
      <c r="D218" s="99"/>
      <c r="E218" s="79"/>
      <c r="F218" s="61"/>
      <c r="G218" s="49" t="str">
        <f>G213</f>
        <v>-15</v>
      </c>
      <c r="H218" s="49" t="str">
        <f t="shared" ref="H218" si="27">G217</f>
        <v>-15</v>
      </c>
      <c r="I218" s="40"/>
      <c r="J218" s="40" t="s">
        <v>143</v>
      </c>
      <c r="K218" s="39"/>
      <c r="L218" s="84"/>
      <c r="M218" s="39"/>
      <c r="N218" s="39"/>
    </row>
    <row r="219" spans="1:14" ht="30" customHeight="1" x14ac:dyDescent="0.25">
      <c r="A219" s="83"/>
      <c r="B219" s="97"/>
      <c r="C219" s="98"/>
      <c r="D219" s="99"/>
      <c r="E219" s="79"/>
      <c r="F219" s="61"/>
      <c r="G219" s="49" t="str">
        <f>G213</f>
        <v>-15</v>
      </c>
      <c r="H219" s="49" t="str">
        <f t="shared" ref="H219" si="28">G219</f>
        <v>-15</v>
      </c>
      <c r="I219" s="40"/>
      <c r="J219" s="40" t="s">
        <v>144</v>
      </c>
      <c r="K219" s="39"/>
      <c r="L219" s="84"/>
      <c r="M219" s="39"/>
      <c r="N219" s="39"/>
    </row>
    <row r="220" spans="1:14" ht="30" customHeight="1" x14ac:dyDescent="0.25">
      <c r="A220" s="83"/>
      <c r="B220" s="100"/>
      <c r="C220" s="101"/>
      <c r="D220" s="102"/>
      <c r="E220" s="79"/>
      <c r="F220" s="62"/>
      <c r="G220" s="49" t="str">
        <f>G213</f>
        <v>-15</v>
      </c>
      <c r="H220" s="49" t="str">
        <f t="shared" ref="H220" si="29">G219</f>
        <v>-15</v>
      </c>
      <c r="I220" s="40"/>
      <c r="J220" s="40" t="s">
        <v>145</v>
      </c>
      <c r="K220" s="39"/>
      <c r="L220" s="84"/>
      <c r="M220" s="39"/>
      <c r="N220" s="39"/>
    </row>
    <row r="221" spans="1:14" ht="30" customHeight="1" x14ac:dyDescent="0.25">
      <c r="A221" s="83" t="s">
        <v>121</v>
      </c>
      <c r="B221" s="94" t="s">
        <v>122</v>
      </c>
      <c r="C221" s="95"/>
      <c r="D221" s="96"/>
      <c r="E221" s="79" t="s">
        <v>49</v>
      </c>
      <c r="F221" s="60"/>
      <c r="G221" s="78" t="s">
        <v>182</v>
      </c>
      <c r="H221" s="70"/>
      <c r="I221" s="71"/>
      <c r="J221" s="40" t="s">
        <v>138</v>
      </c>
      <c r="K221" s="39"/>
      <c r="L221" s="84" t="s">
        <v>164</v>
      </c>
      <c r="M221" s="39"/>
      <c r="N221" s="39"/>
    </row>
    <row r="222" spans="1:14" ht="30" customHeight="1" x14ac:dyDescent="0.25">
      <c r="A222" s="83"/>
      <c r="B222" s="97"/>
      <c r="C222" s="98"/>
      <c r="D222" s="99"/>
      <c r="E222" s="79"/>
      <c r="F222" s="61"/>
      <c r="G222" s="72"/>
      <c r="H222" s="73"/>
      <c r="I222" s="74"/>
      <c r="J222" s="40" t="s">
        <v>139</v>
      </c>
      <c r="K222" s="39"/>
      <c r="L222" s="84"/>
      <c r="M222" s="39"/>
      <c r="N222" s="39"/>
    </row>
    <row r="223" spans="1:14" ht="30" customHeight="1" x14ac:dyDescent="0.25">
      <c r="A223" s="83"/>
      <c r="B223" s="97"/>
      <c r="C223" s="98"/>
      <c r="D223" s="99"/>
      <c r="E223" s="79"/>
      <c r="F223" s="61"/>
      <c r="G223" s="72"/>
      <c r="H223" s="73"/>
      <c r="I223" s="74"/>
      <c r="J223" s="40" t="s">
        <v>140</v>
      </c>
      <c r="K223" s="39"/>
      <c r="L223" s="84"/>
      <c r="M223" s="39"/>
      <c r="N223" s="39"/>
    </row>
    <row r="224" spans="1:14" ht="30" customHeight="1" x14ac:dyDescent="0.25">
      <c r="A224" s="83"/>
      <c r="B224" s="97"/>
      <c r="C224" s="98"/>
      <c r="D224" s="99"/>
      <c r="E224" s="79"/>
      <c r="F224" s="61"/>
      <c r="G224" s="72"/>
      <c r="H224" s="73"/>
      <c r="I224" s="74"/>
      <c r="J224" s="40" t="s">
        <v>141</v>
      </c>
      <c r="K224" s="39"/>
      <c r="L224" s="84"/>
      <c r="M224" s="39"/>
      <c r="N224" s="39"/>
    </row>
    <row r="225" spans="1:14" ht="30" customHeight="1" x14ac:dyDescent="0.25">
      <c r="A225" s="83"/>
      <c r="B225" s="97"/>
      <c r="C225" s="98"/>
      <c r="D225" s="99"/>
      <c r="E225" s="79"/>
      <c r="F225" s="61"/>
      <c r="G225" s="72"/>
      <c r="H225" s="73"/>
      <c r="I225" s="74"/>
      <c r="J225" s="40" t="s">
        <v>142</v>
      </c>
      <c r="K225" s="39"/>
      <c r="L225" s="84"/>
      <c r="M225" s="39"/>
      <c r="N225" s="39"/>
    </row>
    <row r="226" spans="1:14" ht="30" customHeight="1" x14ac:dyDescent="0.25">
      <c r="A226" s="83"/>
      <c r="B226" s="97"/>
      <c r="C226" s="98"/>
      <c r="D226" s="99"/>
      <c r="E226" s="79"/>
      <c r="F226" s="61"/>
      <c r="G226" s="72"/>
      <c r="H226" s="73"/>
      <c r="I226" s="74"/>
      <c r="J226" s="40" t="s">
        <v>143</v>
      </c>
      <c r="K226" s="39"/>
      <c r="L226" s="84"/>
      <c r="M226" s="39"/>
      <c r="N226" s="39"/>
    </row>
    <row r="227" spans="1:14" ht="30" customHeight="1" x14ac:dyDescent="0.25">
      <c r="A227" s="83"/>
      <c r="B227" s="97"/>
      <c r="C227" s="98"/>
      <c r="D227" s="99"/>
      <c r="E227" s="79"/>
      <c r="F227" s="61"/>
      <c r="G227" s="72"/>
      <c r="H227" s="73"/>
      <c r="I227" s="74"/>
      <c r="J227" s="40" t="s">
        <v>144</v>
      </c>
      <c r="K227" s="39"/>
      <c r="L227" s="84"/>
      <c r="M227" s="39"/>
      <c r="N227" s="39"/>
    </row>
    <row r="228" spans="1:14" ht="30" customHeight="1" x14ac:dyDescent="0.25">
      <c r="A228" s="83"/>
      <c r="B228" s="100"/>
      <c r="C228" s="101"/>
      <c r="D228" s="102"/>
      <c r="E228" s="79"/>
      <c r="F228" s="62"/>
      <c r="G228" s="75"/>
      <c r="H228" s="76"/>
      <c r="I228" s="77"/>
      <c r="J228" s="40" t="s">
        <v>145</v>
      </c>
      <c r="K228" s="39"/>
      <c r="L228" s="84"/>
      <c r="M228" s="39"/>
      <c r="N228" s="39"/>
    </row>
    <row r="229" spans="1:14" ht="30" customHeight="1" x14ac:dyDescent="0.25">
      <c r="A229" s="83" t="s">
        <v>123</v>
      </c>
      <c r="B229" s="94" t="s">
        <v>124</v>
      </c>
      <c r="C229" s="95"/>
      <c r="D229" s="96"/>
      <c r="E229" s="79" t="s">
        <v>49</v>
      </c>
      <c r="F229" s="60" t="s">
        <v>183</v>
      </c>
      <c r="G229" s="49" t="s">
        <v>193</v>
      </c>
      <c r="H229" s="49" t="s">
        <v>193</v>
      </c>
      <c r="I229" s="40"/>
      <c r="J229" s="40" t="s">
        <v>138</v>
      </c>
      <c r="K229" s="39"/>
      <c r="L229" s="84" t="s">
        <v>165</v>
      </c>
      <c r="M229" s="39"/>
      <c r="N229" s="39"/>
    </row>
    <row r="230" spans="1:14" ht="30" customHeight="1" x14ac:dyDescent="0.25">
      <c r="A230" s="83"/>
      <c r="B230" s="97"/>
      <c r="C230" s="98"/>
      <c r="D230" s="99"/>
      <c r="E230" s="79"/>
      <c r="F230" s="61"/>
      <c r="G230" s="49" t="str">
        <f>G229</f>
        <v>-52</v>
      </c>
      <c r="H230" s="49" t="s">
        <v>193</v>
      </c>
      <c r="I230" s="40"/>
      <c r="J230" s="40" t="s">
        <v>139</v>
      </c>
      <c r="K230" s="39"/>
      <c r="L230" s="84"/>
      <c r="M230" s="39"/>
      <c r="N230" s="39"/>
    </row>
    <row r="231" spans="1:14" ht="30" customHeight="1" x14ac:dyDescent="0.25">
      <c r="A231" s="83"/>
      <c r="B231" s="97"/>
      <c r="C231" s="98"/>
      <c r="D231" s="99"/>
      <c r="E231" s="79"/>
      <c r="F231" s="61"/>
      <c r="G231" s="49" t="str">
        <f>G229</f>
        <v>-52</v>
      </c>
      <c r="H231" s="49" t="s">
        <v>193</v>
      </c>
      <c r="I231" s="40"/>
      <c r="J231" s="40" t="s">
        <v>140</v>
      </c>
      <c r="K231" s="39"/>
      <c r="L231" s="84"/>
      <c r="M231" s="39"/>
      <c r="N231" s="39"/>
    </row>
    <row r="232" spans="1:14" ht="30" customHeight="1" x14ac:dyDescent="0.25">
      <c r="A232" s="83"/>
      <c r="B232" s="97"/>
      <c r="C232" s="98"/>
      <c r="D232" s="99"/>
      <c r="E232" s="79"/>
      <c r="F232" s="61"/>
      <c r="G232" s="49" t="str">
        <f>G229</f>
        <v>-52</v>
      </c>
      <c r="H232" s="49" t="s">
        <v>193</v>
      </c>
      <c r="I232" s="40"/>
      <c r="J232" s="40" t="s">
        <v>141</v>
      </c>
      <c r="K232" s="39"/>
      <c r="L232" s="84"/>
      <c r="M232" s="39"/>
      <c r="N232" s="39"/>
    </row>
    <row r="233" spans="1:14" ht="30" customHeight="1" x14ac:dyDescent="0.25">
      <c r="A233" s="83"/>
      <c r="B233" s="97"/>
      <c r="C233" s="98"/>
      <c r="D233" s="99"/>
      <c r="E233" s="79"/>
      <c r="F233" s="61"/>
      <c r="G233" s="49" t="str">
        <f>G229</f>
        <v>-52</v>
      </c>
      <c r="H233" s="49" t="s">
        <v>193</v>
      </c>
      <c r="I233" s="40"/>
      <c r="J233" s="40" t="s">
        <v>142</v>
      </c>
      <c r="K233" s="39"/>
      <c r="L233" s="84"/>
      <c r="M233" s="39"/>
      <c r="N233" s="39"/>
    </row>
    <row r="234" spans="1:14" ht="30" customHeight="1" x14ac:dyDescent="0.25">
      <c r="A234" s="83"/>
      <c r="B234" s="97"/>
      <c r="C234" s="98"/>
      <c r="D234" s="99"/>
      <c r="E234" s="79"/>
      <c r="F234" s="61"/>
      <c r="G234" s="49" t="str">
        <f>G229</f>
        <v>-52</v>
      </c>
      <c r="H234" s="49" t="s">
        <v>193</v>
      </c>
      <c r="I234" s="40"/>
      <c r="J234" s="40" t="s">
        <v>143</v>
      </c>
      <c r="K234" s="39"/>
      <c r="L234" s="84"/>
      <c r="M234" s="39"/>
      <c r="N234" s="39"/>
    </row>
    <row r="235" spans="1:14" ht="30" customHeight="1" x14ac:dyDescent="0.25">
      <c r="A235" s="83"/>
      <c r="B235" s="97"/>
      <c r="C235" s="98"/>
      <c r="D235" s="99"/>
      <c r="E235" s="79"/>
      <c r="F235" s="61"/>
      <c r="G235" s="49" t="str">
        <f>G229</f>
        <v>-52</v>
      </c>
      <c r="H235" s="49" t="s">
        <v>193</v>
      </c>
      <c r="I235" s="40"/>
      <c r="J235" s="40" t="s">
        <v>144</v>
      </c>
      <c r="K235" s="39"/>
      <c r="L235" s="84"/>
      <c r="M235" s="39"/>
      <c r="N235" s="39"/>
    </row>
    <row r="236" spans="1:14" ht="30" customHeight="1" x14ac:dyDescent="0.25">
      <c r="A236" s="83"/>
      <c r="B236" s="100"/>
      <c r="C236" s="101"/>
      <c r="D236" s="102"/>
      <c r="E236" s="79"/>
      <c r="F236" s="62"/>
      <c r="G236" s="49" t="str">
        <f>G229</f>
        <v>-52</v>
      </c>
      <c r="H236" s="49" t="s">
        <v>193</v>
      </c>
      <c r="I236" s="40"/>
      <c r="J236" s="40" t="s">
        <v>145</v>
      </c>
      <c r="K236" s="39"/>
      <c r="L236" s="84"/>
      <c r="M236" s="39"/>
      <c r="N236" s="39"/>
    </row>
    <row r="237" spans="1:14" ht="30" customHeight="1" x14ac:dyDescent="0.25">
      <c r="A237" s="83" t="s">
        <v>125</v>
      </c>
      <c r="B237" s="94" t="s">
        <v>126</v>
      </c>
      <c r="C237" s="95"/>
      <c r="D237" s="96"/>
      <c r="E237" s="79" t="s">
        <v>49</v>
      </c>
      <c r="F237" s="60" t="s">
        <v>183</v>
      </c>
      <c r="G237" s="49" t="s">
        <v>193</v>
      </c>
      <c r="H237" s="49" t="str">
        <f>G237</f>
        <v>-52</v>
      </c>
      <c r="I237" s="40"/>
      <c r="J237" s="40" t="s">
        <v>138</v>
      </c>
      <c r="K237" s="39"/>
      <c r="L237" s="84" t="s">
        <v>166</v>
      </c>
      <c r="M237" s="39"/>
      <c r="N237" s="39"/>
    </row>
    <row r="238" spans="1:14" ht="30" customHeight="1" x14ac:dyDescent="0.25">
      <c r="A238" s="83"/>
      <c r="B238" s="97"/>
      <c r="C238" s="98"/>
      <c r="D238" s="99"/>
      <c r="E238" s="79"/>
      <c r="F238" s="61"/>
      <c r="G238" s="49" t="str">
        <f>G237</f>
        <v>-52</v>
      </c>
      <c r="H238" s="49" t="str">
        <f>G238</f>
        <v>-52</v>
      </c>
      <c r="I238" s="40"/>
      <c r="J238" s="40" t="s">
        <v>139</v>
      </c>
      <c r="K238" s="39"/>
      <c r="L238" s="84"/>
      <c r="M238" s="39"/>
      <c r="N238" s="39"/>
    </row>
    <row r="239" spans="1:14" ht="30" customHeight="1" x14ac:dyDescent="0.25">
      <c r="A239" s="83"/>
      <c r="B239" s="97"/>
      <c r="C239" s="98"/>
      <c r="D239" s="99"/>
      <c r="E239" s="79"/>
      <c r="F239" s="61"/>
      <c r="G239" s="49" t="str">
        <f>G237</f>
        <v>-52</v>
      </c>
      <c r="H239" s="49" t="str">
        <f t="shared" ref="H239:H244" si="30">G239</f>
        <v>-52</v>
      </c>
      <c r="I239" s="40"/>
      <c r="J239" s="40" t="s">
        <v>140</v>
      </c>
      <c r="K239" s="39"/>
      <c r="L239" s="84"/>
      <c r="M239" s="39"/>
      <c r="N239" s="39"/>
    </row>
    <row r="240" spans="1:14" ht="30" customHeight="1" x14ac:dyDescent="0.25">
      <c r="A240" s="83"/>
      <c r="B240" s="97"/>
      <c r="C240" s="98"/>
      <c r="D240" s="99"/>
      <c r="E240" s="79"/>
      <c r="F240" s="61"/>
      <c r="G240" s="49" t="str">
        <f>G237</f>
        <v>-52</v>
      </c>
      <c r="H240" s="49" t="str">
        <f t="shared" si="30"/>
        <v>-52</v>
      </c>
      <c r="I240" s="40"/>
      <c r="J240" s="40" t="s">
        <v>141</v>
      </c>
      <c r="K240" s="39"/>
      <c r="L240" s="84"/>
      <c r="M240" s="39"/>
      <c r="N240" s="39"/>
    </row>
    <row r="241" spans="1:14" ht="30" customHeight="1" x14ac:dyDescent="0.25">
      <c r="A241" s="83"/>
      <c r="B241" s="97"/>
      <c r="C241" s="98"/>
      <c r="D241" s="99"/>
      <c r="E241" s="79"/>
      <c r="F241" s="61"/>
      <c r="G241" s="49" t="str">
        <f>G237</f>
        <v>-52</v>
      </c>
      <c r="H241" s="49" t="str">
        <f t="shared" si="30"/>
        <v>-52</v>
      </c>
      <c r="I241" s="40"/>
      <c r="J241" s="40" t="s">
        <v>142</v>
      </c>
      <c r="K241" s="39"/>
      <c r="L241" s="84"/>
      <c r="M241" s="39"/>
      <c r="N241" s="39"/>
    </row>
    <row r="242" spans="1:14" ht="30" customHeight="1" x14ac:dyDescent="0.25">
      <c r="A242" s="83"/>
      <c r="B242" s="97"/>
      <c r="C242" s="98"/>
      <c r="D242" s="99"/>
      <c r="E242" s="79"/>
      <c r="F242" s="61"/>
      <c r="G242" s="49" t="str">
        <f>G237</f>
        <v>-52</v>
      </c>
      <c r="H242" s="49" t="str">
        <f t="shared" si="30"/>
        <v>-52</v>
      </c>
      <c r="I242" s="40"/>
      <c r="J242" s="40" t="s">
        <v>143</v>
      </c>
      <c r="K242" s="39"/>
      <c r="L242" s="84"/>
      <c r="M242" s="39"/>
      <c r="N242" s="39"/>
    </row>
    <row r="243" spans="1:14" ht="30" customHeight="1" x14ac:dyDescent="0.25">
      <c r="A243" s="83"/>
      <c r="B243" s="97"/>
      <c r="C243" s="98"/>
      <c r="D243" s="99"/>
      <c r="E243" s="79"/>
      <c r="F243" s="61"/>
      <c r="G243" s="49" t="str">
        <f>G237</f>
        <v>-52</v>
      </c>
      <c r="H243" s="49" t="str">
        <f t="shared" si="30"/>
        <v>-52</v>
      </c>
      <c r="I243" s="40"/>
      <c r="J243" s="40" t="s">
        <v>144</v>
      </c>
      <c r="K243" s="39"/>
      <c r="L243" s="84"/>
      <c r="M243" s="39"/>
      <c r="N243" s="39"/>
    </row>
    <row r="244" spans="1:14" ht="30" customHeight="1" x14ac:dyDescent="0.25">
      <c r="A244" s="83"/>
      <c r="B244" s="100"/>
      <c r="C244" s="101"/>
      <c r="D244" s="102"/>
      <c r="E244" s="79"/>
      <c r="F244" s="62"/>
      <c r="G244" s="49" t="str">
        <f>G237</f>
        <v>-52</v>
      </c>
      <c r="H244" s="49" t="str">
        <f t="shared" si="30"/>
        <v>-52</v>
      </c>
      <c r="I244" s="40"/>
      <c r="J244" s="40" t="s">
        <v>145</v>
      </c>
      <c r="K244" s="39"/>
      <c r="L244" s="84"/>
      <c r="M244" s="39"/>
      <c r="N244" s="39"/>
    </row>
    <row r="245" spans="1:14" ht="30" customHeight="1" x14ac:dyDescent="0.25">
      <c r="A245" s="83" t="s">
        <v>127</v>
      </c>
      <c r="B245" s="94" t="s">
        <v>128</v>
      </c>
      <c r="C245" s="95"/>
      <c r="D245" s="96"/>
      <c r="E245" s="79" t="s">
        <v>49</v>
      </c>
      <c r="F245" s="60" t="s">
        <v>183</v>
      </c>
      <c r="G245" s="49" t="s">
        <v>197</v>
      </c>
      <c r="H245" s="49" t="str">
        <f>G245</f>
        <v>-71.4</v>
      </c>
      <c r="I245" s="40"/>
      <c r="J245" s="40" t="s">
        <v>138</v>
      </c>
      <c r="K245" s="39"/>
      <c r="L245" s="84" t="s">
        <v>167</v>
      </c>
      <c r="M245" s="39"/>
      <c r="N245" s="39"/>
    </row>
    <row r="246" spans="1:14" ht="30" customHeight="1" x14ac:dyDescent="0.25">
      <c r="A246" s="83"/>
      <c r="B246" s="97"/>
      <c r="C246" s="98"/>
      <c r="D246" s="99"/>
      <c r="E246" s="79"/>
      <c r="F246" s="61"/>
      <c r="G246" s="49" t="str">
        <f>G245</f>
        <v>-71.4</v>
      </c>
      <c r="H246" s="49" t="str">
        <f>G245</f>
        <v>-71.4</v>
      </c>
      <c r="I246" s="40"/>
      <c r="J246" s="40" t="s">
        <v>139</v>
      </c>
      <c r="K246" s="39"/>
      <c r="L246" s="84"/>
      <c r="M246" s="39"/>
      <c r="N246" s="39"/>
    </row>
    <row r="247" spans="1:14" ht="30" customHeight="1" x14ac:dyDescent="0.25">
      <c r="A247" s="83"/>
      <c r="B247" s="97"/>
      <c r="C247" s="98"/>
      <c r="D247" s="99"/>
      <c r="E247" s="79"/>
      <c r="F247" s="61"/>
      <c r="G247" s="49" t="str">
        <f>G245</f>
        <v>-71.4</v>
      </c>
      <c r="H247" s="49" t="str">
        <f t="shared" ref="H247" si="31">G247</f>
        <v>-71.4</v>
      </c>
      <c r="I247" s="40"/>
      <c r="J247" s="40" t="s">
        <v>140</v>
      </c>
      <c r="K247" s="39"/>
      <c r="L247" s="84"/>
      <c r="M247" s="39"/>
      <c r="N247" s="39"/>
    </row>
    <row r="248" spans="1:14" ht="30" customHeight="1" x14ac:dyDescent="0.25">
      <c r="A248" s="83"/>
      <c r="B248" s="97"/>
      <c r="C248" s="98"/>
      <c r="D248" s="99"/>
      <c r="E248" s="79"/>
      <c r="F248" s="61"/>
      <c r="G248" s="49" t="str">
        <f>G245</f>
        <v>-71.4</v>
      </c>
      <c r="H248" s="49" t="str">
        <f t="shared" ref="H248" si="32">G247</f>
        <v>-71.4</v>
      </c>
      <c r="I248" s="40"/>
      <c r="J248" s="40" t="s">
        <v>141</v>
      </c>
      <c r="K248" s="39"/>
      <c r="L248" s="84"/>
      <c r="M248" s="39"/>
      <c r="N248" s="39"/>
    </row>
    <row r="249" spans="1:14" ht="30" customHeight="1" x14ac:dyDescent="0.25">
      <c r="A249" s="83"/>
      <c r="B249" s="97"/>
      <c r="C249" s="98"/>
      <c r="D249" s="99"/>
      <c r="E249" s="79"/>
      <c r="F249" s="61"/>
      <c r="G249" s="49" t="str">
        <f>G245</f>
        <v>-71.4</v>
      </c>
      <c r="H249" s="49" t="str">
        <f t="shared" ref="H249" si="33">G249</f>
        <v>-71.4</v>
      </c>
      <c r="I249" s="40"/>
      <c r="J249" s="40" t="s">
        <v>142</v>
      </c>
      <c r="K249" s="39"/>
      <c r="L249" s="84"/>
      <c r="M249" s="39"/>
      <c r="N249" s="39"/>
    </row>
    <row r="250" spans="1:14" ht="30" customHeight="1" x14ac:dyDescent="0.25">
      <c r="A250" s="83"/>
      <c r="B250" s="97"/>
      <c r="C250" s="98"/>
      <c r="D250" s="99"/>
      <c r="E250" s="79"/>
      <c r="F250" s="61"/>
      <c r="G250" s="49" t="str">
        <f>G245</f>
        <v>-71.4</v>
      </c>
      <c r="H250" s="49" t="str">
        <f t="shared" ref="H250" si="34">G249</f>
        <v>-71.4</v>
      </c>
      <c r="I250" s="40"/>
      <c r="J250" s="40" t="s">
        <v>143</v>
      </c>
      <c r="K250" s="39"/>
      <c r="L250" s="84"/>
      <c r="M250" s="39"/>
      <c r="N250" s="39"/>
    </row>
    <row r="251" spans="1:14" ht="30" customHeight="1" x14ac:dyDescent="0.25">
      <c r="A251" s="83"/>
      <c r="B251" s="97"/>
      <c r="C251" s="98"/>
      <c r="D251" s="99"/>
      <c r="E251" s="79"/>
      <c r="F251" s="61"/>
      <c r="G251" s="49" t="str">
        <f>G245</f>
        <v>-71.4</v>
      </c>
      <c r="H251" s="49" t="str">
        <f t="shared" ref="H251" si="35">G251</f>
        <v>-71.4</v>
      </c>
      <c r="I251" s="40"/>
      <c r="J251" s="40" t="s">
        <v>144</v>
      </c>
      <c r="K251" s="39"/>
      <c r="L251" s="84"/>
      <c r="M251" s="39"/>
      <c r="N251" s="39"/>
    </row>
    <row r="252" spans="1:14" ht="30" customHeight="1" x14ac:dyDescent="0.25">
      <c r="A252" s="83"/>
      <c r="B252" s="100"/>
      <c r="C252" s="101"/>
      <c r="D252" s="102"/>
      <c r="E252" s="79"/>
      <c r="F252" s="62"/>
      <c r="G252" s="49" t="str">
        <f>G245</f>
        <v>-71.4</v>
      </c>
      <c r="H252" s="49" t="str">
        <f t="shared" ref="H252" si="36">G251</f>
        <v>-71.4</v>
      </c>
      <c r="I252" s="40"/>
      <c r="J252" s="40" t="s">
        <v>145</v>
      </c>
      <c r="K252" s="39"/>
      <c r="L252" s="84"/>
      <c r="M252" s="39"/>
      <c r="N252" s="39"/>
    </row>
    <row r="253" spans="1:14" ht="17.25" x14ac:dyDescent="0.25">
      <c r="A253" s="22"/>
      <c r="B253" s="22"/>
      <c r="C253" s="22"/>
      <c r="D253" s="23"/>
      <c r="E253" s="4"/>
      <c r="F253" s="4"/>
      <c r="G253" s="4"/>
      <c r="H253" s="4"/>
      <c r="I253" s="4"/>
      <c r="J253" s="4"/>
      <c r="K253" s="22"/>
      <c r="L253" s="22"/>
      <c r="M253" s="22"/>
      <c r="N253" s="24"/>
    </row>
    <row r="254" spans="1:14" ht="17.25" x14ac:dyDescent="0.25">
      <c r="A254" s="25"/>
      <c r="B254" s="25"/>
      <c r="C254" s="25"/>
      <c r="D254" s="26"/>
      <c r="E254" s="5"/>
      <c r="F254" s="5"/>
      <c r="G254" s="5"/>
      <c r="H254" s="5"/>
      <c r="I254" s="5"/>
      <c r="J254" s="5"/>
      <c r="K254" s="25"/>
      <c r="L254" s="25"/>
      <c r="M254" s="25"/>
      <c r="N254" s="27"/>
    </row>
    <row r="255" spans="1:14" ht="16.5" x14ac:dyDescent="0.25">
      <c r="A255" s="154" t="s">
        <v>44</v>
      </c>
      <c r="B255" s="154"/>
      <c r="C255" s="154"/>
      <c r="D255" s="154"/>
      <c r="E255" s="154"/>
      <c r="F255" s="154"/>
      <c r="G255" s="28"/>
      <c r="H255" s="28"/>
      <c r="I255" s="28"/>
      <c r="J255" s="28"/>
      <c r="K255" s="154" t="s">
        <v>44</v>
      </c>
      <c r="L255" s="154"/>
      <c r="M255" s="154"/>
      <c r="N255" s="154"/>
    </row>
    <row r="256" spans="1:14" ht="16.5" x14ac:dyDescent="0.25">
      <c r="A256" s="151" t="s">
        <v>45</v>
      </c>
      <c r="B256" s="151"/>
      <c r="C256" s="151"/>
      <c r="D256" s="151"/>
      <c r="E256" s="151"/>
      <c r="F256" s="151"/>
      <c r="G256" s="28"/>
      <c r="H256" s="28"/>
      <c r="I256" s="28"/>
      <c r="J256" s="28"/>
      <c r="K256" s="151" t="s">
        <v>46</v>
      </c>
      <c r="L256" s="151"/>
      <c r="M256" s="151"/>
      <c r="N256" s="151"/>
    </row>
    <row r="257" spans="1:14" ht="16.5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spans="1:14" ht="16.5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spans="1:14" ht="16.5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spans="1:14" ht="16.5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spans="1:14" ht="16.5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spans="1:14" ht="16.5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</sheetData>
  <mergeCells count="179">
    <mergeCell ref="B15:F15"/>
    <mergeCell ref="G15:H15"/>
    <mergeCell ref="I15:K15"/>
    <mergeCell ref="A255:F255"/>
    <mergeCell ref="K255:N255"/>
    <mergeCell ref="B221:D228"/>
    <mergeCell ref="B229:D236"/>
    <mergeCell ref="G221:I228"/>
    <mergeCell ref="A205:A212"/>
    <mergeCell ref="E205:E212"/>
    <mergeCell ref="F205:F212"/>
    <mergeCell ref="L205:L212"/>
    <mergeCell ref="A213:A220"/>
    <mergeCell ref="E213:E220"/>
    <mergeCell ref="F213:F220"/>
    <mergeCell ref="L213:L220"/>
    <mergeCell ref="B205:D212"/>
    <mergeCell ref="B213:D220"/>
    <mergeCell ref="A221:A228"/>
    <mergeCell ref="E221:E228"/>
    <mergeCell ref="A256:F256"/>
    <mergeCell ref="K256:N256"/>
    <mergeCell ref="A237:A244"/>
    <mergeCell ref="E237:E244"/>
    <mergeCell ref="F237:F244"/>
    <mergeCell ref="L237:L244"/>
    <mergeCell ref="A245:A252"/>
    <mergeCell ref="E245:E252"/>
    <mergeCell ref="F245:F252"/>
    <mergeCell ref="L245:L252"/>
    <mergeCell ref="B237:D244"/>
    <mergeCell ref="B245:D252"/>
    <mergeCell ref="F221:F228"/>
    <mergeCell ref="L221:L228"/>
    <mergeCell ref="A229:A236"/>
    <mergeCell ref="E229:E236"/>
    <mergeCell ref="F229:F236"/>
    <mergeCell ref="L229:L236"/>
    <mergeCell ref="A189:A196"/>
    <mergeCell ref="E189:E196"/>
    <mergeCell ref="F189:F196"/>
    <mergeCell ref="L189:L196"/>
    <mergeCell ref="A197:A204"/>
    <mergeCell ref="E197:E204"/>
    <mergeCell ref="F197:F204"/>
    <mergeCell ref="L197:L204"/>
    <mergeCell ref="B189:D196"/>
    <mergeCell ref="B197:D204"/>
    <mergeCell ref="A1:D4"/>
    <mergeCell ref="E1:L1"/>
    <mergeCell ref="E2:L3"/>
    <mergeCell ref="E4:L4"/>
    <mergeCell ref="A5:D9"/>
    <mergeCell ref="F5:H5"/>
    <mergeCell ref="J5:K5"/>
    <mergeCell ref="F6:H6"/>
    <mergeCell ref="J6:K6"/>
    <mergeCell ref="F7:H7"/>
    <mergeCell ref="J7:K7"/>
    <mergeCell ref="F8:H8"/>
    <mergeCell ref="J8:K8"/>
    <mergeCell ref="F9:H9"/>
    <mergeCell ref="J9:K9"/>
    <mergeCell ref="L13:L14"/>
    <mergeCell ref="A10:D12"/>
    <mergeCell ref="I11:J11"/>
    <mergeCell ref="M13:M14"/>
    <mergeCell ref="N13:N14"/>
    <mergeCell ref="A13:A14"/>
    <mergeCell ref="B13:D14"/>
    <mergeCell ref="E13:E14"/>
    <mergeCell ref="F13:I13"/>
    <mergeCell ref="J13:K14"/>
    <mergeCell ref="G12:H12"/>
    <mergeCell ref="I12:J12"/>
    <mergeCell ref="F10:N10"/>
    <mergeCell ref="F11:H11"/>
    <mergeCell ref="A16:A23"/>
    <mergeCell ref="B16:D23"/>
    <mergeCell ref="E16:E23"/>
    <mergeCell ref="F16:F23"/>
    <mergeCell ref="L59:L98"/>
    <mergeCell ref="B67:B74"/>
    <mergeCell ref="L16:L23"/>
    <mergeCell ref="A25:A32"/>
    <mergeCell ref="B25:D32"/>
    <mergeCell ref="E25:E32"/>
    <mergeCell ref="F25:F32"/>
    <mergeCell ref="L25:L32"/>
    <mergeCell ref="A34:A41"/>
    <mergeCell ref="B34:D41"/>
    <mergeCell ref="E34:E41"/>
    <mergeCell ref="F34:F41"/>
    <mergeCell ref="L34:L41"/>
    <mergeCell ref="E75:E82"/>
    <mergeCell ref="F75:F82"/>
    <mergeCell ref="E91:E98"/>
    <mergeCell ref="F91:F98"/>
    <mergeCell ref="A59:A98"/>
    <mergeCell ref="E33:N33"/>
    <mergeCell ref="E24:N24"/>
    <mergeCell ref="F67:F74"/>
    <mergeCell ref="B59:B66"/>
    <mergeCell ref="E59:E66"/>
    <mergeCell ref="F59:F66"/>
    <mergeCell ref="C59:D66"/>
    <mergeCell ref="C67:D74"/>
    <mergeCell ref="C75:D82"/>
    <mergeCell ref="C91:D98"/>
    <mergeCell ref="E67:E74"/>
    <mergeCell ref="C83:D90"/>
    <mergeCell ref="E83:E90"/>
    <mergeCell ref="F83:F90"/>
    <mergeCell ref="B75:B90"/>
    <mergeCell ref="A42:A49"/>
    <mergeCell ref="B42:D49"/>
    <mergeCell ref="E42:E49"/>
    <mergeCell ref="F42:F49"/>
    <mergeCell ref="L42:L49"/>
    <mergeCell ref="A51:A58"/>
    <mergeCell ref="B51:D58"/>
    <mergeCell ref="E51:E58"/>
    <mergeCell ref="F51:F58"/>
    <mergeCell ref="L51:L58"/>
    <mergeCell ref="L107:L114"/>
    <mergeCell ref="A116:A123"/>
    <mergeCell ref="E116:E123"/>
    <mergeCell ref="B107:D114"/>
    <mergeCell ref="B116:D123"/>
    <mergeCell ref="A132:A139"/>
    <mergeCell ref="E132:E139"/>
    <mergeCell ref="F132:F139"/>
    <mergeCell ref="L132:L139"/>
    <mergeCell ref="L116:L123"/>
    <mergeCell ref="A124:A131"/>
    <mergeCell ref="E124:E131"/>
    <mergeCell ref="F124:F131"/>
    <mergeCell ref="L124:L131"/>
    <mergeCell ref="F116:F123"/>
    <mergeCell ref="B124:D131"/>
    <mergeCell ref="B132:D139"/>
    <mergeCell ref="L173:L180"/>
    <mergeCell ref="A181:A188"/>
    <mergeCell ref="E181:E188"/>
    <mergeCell ref="F181:F188"/>
    <mergeCell ref="L181:L188"/>
    <mergeCell ref="B173:D180"/>
    <mergeCell ref="B181:D188"/>
    <mergeCell ref="A140:A147"/>
    <mergeCell ref="E140:E147"/>
    <mergeCell ref="F140:F147"/>
    <mergeCell ref="L140:L147"/>
    <mergeCell ref="D148:D155"/>
    <mergeCell ref="E148:E155"/>
    <mergeCell ref="F148:F155"/>
    <mergeCell ref="L148:L171"/>
    <mergeCell ref="D156:D163"/>
    <mergeCell ref="D164:D171"/>
    <mergeCell ref="A148:A171"/>
    <mergeCell ref="E156:E163"/>
    <mergeCell ref="E164:E171"/>
    <mergeCell ref="F156:F163"/>
    <mergeCell ref="F164:F171"/>
    <mergeCell ref="B140:D147"/>
    <mergeCell ref="B148:C171"/>
    <mergeCell ref="C99:D106"/>
    <mergeCell ref="E99:E106"/>
    <mergeCell ref="F99:F106"/>
    <mergeCell ref="B91:B106"/>
    <mergeCell ref="G156:I163"/>
    <mergeCell ref="G132:I139"/>
    <mergeCell ref="G164:I171"/>
    <mergeCell ref="G140:I147"/>
    <mergeCell ref="A173:A180"/>
    <mergeCell ref="E173:E180"/>
    <mergeCell ref="F173:F180"/>
    <mergeCell ref="A107:A114"/>
    <mergeCell ref="E107:E114"/>
    <mergeCell ref="F107:F114"/>
  </mergeCells>
  <conditionalFormatting sqref="M34:M180 M16:M23 M25:M32 E24">
    <cfRule type="containsText" dxfId="19" priority="37" operator="containsText" text="PASS">
      <formula>NOT(ISERROR(SEARCH("PASS",E16)))</formula>
    </cfRule>
    <cfRule type="containsText" dxfId="18" priority="38" operator="containsText" text="FAIL">
      <formula>NOT(ISERROR(SEARCH("FAIL",E16)))</formula>
    </cfRule>
  </conditionalFormatting>
  <conditionalFormatting sqref="M181:M188">
    <cfRule type="containsText" dxfId="17" priority="17" operator="containsText" text="PASS">
      <formula>NOT(ISERROR(SEARCH("PASS",M181)))</formula>
    </cfRule>
    <cfRule type="containsText" dxfId="16" priority="18" operator="containsText" text="FAIL">
      <formula>NOT(ISERROR(SEARCH("FAIL",M181)))</formula>
    </cfRule>
  </conditionalFormatting>
  <conditionalFormatting sqref="M189:M196">
    <cfRule type="containsText" dxfId="15" priority="15" operator="containsText" text="PASS">
      <formula>NOT(ISERROR(SEARCH("PASS",M189)))</formula>
    </cfRule>
    <cfRule type="containsText" dxfId="14" priority="16" operator="containsText" text="FAIL">
      <formula>NOT(ISERROR(SEARCH("FAIL",M189)))</formula>
    </cfRule>
  </conditionalFormatting>
  <conditionalFormatting sqref="M197:M204">
    <cfRule type="containsText" dxfId="13" priority="13" operator="containsText" text="PASS">
      <formula>NOT(ISERROR(SEARCH("PASS",M197)))</formula>
    </cfRule>
    <cfRule type="containsText" dxfId="12" priority="14" operator="containsText" text="FAIL">
      <formula>NOT(ISERROR(SEARCH("FAIL",M197)))</formula>
    </cfRule>
  </conditionalFormatting>
  <conditionalFormatting sqref="M205:M212">
    <cfRule type="containsText" dxfId="11" priority="11" operator="containsText" text="PASS">
      <formula>NOT(ISERROR(SEARCH("PASS",M205)))</formula>
    </cfRule>
    <cfRule type="containsText" dxfId="10" priority="12" operator="containsText" text="FAIL">
      <formula>NOT(ISERROR(SEARCH("FAIL",M205)))</formula>
    </cfRule>
  </conditionalFormatting>
  <conditionalFormatting sqref="M213:M220">
    <cfRule type="containsText" dxfId="9" priority="9" operator="containsText" text="PASS">
      <formula>NOT(ISERROR(SEARCH("PASS",M213)))</formula>
    </cfRule>
    <cfRule type="containsText" dxfId="8" priority="10" operator="containsText" text="FAIL">
      <formula>NOT(ISERROR(SEARCH("FAIL",M213)))</formula>
    </cfRule>
  </conditionalFormatting>
  <conditionalFormatting sqref="M221:M228">
    <cfRule type="containsText" dxfId="7" priority="7" operator="containsText" text="PASS">
      <formula>NOT(ISERROR(SEARCH("PASS",M221)))</formula>
    </cfRule>
    <cfRule type="containsText" dxfId="6" priority="8" operator="containsText" text="FAIL">
      <formula>NOT(ISERROR(SEARCH("FAIL",M221)))</formula>
    </cfRule>
  </conditionalFormatting>
  <conditionalFormatting sqref="M229:M236">
    <cfRule type="containsText" dxfId="5" priority="5" operator="containsText" text="PASS">
      <formula>NOT(ISERROR(SEARCH("PASS",M229)))</formula>
    </cfRule>
    <cfRule type="containsText" dxfId="4" priority="6" operator="containsText" text="FAIL">
      <formula>NOT(ISERROR(SEARCH("FAIL",M229)))</formula>
    </cfRule>
  </conditionalFormatting>
  <conditionalFormatting sqref="M237:M244">
    <cfRule type="containsText" dxfId="3" priority="3" operator="containsText" text="PASS">
      <formula>NOT(ISERROR(SEARCH("PASS",M237)))</formula>
    </cfRule>
    <cfRule type="containsText" dxfId="2" priority="4" operator="containsText" text="FAIL">
      <formula>NOT(ISERROR(SEARCH("FAIL",M237)))</formula>
    </cfRule>
  </conditionalFormatting>
  <conditionalFormatting sqref="M245:M252">
    <cfRule type="containsText" dxfId="1" priority="1" operator="containsText" text="PASS">
      <formula>NOT(ISERROR(SEARCH("PASS",M245)))</formula>
    </cfRule>
    <cfRule type="containsText" dxfId="0" priority="2" operator="containsText" text="FAIL">
      <formula>NOT(ISERROR(SEARCH("FAIL",M245)))</formula>
    </cfRule>
  </conditionalFormatting>
  <pageMargins left="0.98425196850393704" right="0.39370078740157483" top="0.59055118110236227" bottom="0.59055118110236227" header="0.19685039370078741" footer="0.19685039370078741"/>
  <pageSetup paperSize="9" scale="41" fitToHeight="0" orientation="portrait" r:id="rId1"/>
  <rowBreaks count="4" manualBreakCount="4">
    <brk id="41" max="16383" man="1"/>
    <brk id="114" max="16383" man="1"/>
    <brk id="163" max="13" man="1"/>
    <brk id="22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BM.06-Phieu do kiem</vt:lpstr>
      <vt:lpstr>'BM.06-Phieu do kiem'!Print_Titles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nguyen</dc:creator>
  <cp:lastModifiedBy>PC</cp:lastModifiedBy>
  <cp:lastPrinted>2021-10-05T06:42:47Z</cp:lastPrinted>
  <dcterms:created xsi:type="dcterms:W3CDTF">2020-08-06T03:04:41Z</dcterms:created>
  <dcterms:modified xsi:type="dcterms:W3CDTF">2022-07-12T02:18:10Z</dcterms:modified>
</cp:coreProperties>
</file>