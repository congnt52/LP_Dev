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test3gpp\OQC\32T32R10W\templates\"/>
    </mc:Choice>
  </mc:AlternateContent>
  <xr:revisionPtr revIDLastSave="0" documentId="13_ncr:1_{C716D458-7CD8-4790-85F9-13AB921E56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3" r:id="rId1"/>
    <sheet name="new Data" sheetId="4" r:id="rId2"/>
    <sheet name="Sheet3 (2)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5" l="1"/>
  <c r="C22" i="5"/>
  <c r="D15" i="5"/>
  <c r="D14" i="5"/>
  <c r="D13" i="5"/>
  <c r="D12" i="5"/>
  <c r="D11" i="5"/>
  <c r="D10" i="5"/>
  <c r="D27" i="4" l="1"/>
  <c r="D21" i="4"/>
  <c r="C20" i="4"/>
  <c r="D20" i="4" s="1"/>
  <c r="C19" i="4"/>
  <c r="E19" i="4" s="1"/>
  <c r="C18" i="4"/>
  <c r="D18" i="4" s="1"/>
  <c r="C17" i="4"/>
  <c r="E17" i="4" s="1"/>
  <c r="C16" i="4"/>
  <c r="D16" i="4" s="1"/>
  <c r="C15" i="4"/>
  <c r="E15" i="4" s="1"/>
  <c r="E14" i="4"/>
  <c r="E13" i="4"/>
  <c r="E12" i="4"/>
  <c r="E11" i="4"/>
  <c r="E10" i="4"/>
  <c r="E9" i="4"/>
  <c r="E20" i="4" l="1"/>
  <c r="E16" i="4"/>
  <c r="E18" i="4"/>
  <c r="D19" i="4"/>
  <c r="D15" i="4"/>
  <c r="D17" i="4"/>
  <c r="D9" i="3" l="1"/>
  <c r="D10" i="3"/>
  <c r="D11" i="3"/>
  <c r="D12" i="3"/>
  <c r="D13" i="3"/>
  <c r="D14" i="3"/>
  <c r="C21" i="3"/>
  <c r="C2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VHT_5G</author>
  </authors>
  <commentList>
    <comment ref="G2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VHT_5G:</t>
        </r>
        <r>
          <rPr>
            <sz val="9"/>
            <color indexed="81"/>
            <rFont val="Tahoma"/>
            <family val="2"/>
          </rPr>
          <t xml:space="preserve">
Power interfering signal level declared by the base station manufacturer</t>
        </r>
      </text>
    </comment>
    <comment ref="G2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VHT_5G:</t>
        </r>
        <r>
          <rPr>
            <sz val="9"/>
            <color indexed="81"/>
            <rFont val="Tahoma"/>
            <family val="2"/>
          </rPr>
          <t xml:space="preserve">
Power interfering signal level declared by the base station manufacturer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VHT_5G</author>
  </authors>
  <commentList>
    <comment ref="G2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VHT_5G:</t>
        </r>
        <r>
          <rPr>
            <sz val="9"/>
            <color indexed="81"/>
            <rFont val="Tahoma"/>
            <family val="2"/>
          </rPr>
          <t xml:space="preserve">
Power interfering signal level declared by the base station manufacturer</t>
        </r>
      </text>
    </comment>
    <comment ref="G30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VHT_5G:</t>
        </r>
        <r>
          <rPr>
            <sz val="9"/>
            <color indexed="81"/>
            <rFont val="Tahoma"/>
            <family val="2"/>
          </rPr>
          <t xml:space="preserve">
Power interfering signal level declared by the base station manufacturer</t>
        </r>
      </text>
    </comment>
  </commentList>
</comments>
</file>

<file path=xl/sharedStrings.xml><?xml version="1.0" encoding="utf-8"?>
<sst xmlns="http://schemas.openxmlformats.org/spreadsheetml/2006/main" count="287" uniqueCount="86">
  <si>
    <t>Clause</t>
  </si>
  <si>
    <t>Spec</t>
  </si>
  <si>
    <t>Min</t>
  </si>
  <si>
    <t>Max</t>
  </si>
  <si>
    <t>Unit</t>
  </si>
  <si>
    <t>Configuration</t>
  </si>
  <si>
    <t>Chapter 6</t>
  </si>
  <si>
    <t>dBm</t>
  </si>
  <si>
    <t>dBc</t>
  </si>
  <si>
    <t>0</t>
  </si>
  <si>
    <t>dB</t>
  </si>
  <si>
    <t>45</t>
  </si>
  <si>
    <t>5</t>
  </si>
  <si>
    <t>+ Adjacent channel leakage power TM1.1</t>
  </si>
  <si>
    <t>+ Base station output power</t>
  </si>
  <si>
    <t>+ Adjacent channel leakage power TM1.2</t>
  </si>
  <si>
    <t>+ Operating band Unwanted emissions TM1.1</t>
  </si>
  <si>
    <t>+ Operating band Unwanted emissions TM1.2</t>
  </si>
  <si>
    <t>+ Transmitter transient period</t>
  </si>
  <si>
    <t>+ Transmitter OFF Power</t>
  </si>
  <si>
    <t>-5</t>
  </si>
  <si>
    <t>Note</t>
  </si>
  <si>
    <t>SMW200a Output</t>
  </si>
  <si>
    <t>Limit</t>
  </si>
  <si>
    <t>+ Transmitter intermodulation (ACLR)</t>
  </si>
  <si>
    <t>+ Transmitter intermodulation (SEM)</t>
  </si>
  <si>
    <t>+ Intra-system ACLR</t>
  </si>
  <si>
    <t>+ Intra-system SEM</t>
  </si>
  <si>
    <t>+ Transmitter intermodulation (SPUR)</t>
  </si>
  <si>
    <t>+ Transmitter spurious emissions</t>
  </si>
  <si>
    <t>++ General</t>
  </si>
  <si>
    <t>++ Protection</t>
  </si>
  <si>
    <t>++ Co existence</t>
  </si>
  <si>
    <t>++ Co location</t>
  </si>
  <si>
    <t>%</t>
  </si>
  <si>
    <t>Hz</t>
  </si>
  <si>
    <t>+ Total power dynamic range</t>
  </si>
  <si>
    <t>+ Occupied bandwidth</t>
  </si>
  <si>
    <t>MHz</t>
  </si>
  <si>
    <t>+ Modulation quality TM2.0</t>
  </si>
  <si>
    <t>+ Modulation quality TM2.0a</t>
  </si>
  <si>
    <t>+ Modulation quality TM3.1</t>
  </si>
  <si>
    <t>+ Modulation quality TM3.1a</t>
  </si>
  <si>
    <t>+ Modulation quality TM3.2</t>
  </si>
  <si>
    <t>+ Modulation quality TM3.3</t>
  </si>
  <si>
    <t>+ Frequency error TM2.0</t>
  </si>
  <si>
    <t>+ Frequency error TM2.0a</t>
  </si>
  <si>
    <t>+ Frequency error TM3.1</t>
  </si>
  <si>
    <t>+ Frequency error TM3.1a</t>
  </si>
  <si>
    <t>+ Frequency error TM3.2</t>
  </si>
  <si>
    <t>+ Frequency error TM3.3</t>
  </si>
  <si>
    <t>Testplan</t>
  </si>
  <si>
    <t>Testcase</t>
  </si>
  <si>
    <t>Name</t>
  </si>
  <si>
    <t>Value</t>
  </si>
  <si>
    <t>Description</t>
  </si>
  <si>
    <t>SpecVal</t>
  </si>
  <si>
    <t>Chapter 6 - Conducted Transmitter Characteristics</t>
  </si>
  <si>
    <t>MinVal</t>
  </si>
  <si>
    <t>MaxVal</t>
  </si>
  <si>
    <t>Minimum Acceptance Power Value</t>
  </si>
  <si>
    <t>Expected Power Value (ETSI TS38.141-1)</t>
  </si>
  <si>
    <t>Maximum Acceptance Power Value</t>
  </si>
  <si>
    <t>IMD O1</t>
  </si>
  <si>
    <t>IMD O2</t>
  </si>
  <si>
    <t>IMD O3</t>
  </si>
  <si>
    <t>IMD O4</t>
  </si>
  <si>
    <t>IMD O5</t>
  </si>
  <si>
    <t>IMD O6</t>
  </si>
  <si>
    <t>+ Time alignment error</t>
  </si>
  <si>
    <t>+ Transmitter spurious emissions(General)</t>
  </si>
  <si>
    <t>MultiMeas</t>
  </si>
  <si>
    <t>20000</t>
  </si>
  <si>
    <t>1</t>
  </si>
  <si>
    <t>+ TX Calibration</t>
  </si>
  <si>
    <t>35</t>
  </si>
  <si>
    <t>34</t>
  </si>
  <si>
    <t>38</t>
  </si>
  <si>
    <t>47.88</t>
  </si>
  <si>
    <t>ns</t>
  </si>
  <si>
    <t>40</t>
  </si>
  <si>
    <t>39</t>
  </si>
  <si>
    <t>46</t>
  </si>
  <si>
    <t>20.8</t>
  </si>
  <si>
    <t>-20</t>
  </si>
  <si>
    <t>INTRA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</si>
</sst>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8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49" fontId="5" fillId="3" borderId="2" xfId="0" applyNumberFormat="1" applyFont="1" applyFill="1" applyBorder="1"/>
    <xf numFmtId="49" fontId="4" fillId="0" borderId="2" xfId="0" applyNumberFormat="1" applyFont="1" applyBorder="1" applyAlignment="1">
      <alignment horizontal="center" vertical="center"/>
    </xf>
    <xf numFmtId="49" fontId="4" fillId="3" borderId="2" xfId="0" applyNumberFormat="1" applyFont="1" applyFill="1" applyBorder="1"/>
    <xf numFmtId="49" fontId="4" fillId="3" borderId="2" xfId="0" applyNumberFormat="1" applyFont="1" applyFill="1" applyBorder="1" applyAlignment="1">
      <alignment horizontal="center" vertical="center"/>
    </xf>
    <xf numFmtId="0" fontId="0" fillId="0" borderId="2" xfId="0" quotePrefix="1" applyBorder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/>
    <xf numFmtId="0" fontId="0" fillId="0" borderId="2" xfId="0" applyBorder="1"/>
    <xf numFmtId="49" fontId="6" fillId="2" borderId="1" xfId="0" applyNumberFormat="1" applyFont="1" applyFill="1" applyBorder="1" applyAlignment="1">
      <alignment horizontal="center" vertical="center" wrapText="1"/>
    </xf>
    <xf numFmtId="0" fontId="0" fillId="0" borderId="2" xfId="0" quotePrefix="1" applyBorder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0" fillId="4" borderId="2" xfId="0" applyNumberFormat="1" applyFill="1" applyBorder="1"/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49" fontId="0" fillId="4" borderId="2" xfId="0" applyNumberForma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0" borderId="2" xfId="0" applyNumberFormat="1" applyFont="1" applyBorder="1"/>
    <xf numFmtId="49" fontId="4" fillId="0" borderId="2" xfId="0" applyNumberFormat="1" applyFont="1" applyBorder="1" applyAlignment="1">
      <alignment horizontal="center"/>
    </xf>
    <xf numFmtId="49" fontId="0" fillId="0" borderId="2" xfId="0" applyNumberFormat="1" applyBorder="1"/>
    <xf numFmtId="0" fontId="4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/>
    <xf numFmtId="0" fontId="9" fillId="0" borderId="2" xfId="0" applyFont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left"/>
    </xf>
    <xf numFmtId="0" fontId="2" fillId="0" borderId="2" xfId="0" applyFont="1" applyBorder="1"/>
    <xf numFmtId="49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workbookViewId="0">
      <selection activeCell="E5" sqref="E5"/>
    </sheetView>
  </sheetViews>
  <sheetFormatPr defaultRowHeight="14.4" x14ac:dyDescent="0.3"/>
  <cols>
    <col min="1" max="1" width="38.5546875" bestFit="1" customWidth="1"/>
    <col min="6" max="6" width="12.5546875" bestFit="1" customWidth="1"/>
    <col min="15" max="15" width="10.6640625" bestFit="1" customWidth="1"/>
    <col min="16" max="16" width="16.441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23</v>
      </c>
      <c r="H1" s="21" t="s">
        <v>63</v>
      </c>
      <c r="I1" s="21" t="s">
        <v>64</v>
      </c>
      <c r="J1" s="21" t="s">
        <v>65</v>
      </c>
      <c r="K1" s="21" t="s">
        <v>66</v>
      </c>
      <c r="L1" s="21" t="s">
        <v>67</v>
      </c>
      <c r="M1" s="21" t="s">
        <v>68</v>
      </c>
      <c r="N1" s="21" t="s">
        <v>85</v>
      </c>
      <c r="O1" s="21" t="s">
        <v>71</v>
      </c>
      <c r="P1" s="21" t="s">
        <v>21</v>
      </c>
    </row>
    <row r="2" spans="1:16" x14ac:dyDescent="0.3">
      <c r="A2" s="22" t="s">
        <v>6</v>
      </c>
      <c r="B2" s="5"/>
      <c r="C2" s="5"/>
      <c r="D2" s="5"/>
      <c r="E2" s="5"/>
      <c r="F2" s="23"/>
      <c r="G2" s="24"/>
      <c r="H2" s="9"/>
      <c r="I2" s="9"/>
      <c r="J2" s="9"/>
      <c r="K2" s="9"/>
      <c r="L2" s="9"/>
      <c r="M2" s="9"/>
      <c r="N2" s="9">
        <v>0</v>
      </c>
      <c r="O2" s="30"/>
      <c r="P2" s="9"/>
    </row>
    <row r="3" spans="1:16" x14ac:dyDescent="0.3">
      <c r="A3" s="2" t="s">
        <v>14</v>
      </c>
      <c r="B3" s="3" t="s">
        <v>80</v>
      </c>
      <c r="C3" s="3" t="s">
        <v>77</v>
      </c>
      <c r="D3" s="7">
        <v>41</v>
      </c>
      <c r="E3" s="3" t="s">
        <v>7</v>
      </c>
      <c r="F3" s="3" t="s">
        <v>73</v>
      </c>
      <c r="G3" s="25"/>
      <c r="H3" s="9"/>
      <c r="I3" s="9"/>
      <c r="J3" s="9"/>
      <c r="K3" s="9"/>
      <c r="L3" s="9"/>
      <c r="M3" s="9"/>
      <c r="N3" s="9"/>
      <c r="O3" s="9" t="b">
        <v>0</v>
      </c>
      <c r="P3" s="9"/>
    </row>
    <row r="4" spans="1:16" x14ac:dyDescent="0.3">
      <c r="A4" s="2" t="s">
        <v>37</v>
      </c>
      <c r="B4" s="3" t="s">
        <v>78</v>
      </c>
      <c r="C4" s="3"/>
      <c r="D4" s="7">
        <v>47.88</v>
      </c>
      <c r="E4" s="3" t="s">
        <v>38</v>
      </c>
      <c r="F4" s="3">
        <v>1</v>
      </c>
      <c r="G4" s="25"/>
      <c r="H4" s="9"/>
      <c r="I4" s="9"/>
      <c r="J4" s="9"/>
      <c r="K4" s="9"/>
      <c r="L4" s="9"/>
      <c r="M4" s="9"/>
      <c r="N4" s="9"/>
      <c r="O4" s="9" t="b">
        <v>0</v>
      </c>
      <c r="P4" s="9"/>
    </row>
    <row r="5" spans="1:16" x14ac:dyDescent="0.3">
      <c r="A5" s="2" t="s">
        <v>13</v>
      </c>
      <c r="B5" s="3" t="s">
        <v>82</v>
      </c>
      <c r="C5" s="3" t="s">
        <v>82</v>
      </c>
      <c r="D5" s="3"/>
      <c r="E5" s="3" t="s">
        <v>8</v>
      </c>
      <c r="F5" s="3">
        <v>1</v>
      </c>
      <c r="G5" s="25"/>
      <c r="H5" s="9"/>
      <c r="I5" s="9"/>
      <c r="J5" s="9"/>
      <c r="K5" s="9"/>
      <c r="L5" s="9"/>
      <c r="M5" s="9"/>
      <c r="N5" s="9"/>
      <c r="O5" s="9" t="b">
        <v>0</v>
      </c>
      <c r="P5" s="9"/>
    </row>
    <row r="6" spans="1:16" x14ac:dyDescent="0.3">
      <c r="A6" s="4" t="s">
        <v>15</v>
      </c>
      <c r="B6" s="3" t="s">
        <v>82</v>
      </c>
      <c r="C6" s="3" t="s">
        <v>82</v>
      </c>
      <c r="D6" s="3"/>
      <c r="E6" s="3" t="s">
        <v>8</v>
      </c>
      <c r="F6" s="3">
        <v>1</v>
      </c>
      <c r="G6" s="25"/>
      <c r="H6" s="9"/>
      <c r="I6" s="9"/>
      <c r="J6" s="9"/>
      <c r="K6" s="9"/>
      <c r="L6" s="9"/>
      <c r="M6" s="9"/>
      <c r="N6" s="9"/>
      <c r="O6" s="9" t="b">
        <v>0</v>
      </c>
      <c r="P6" s="9"/>
    </row>
    <row r="7" spans="1:16" x14ac:dyDescent="0.3">
      <c r="A7" s="4" t="s">
        <v>16</v>
      </c>
      <c r="B7" s="5" t="s">
        <v>9</v>
      </c>
      <c r="C7" s="5"/>
      <c r="D7" s="5">
        <v>0</v>
      </c>
      <c r="E7" s="5" t="s">
        <v>10</v>
      </c>
      <c r="F7" s="5">
        <v>1</v>
      </c>
      <c r="G7" s="23"/>
      <c r="H7" s="9"/>
      <c r="I7" s="9"/>
      <c r="J7" s="9"/>
      <c r="K7" s="9"/>
      <c r="L7" s="9"/>
      <c r="M7" s="9"/>
      <c r="N7" s="9"/>
      <c r="O7" s="9" t="b">
        <v>0</v>
      </c>
      <c r="P7" s="9"/>
    </row>
    <row r="8" spans="1:16" x14ac:dyDescent="0.3">
      <c r="A8" s="4" t="s">
        <v>17</v>
      </c>
      <c r="B8" s="5" t="s">
        <v>9</v>
      </c>
      <c r="C8" s="5"/>
      <c r="D8" s="27">
        <v>0</v>
      </c>
      <c r="E8" s="5" t="s">
        <v>10</v>
      </c>
      <c r="F8" s="5">
        <v>1</v>
      </c>
      <c r="G8" s="25"/>
      <c r="H8" s="9"/>
      <c r="I8" s="9"/>
      <c r="J8" s="9"/>
      <c r="K8" s="9"/>
      <c r="L8" s="9"/>
      <c r="M8" s="9"/>
      <c r="N8" s="9"/>
      <c r="O8" s="9" t="b">
        <v>0</v>
      </c>
      <c r="P8" s="9"/>
    </row>
    <row r="9" spans="1:16" x14ac:dyDescent="0.3">
      <c r="A9" s="16" t="s">
        <v>39</v>
      </c>
      <c r="B9" s="17">
        <v>8</v>
      </c>
      <c r="C9" s="17"/>
      <c r="D9" s="17">
        <f t="shared" ref="D9:D14" si="0">B9</f>
        <v>8</v>
      </c>
      <c r="E9" s="17" t="s">
        <v>34</v>
      </c>
      <c r="F9" s="17">
        <v>1</v>
      </c>
      <c r="G9" s="18"/>
      <c r="H9" s="9"/>
      <c r="I9" s="9"/>
      <c r="J9" s="9"/>
      <c r="K9" s="9"/>
      <c r="L9" s="9"/>
      <c r="M9" s="9"/>
      <c r="N9" s="9"/>
      <c r="O9" s="9" t="b">
        <v>0</v>
      </c>
      <c r="P9" s="9"/>
    </row>
    <row r="10" spans="1:16" x14ac:dyDescent="0.3">
      <c r="A10" s="16" t="s">
        <v>40</v>
      </c>
      <c r="B10" s="17">
        <v>3.5</v>
      </c>
      <c r="C10" s="17"/>
      <c r="D10" s="17">
        <f t="shared" si="0"/>
        <v>3.5</v>
      </c>
      <c r="E10" s="17" t="s">
        <v>34</v>
      </c>
      <c r="F10" s="17">
        <v>1</v>
      </c>
      <c r="G10" s="18"/>
      <c r="H10" s="9"/>
      <c r="I10" s="9"/>
      <c r="J10" s="9"/>
      <c r="K10" s="9"/>
      <c r="L10" s="9"/>
      <c r="M10" s="9"/>
      <c r="N10" s="9"/>
      <c r="O10" s="9" t="b">
        <v>0</v>
      </c>
      <c r="P10" s="9"/>
    </row>
    <row r="11" spans="1:16" x14ac:dyDescent="0.3">
      <c r="A11" s="16" t="s">
        <v>41</v>
      </c>
      <c r="B11" s="17">
        <v>8</v>
      </c>
      <c r="C11" s="17"/>
      <c r="D11" s="17">
        <f t="shared" si="0"/>
        <v>8</v>
      </c>
      <c r="E11" s="17" t="s">
        <v>34</v>
      </c>
      <c r="F11" s="17">
        <v>1</v>
      </c>
      <c r="G11" s="18"/>
      <c r="H11" s="9"/>
      <c r="I11" s="9"/>
      <c r="J11" s="9"/>
      <c r="K11" s="9"/>
      <c r="L11" s="9"/>
      <c r="M11" s="9"/>
      <c r="N11" s="9"/>
      <c r="O11" s="9" t="b">
        <v>0</v>
      </c>
      <c r="P11" s="9"/>
    </row>
    <row r="12" spans="1:16" x14ac:dyDescent="0.3">
      <c r="A12" s="16" t="s">
        <v>42</v>
      </c>
      <c r="B12" s="17">
        <v>3.5</v>
      </c>
      <c r="C12" s="17"/>
      <c r="D12" s="17">
        <f t="shared" si="0"/>
        <v>3.5</v>
      </c>
      <c r="E12" s="17" t="s">
        <v>34</v>
      </c>
      <c r="F12" s="17">
        <v>1</v>
      </c>
      <c r="G12" s="18"/>
      <c r="H12" s="26"/>
      <c r="I12" s="9"/>
      <c r="J12" s="9"/>
      <c r="K12" s="9"/>
      <c r="L12" s="9"/>
      <c r="M12" s="9"/>
      <c r="N12" s="9"/>
      <c r="O12" s="9" t="b">
        <v>0</v>
      </c>
      <c r="P12" s="9"/>
    </row>
    <row r="13" spans="1:16" x14ac:dyDescent="0.3">
      <c r="A13" s="16" t="s">
        <v>43</v>
      </c>
      <c r="B13" s="17">
        <v>12.5</v>
      </c>
      <c r="C13" s="17"/>
      <c r="D13" s="17">
        <f t="shared" si="0"/>
        <v>12.5</v>
      </c>
      <c r="E13" s="17" t="s">
        <v>34</v>
      </c>
      <c r="F13" s="17">
        <v>1</v>
      </c>
      <c r="G13" s="18"/>
      <c r="H13" s="26"/>
      <c r="I13" s="9"/>
      <c r="J13" s="9"/>
      <c r="K13" s="9"/>
      <c r="L13" s="9"/>
      <c r="M13" s="9"/>
      <c r="N13" s="9"/>
      <c r="O13" s="9" t="b">
        <v>0</v>
      </c>
      <c r="P13" s="9"/>
    </row>
    <row r="14" spans="1:16" x14ac:dyDescent="0.3">
      <c r="A14" s="16" t="s">
        <v>44</v>
      </c>
      <c r="B14" s="17">
        <v>17.5</v>
      </c>
      <c r="C14" s="17"/>
      <c r="D14" s="17">
        <f t="shared" si="0"/>
        <v>17.5</v>
      </c>
      <c r="E14" s="17" t="s">
        <v>34</v>
      </c>
      <c r="F14" s="17">
        <v>1</v>
      </c>
      <c r="G14" s="17"/>
      <c r="H14" s="9"/>
      <c r="I14" s="9"/>
      <c r="J14" s="9"/>
      <c r="K14" s="9"/>
      <c r="L14" s="9"/>
      <c r="M14" s="9"/>
      <c r="N14" s="9"/>
      <c r="O14" s="9" t="b">
        <v>0</v>
      </c>
      <c r="P14" s="9"/>
    </row>
    <row r="15" spans="1:16" x14ac:dyDescent="0.3">
      <c r="A15" s="16" t="s">
        <v>45</v>
      </c>
      <c r="B15" s="19">
        <v>0</v>
      </c>
      <c r="C15" s="19">
        <v>-139.5</v>
      </c>
      <c r="D15" s="19">
        <v>139.5</v>
      </c>
      <c r="E15" s="19" t="s">
        <v>35</v>
      </c>
      <c r="F15" s="17">
        <v>1</v>
      </c>
      <c r="G15" s="17"/>
      <c r="H15" s="26"/>
      <c r="I15" s="9"/>
      <c r="J15" s="9"/>
      <c r="K15" s="9"/>
      <c r="L15" s="9"/>
      <c r="M15" s="9"/>
      <c r="N15" s="9"/>
      <c r="O15" s="9" t="b">
        <v>0</v>
      </c>
      <c r="P15" s="9"/>
    </row>
    <row r="16" spans="1:16" x14ac:dyDescent="0.3">
      <c r="A16" s="16" t="s">
        <v>46</v>
      </c>
      <c r="B16" s="19">
        <v>0</v>
      </c>
      <c r="C16" s="19">
        <v>-139.5</v>
      </c>
      <c r="D16" s="19">
        <v>139.5</v>
      </c>
      <c r="E16" s="19" t="s">
        <v>35</v>
      </c>
      <c r="F16" s="17">
        <v>1</v>
      </c>
      <c r="G16" s="17"/>
      <c r="H16" s="26"/>
      <c r="I16" s="9"/>
      <c r="J16" s="9"/>
      <c r="K16" s="9"/>
      <c r="L16" s="9"/>
      <c r="M16" s="9"/>
      <c r="N16" s="9"/>
      <c r="O16" s="9" t="b">
        <v>0</v>
      </c>
      <c r="P16" s="9"/>
    </row>
    <row r="17" spans="1:16" x14ac:dyDescent="0.3">
      <c r="A17" s="16" t="s">
        <v>47</v>
      </c>
      <c r="B17" s="19">
        <v>0</v>
      </c>
      <c r="C17" s="19">
        <v>-139.5</v>
      </c>
      <c r="D17" s="19">
        <v>139.5</v>
      </c>
      <c r="E17" s="19" t="s">
        <v>35</v>
      </c>
      <c r="F17" s="17">
        <v>1</v>
      </c>
      <c r="G17" s="17"/>
      <c r="H17" s="26"/>
      <c r="I17" s="9"/>
      <c r="J17" s="9"/>
      <c r="K17" s="9"/>
      <c r="L17" s="9"/>
      <c r="M17" s="9"/>
      <c r="N17" s="9"/>
      <c r="O17" s="9" t="b">
        <v>0</v>
      </c>
      <c r="P17" s="9"/>
    </row>
    <row r="18" spans="1:16" x14ac:dyDescent="0.3">
      <c r="A18" s="16" t="s">
        <v>48</v>
      </c>
      <c r="B18" s="19">
        <v>0</v>
      </c>
      <c r="C18" s="19">
        <v>-139.5</v>
      </c>
      <c r="D18" s="19">
        <v>139.5</v>
      </c>
      <c r="E18" s="19" t="s">
        <v>35</v>
      </c>
      <c r="F18" s="17">
        <v>1</v>
      </c>
      <c r="G18" s="17"/>
      <c r="H18" s="26"/>
      <c r="I18" s="9"/>
      <c r="J18" s="9"/>
      <c r="K18" s="9"/>
      <c r="L18" s="9"/>
      <c r="M18" s="9"/>
      <c r="N18" s="9"/>
      <c r="O18" s="9" t="b">
        <v>0</v>
      </c>
      <c r="P18" s="9"/>
    </row>
    <row r="19" spans="1:16" x14ac:dyDescent="0.3">
      <c r="A19" s="16" t="s">
        <v>49</v>
      </c>
      <c r="B19" s="19">
        <v>0</v>
      </c>
      <c r="C19" s="19">
        <v>-139.5</v>
      </c>
      <c r="D19" s="19">
        <v>139.5</v>
      </c>
      <c r="E19" s="19" t="s">
        <v>35</v>
      </c>
      <c r="F19" s="17">
        <v>1</v>
      </c>
      <c r="G19" s="17"/>
      <c r="H19" s="26"/>
      <c r="I19" s="9"/>
      <c r="J19" s="9"/>
      <c r="K19" s="9"/>
      <c r="L19" s="9"/>
      <c r="M19" s="9"/>
      <c r="N19" s="9"/>
      <c r="O19" s="9" t="b">
        <v>0</v>
      </c>
      <c r="P19" s="9"/>
    </row>
    <row r="20" spans="1:16" x14ac:dyDescent="0.3">
      <c r="A20" s="16" t="s">
        <v>50</v>
      </c>
      <c r="B20" s="19">
        <v>0</v>
      </c>
      <c r="C20" s="19">
        <v>-139.5</v>
      </c>
      <c r="D20" s="19">
        <v>139.5</v>
      </c>
      <c r="E20" s="19" t="s">
        <v>35</v>
      </c>
      <c r="F20" s="17">
        <v>1</v>
      </c>
      <c r="G20" s="18"/>
      <c r="H20" s="26"/>
      <c r="I20" s="9"/>
      <c r="J20" s="9"/>
      <c r="K20" s="9"/>
      <c r="L20" s="9"/>
      <c r="M20" s="9"/>
      <c r="N20" s="9"/>
      <c r="O20" s="9" t="b">
        <v>0</v>
      </c>
      <c r="P20" s="9"/>
    </row>
    <row r="21" spans="1:16" x14ac:dyDescent="0.3">
      <c r="A21" s="16" t="s">
        <v>36</v>
      </c>
      <c r="B21" s="33" t="s">
        <v>83</v>
      </c>
      <c r="C21" s="17" t="str">
        <f>B21</f>
        <v>20.8</v>
      </c>
      <c r="D21" s="17"/>
      <c r="E21" s="17" t="s">
        <v>7</v>
      </c>
      <c r="F21" s="17">
        <v>1</v>
      </c>
      <c r="G21" s="20"/>
      <c r="H21" s="26"/>
      <c r="I21" s="9"/>
      <c r="J21" s="9"/>
      <c r="K21" s="9"/>
      <c r="L21" s="9"/>
      <c r="M21" s="9"/>
      <c r="N21" s="9"/>
      <c r="O21" s="9" t="b">
        <v>0</v>
      </c>
      <c r="P21" s="9"/>
    </row>
    <row r="22" spans="1:16" x14ac:dyDescent="0.3">
      <c r="A22" s="4" t="s">
        <v>70</v>
      </c>
      <c r="B22" s="5"/>
      <c r="C22" s="5"/>
      <c r="D22" s="5" t="s">
        <v>9</v>
      </c>
      <c r="E22" s="5" t="s">
        <v>10</v>
      </c>
      <c r="F22" s="5"/>
      <c r="G22" s="25"/>
      <c r="H22" s="9"/>
      <c r="I22" s="9"/>
      <c r="J22" s="9"/>
      <c r="K22" s="9"/>
      <c r="L22" s="9"/>
      <c r="M22" s="9"/>
      <c r="N22" s="9"/>
      <c r="O22" s="9" t="b">
        <v>0</v>
      </c>
      <c r="P22" s="9"/>
    </row>
    <row r="23" spans="1:16" x14ac:dyDescent="0.3">
      <c r="A23" s="6" t="s">
        <v>24</v>
      </c>
      <c r="B23" s="3" t="s">
        <v>11</v>
      </c>
      <c r="C23" s="3" t="str">
        <f>B23</f>
        <v>45</v>
      </c>
      <c r="D23" s="3"/>
      <c r="E23" s="3" t="s">
        <v>8</v>
      </c>
      <c r="F23" s="5" t="s">
        <v>12</v>
      </c>
      <c r="G23" s="5" t="s">
        <v>84</v>
      </c>
      <c r="H23" s="9">
        <v>-25.5</v>
      </c>
      <c r="I23" s="9">
        <v>-25.5</v>
      </c>
      <c r="J23" s="9">
        <v>-25.5</v>
      </c>
      <c r="K23" s="9">
        <v>-25.5</v>
      </c>
      <c r="L23" s="9">
        <v>-25.5</v>
      </c>
      <c r="M23" s="9">
        <v>-25.5</v>
      </c>
      <c r="N23" s="8"/>
      <c r="O23" s="9" t="b">
        <v>0</v>
      </c>
      <c r="P23" s="9" t="s">
        <v>22</v>
      </c>
    </row>
    <row r="24" spans="1:16" x14ac:dyDescent="0.3">
      <c r="A24" s="6" t="s">
        <v>25</v>
      </c>
      <c r="B24" s="15" t="s">
        <v>9</v>
      </c>
      <c r="C24" s="4"/>
      <c r="D24" s="5" t="s">
        <v>9</v>
      </c>
      <c r="E24" s="5" t="s">
        <v>10</v>
      </c>
      <c r="F24" s="5" t="s">
        <v>12</v>
      </c>
      <c r="G24" s="5" t="s">
        <v>84</v>
      </c>
      <c r="H24" s="9">
        <v>-25.5</v>
      </c>
      <c r="I24" s="9">
        <v>-25.5</v>
      </c>
      <c r="J24" s="9">
        <v>-25.5</v>
      </c>
      <c r="K24" s="9">
        <v>-25.5</v>
      </c>
      <c r="L24" s="9">
        <v>-25.5</v>
      </c>
      <c r="M24" s="9">
        <v>-25.5</v>
      </c>
      <c r="N24" s="8"/>
      <c r="O24" s="9" t="b">
        <v>0</v>
      </c>
      <c r="P24" s="9" t="s">
        <v>22</v>
      </c>
    </row>
    <row r="25" spans="1:16" x14ac:dyDescent="0.3">
      <c r="A25" s="6" t="s">
        <v>28</v>
      </c>
      <c r="B25" s="15" t="s">
        <v>9</v>
      </c>
      <c r="C25" s="4" t="s">
        <v>9</v>
      </c>
      <c r="D25" s="5" t="s">
        <v>9</v>
      </c>
      <c r="E25" s="5" t="s">
        <v>10</v>
      </c>
      <c r="F25" s="5"/>
      <c r="G25" s="5" t="s">
        <v>84</v>
      </c>
      <c r="H25" s="9">
        <v>-25.5</v>
      </c>
      <c r="I25" s="9">
        <v>-25.5</v>
      </c>
      <c r="J25" s="9">
        <v>-25.5</v>
      </c>
      <c r="K25" s="9">
        <v>-25.5</v>
      </c>
      <c r="L25" s="9">
        <v>-25.5</v>
      </c>
      <c r="M25" s="9">
        <v>-25.5</v>
      </c>
      <c r="N25" s="8"/>
      <c r="O25" s="9" t="b">
        <v>0</v>
      </c>
      <c r="P25" s="9" t="s">
        <v>22</v>
      </c>
    </row>
    <row r="26" spans="1:16" x14ac:dyDescent="0.3">
      <c r="A26" s="6" t="s">
        <v>19</v>
      </c>
      <c r="B26" s="7">
        <v>-85</v>
      </c>
      <c r="C26" s="7"/>
      <c r="D26" s="7">
        <v>-85</v>
      </c>
      <c r="E26" s="7"/>
      <c r="F26" s="8"/>
      <c r="G26" s="8"/>
      <c r="H26" s="8"/>
      <c r="I26" s="9"/>
      <c r="J26" s="9"/>
      <c r="K26" s="9"/>
      <c r="L26" s="9"/>
      <c r="M26" s="9"/>
      <c r="N26" s="9"/>
      <c r="O26" s="9" t="b">
        <v>0</v>
      </c>
      <c r="P26" s="9"/>
    </row>
    <row r="27" spans="1:16" x14ac:dyDescent="0.3">
      <c r="A27" s="11" t="s">
        <v>18</v>
      </c>
      <c r="B27" s="12">
        <v>10</v>
      </c>
      <c r="C27" s="12"/>
      <c r="D27" s="12">
        <v>10</v>
      </c>
      <c r="E27" s="12"/>
      <c r="F27" s="13"/>
      <c r="G27" s="13"/>
      <c r="H27" s="13"/>
      <c r="I27" s="14"/>
      <c r="J27" s="14"/>
      <c r="K27" s="14"/>
      <c r="L27" s="14"/>
      <c r="M27" s="14"/>
      <c r="N27" s="14"/>
      <c r="O27" s="9" t="b">
        <v>0</v>
      </c>
      <c r="P27" s="14"/>
    </row>
    <row r="28" spans="1:16" x14ac:dyDescent="0.3">
      <c r="A28" s="11" t="s">
        <v>26</v>
      </c>
      <c r="B28" s="14">
        <v>45</v>
      </c>
      <c r="C28" s="14">
        <v>45</v>
      </c>
      <c r="D28" s="14"/>
      <c r="E28" s="14" t="s">
        <v>8</v>
      </c>
      <c r="F28" s="14"/>
      <c r="G28" s="14">
        <v>-5</v>
      </c>
      <c r="H28" s="14"/>
      <c r="I28" s="14"/>
      <c r="J28" s="14"/>
      <c r="K28" s="14"/>
      <c r="L28" s="14"/>
      <c r="M28" s="14"/>
      <c r="N28" s="14">
        <v>-32</v>
      </c>
      <c r="O28" s="9" t="b">
        <v>0</v>
      </c>
      <c r="P28" s="14"/>
    </row>
    <row r="29" spans="1:16" x14ac:dyDescent="0.3">
      <c r="A29" s="11" t="s">
        <v>27</v>
      </c>
      <c r="B29" s="14">
        <v>0</v>
      </c>
      <c r="C29" s="14"/>
      <c r="D29" s="14">
        <v>0</v>
      </c>
      <c r="E29" s="14" t="s">
        <v>10</v>
      </c>
      <c r="F29" s="14"/>
      <c r="G29" s="14">
        <v>-5</v>
      </c>
      <c r="H29" s="14"/>
      <c r="I29" s="14"/>
      <c r="J29" s="14"/>
      <c r="K29" s="14"/>
      <c r="L29" s="14"/>
      <c r="M29" s="14"/>
      <c r="N29" s="14">
        <v>-35</v>
      </c>
      <c r="O29" s="9" t="b">
        <v>0</v>
      </c>
      <c r="P29" s="14"/>
    </row>
    <row r="30" spans="1:16" x14ac:dyDescent="0.3">
      <c r="A30" s="6" t="s">
        <v>69</v>
      </c>
      <c r="B30" s="9"/>
      <c r="C30" s="9">
        <v>-90</v>
      </c>
      <c r="D30" s="9">
        <v>90</v>
      </c>
      <c r="E30" s="32" t="s">
        <v>79</v>
      </c>
      <c r="F30" s="9"/>
      <c r="G30" s="9"/>
      <c r="H30" s="9"/>
      <c r="I30" s="9"/>
      <c r="J30" s="9"/>
      <c r="K30" s="9"/>
      <c r="L30" s="9"/>
      <c r="M30" s="9"/>
      <c r="N30" s="9"/>
      <c r="O30" s="9" t="b">
        <v>0</v>
      </c>
      <c r="P30" s="9"/>
    </row>
  </sheetData>
  <phoneticPr fontId="10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workbookViewId="0">
      <selection activeCell="C5" sqref="C5"/>
    </sheetView>
  </sheetViews>
  <sheetFormatPr defaultRowHeight="14.4" x14ac:dyDescent="0.3"/>
  <cols>
    <col min="1" max="1" width="43.44140625" bestFit="1" customWidth="1"/>
    <col min="2" max="2" width="38.5546875" customWidth="1"/>
    <col min="3" max="3" width="9.109375" customWidth="1"/>
    <col min="4" max="5" width="6" bestFit="1" customWidth="1"/>
    <col min="6" max="6" width="34.33203125" bestFit="1" customWidth="1"/>
  </cols>
  <sheetData>
    <row r="1" spans="1:7" x14ac:dyDescent="0.3">
      <c r="A1" s="1" t="s">
        <v>51</v>
      </c>
      <c r="B1" s="1" t="s">
        <v>52</v>
      </c>
      <c r="C1" s="1" t="s">
        <v>53</v>
      </c>
      <c r="D1" s="28" t="s">
        <v>54</v>
      </c>
      <c r="E1" s="1" t="s">
        <v>4</v>
      </c>
      <c r="F1" s="1" t="s">
        <v>55</v>
      </c>
      <c r="G1" s="1" t="s">
        <v>21</v>
      </c>
    </row>
    <row r="2" spans="1:7" x14ac:dyDescent="0.3">
      <c r="A2" s="22" t="s">
        <v>57</v>
      </c>
      <c r="B2" s="22"/>
      <c r="C2" s="5"/>
      <c r="D2" s="27"/>
      <c r="E2" s="5"/>
      <c r="F2" s="5"/>
      <c r="G2" s="23"/>
    </row>
    <row r="3" spans="1:7" x14ac:dyDescent="0.3">
      <c r="A3" s="2"/>
      <c r="B3" s="2" t="s">
        <v>14</v>
      </c>
      <c r="C3" s="3" t="s">
        <v>56</v>
      </c>
      <c r="D3" s="7">
        <v>40</v>
      </c>
      <c r="E3" s="7" t="s">
        <v>7</v>
      </c>
      <c r="F3" s="3" t="s">
        <v>61</v>
      </c>
      <c r="G3" s="3"/>
    </row>
    <row r="4" spans="1:7" x14ac:dyDescent="0.3">
      <c r="A4" s="2" t="s">
        <v>37</v>
      </c>
      <c r="B4" s="2"/>
      <c r="C4" s="3" t="s">
        <v>58</v>
      </c>
      <c r="D4" s="7">
        <v>37.299999999999997</v>
      </c>
      <c r="E4" s="7" t="s">
        <v>7</v>
      </c>
      <c r="F4" s="3" t="s">
        <v>60</v>
      </c>
      <c r="G4" s="3"/>
    </row>
    <row r="5" spans="1:7" x14ac:dyDescent="0.3">
      <c r="A5" s="2" t="s">
        <v>13</v>
      </c>
      <c r="B5" s="2"/>
      <c r="C5" s="3" t="s">
        <v>59</v>
      </c>
      <c r="D5" s="7">
        <v>42.7</v>
      </c>
      <c r="E5" s="7" t="s">
        <v>7</v>
      </c>
      <c r="F5" s="3" t="s">
        <v>62</v>
      </c>
      <c r="G5" s="3"/>
    </row>
    <row r="6" spans="1:7" x14ac:dyDescent="0.3">
      <c r="A6" s="4" t="s">
        <v>15</v>
      </c>
      <c r="B6" s="2" t="s">
        <v>37</v>
      </c>
      <c r="C6" s="3" t="s">
        <v>11</v>
      </c>
      <c r="D6" s="7">
        <v>37.299999999999997</v>
      </c>
      <c r="E6" s="7" t="s">
        <v>7</v>
      </c>
      <c r="F6" s="3" t="s">
        <v>8</v>
      </c>
      <c r="G6" s="3"/>
    </row>
    <row r="7" spans="1:7" x14ac:dyDescent="0.3">
      <c r="A7" s="4" t="s">
        <v>16</v>
      </c>
      <c r="B7" s="4"/>
      <c r="C7" s="5" t="s">
        <v>9</v>
      </c>
      <c r="D7" s="27"/>
      <c r="E7" s="5">
        <v>0</v>
      </c>
      <c r="F7" s="5" t="s">
        <v>10</v>
      </c>
      <c r="G7" s="5"/>
    </row>
    <row r="8" spans="1:7" x14ac:dyDescent="0.3">
      <c r="A8" s="4" t="s">
        <v>17</v>
      </c>
      <c r="B8" s="4"/>
      <c r="C8" s="5" t="s">
        <v>9</v>
      </c>
      <c r="D8" s="27"/>
      <c r="E8" s="27">
        <v>0</v>
      </c>
      <c r="F8" s="5" t="s">
        <v>10</v>
      </c>
      <c r="G8" s="5"/>
    </row>
    <row r="9" spans="1:7" x14ac:dyDescent="0.3">
      <c r="A9" s="16" t="s">
        <v>39</v>
      </c>
      <c r="B9" s="16"/>
      <c r="C9" s="17">
        <v>8</v>
      </c>
      <c r="D9" s="19"/>
      <c r="E9" s="17">
        <f t="shared" ref="E9:E14" si="0">C9</f>
        <v>8</v>
      </c>
      <c r="F9" s="17" t="s">
        <v>34</v>
      </c>
      <c r="G9" s="17"/>
    </row>
    <row r="10" spans="1:7" x14ac:dyDescent="0.3">
      <c r="A10" s="16" t="s">
        <v>40</v>
      </c>
      <c r="B10" s="16"/>
      <c r="C10" s="17">
        <v>3.5</v>
      </c>
      <c r="D10" s="19"/>
      <c r="E10" s="17">
        <f t="shared" si="0"/>
        <v>3.5</v>
      </c>
      <c r="F10" s="17" t="s">
        <v>34</v>
      </c>
      <c r="G10" s="17"/>
    </row>
    <row r="11" spans="1:7" x14ac:dyDescent="0.3">
      <c r="A11" s="16" t="s">
        <v>41</v>
      </c>
      <c r="B11" s="16"/>
      <c r="C11" s="17">
        <v>8</v>
      </c>
      <c r="D11" s="19"/>
      <c r="E11" s="17">
        <f t="shared" si="0"/>
        <v>8</v>
      </c>
      <c r="F11" s="17" t="s">
        <v>34</v>
      </c>
      <c r="G11" s="17"/>
    </row>
    <row r="12" spans="1:7" x14ac:dyDescent="0.3">
      <c r="A12" s="16" t="s">
        <v>42</v>
      </c>
      <c r="B12" s="16"/>
      <c r="C12" s="17">
        <v>3.5</v>
      </c>
      <c r="D12" s="19"/>
      <c r="E12" s="17">
        <f t="shared" si="0"/>
        <v>3.5</v>
      </c>
      <c r="F12" s="17" t="s">
        <v>34</v>
      </c>
      <c r="G12" s="17"/>
    </row>
    <row r="13" spans="1:7" x14ac:dyDescent="0.3">
      <c r="A13" s="16" t="s">
        <v>43</v>
      </c>
      <c r="B13" s="16"/>
      <c r="C13" s="17">
        <v>12.5</v>
      </c>
      <c r="D13" s="19"/>
      <c r="E13" s="17">
        <f t="shared" si="0"/>
        <v>12.5</v>
      </c>
      <c r="F13" s="17" t="s">
        <v>34</v>
      </c>
      <c r="G13" s="17"/>
    </row>
    <row r="14" spans="1:7" x14ac:dyDescent="0.3">
      <c r="A14" s="16" t="s">
        <v>44</v>
      </c>
      <c r="B14" s="16"/>
      <c r="C14" s="17">
        <v>17.5</v>
      </c>
      <c r="D14" s="19"/>
      <c r="E14" s="17">
        <f t="shared" si="0"/>
        <v>17.5</v>
      </c>
      <c r="F14" s="17" t="s">
        <v>34</v>
      </c>
      <c r="G14" s="17"/>
    </row>
    <row r="15" spans="1:7" x14ac:dyDescent="0.3">
      <c r="A15" s="16" t="s">
        <v>45</v>
      </c>
      <c r="B15" s="16"/>
      <c r="C15" s="19">
        <f t="shared" ref="C15:C20" si="1">255000*0.05%</f>
        <v>127.5</v>
      </c>
      <c r="D15" s="19">
        <f t="shared" ref="D15:D20" si="2">C15-12</f>
        <v>115.5</v>
      </c>
      <c r="E15" s="19">
        <f t="shared" ref="E15:E20" si="3">C15+12</f>
        <v>139.5</v>
      </c>
      <c r="F15" s="19" t="s">
        <v>35</v>
      </c>
      <c r="G15" s="17"/>
    </row>
    <row r="16" spans="1:7" x14ac:dyDescent="0.3">
      <c r="A16" s="16" t="s">
        <v>46</v>
      </c>
      <c r="B16" s="16"/>
      <c r="C16" s="19">
        <f t="shared" si="1"/>
        <v>127.5</v>
      </c>
      <c r="D16" s="19">
        <f t="shared" si="2"/>
        <v>115.5</v>
      </c>
      <c r="E16" s="19">
        <f t="shared" si="3"/>
        <v>139.5</v>
      </c>
      <c r="F16" s="19" t="s">
        <v>35</v>
      </c>
      <c r="G16" s="17"/>
    </row>
    <row r="17" spans="1:7" x14ac:dyDescent="0.3">
      <c r="A17" s="16" t="s">
        <v>47</v>
      </c>
      <c r="B17" s="16"/>
      <c r="C17" s="19">
        <f t="shared" si="1"/>
        <v>127.5</v>
      </c>
      <c r="D17" s="19">
        <f t="shared" si="2"/>
        <v>115.5</v>
      </c>
      <c r="E17" s="19">
        <f t="shared" si="3"/>
        <v>139.5</v>
      </c>
      <c r="F17" s="19" t="s">
        <v>35</v>
      </c>
      <c r="G17" s="17"/>
    </row>
    <row r="18" spans="1:7" x14ac:dyDescent="0.3">
      <c r="A18" s="16" t="s">
        <v>48</v>
      </c>
      <c r="B18" s="16"/>
      <c r="C18" s="19">
        <f t="shared" si="1"/>
        <v>127.5</v>
      </c>
      <c r="D18" s="19">
        <f t="shared" si="2"/>
        <v>115.5</v>
      </c>
      <c r="E18" s="19">
        <f t="shared" si="3"/>
        <v>139.5</v>
      </c>
      <c r="F18" s="19" t="s">
        <v>35</v>
      </c>
      <c r="G18" s="17"/>
    </row>
    <row r="19" spans="1:7" x14ac:dyDescent="0.3">
      <c r="A19" s="16" t="s">
        <v>49</v>
      </c>
      <c r="B19" s="16"/>
      <c r="C19" s="19">
        <f t="shared" si="1"/>
        <v>127.5</v>
      </c>
      <c r="D19" s="19">
        <f t="shared" si="2"/>
        <v>115.5</v>
      </c>
      <c r="E19" s="19">
        <f t="shared" si="3"/>
        <v>139.5</v>
      </c>
      <c r="F19" s="19" t="s">
        <v>35</v>
      </c>
      <c r="G19" s="17"/>
    </row>
    <row r="20" spans="1:7" x14ac:dyDescent="0.3">
      <c r="A20" s="16" t="s">
        <v>50</v>
      </c>
      <c r="B20" s="16"/>
      <c r="C20" s="19">
        <f t="shared" si="1"/>
        <v>127.5</v>
      </c>
      <c r="D20" s="19">
        <f t="shared" si="2"/>
        <v>115.5</v>
      </c>
      <c r="E20" s="19">
        <f t="shared" si="3"/>
        <v>139.5</v>
      </c>
      <c r="F20" s="19" t="s">
        <v>35</v>
      </c>
      <c r="G20" s="17"/>
    </row>
    <row r="21" spans="1:7" x14ac:dyDescent="0.3">
      <c r="A21" s="16" t="s">
        <v>36</v>
      </c>
      <c r="B21" s="16"/>
      <c r="C21" s="17">
        <v>24.3</v>
      </c>
      <c r="D21" s="19">
        <f>C21</f>
        <v>24.3</v>
      </c>
      <c r="E21" s="17"/>
      <c r="F21" s="17" t="s">
        <v>7</v>
      </c>
      <c r="G21" s="17"/>
    </row>
    <row r="22" spans="1:7" x14ac:dyDescent="0.3">
      <c r="A22" s="4" t="s">
        <v>29</v>
      </c>
      <c r="B22" s="4"/>
      <c r="C22" s="5"/>
      <c r="D22" s="27"/>
      <c r="E22" s="5" t="s">
        <v>9</v>
      </c>
      <c r="F22" s="5" t="s">
        <v>10</v>
      </c>
      <c r="G22" s="5"/>
    </row>
    <row r="23" spans="1:7" x14ac:dyDescent="0.3">
      <c r="A23" s="4" t="s">
        <v>30</v>
      </c>
      <c r="B23" s="4"/>
      <c r="C23" s="5"/>
      <c r="D23" s="27"/>
      <c r="E23" s="5" t="s">
        <v>9</v>
      </c>
      <c r="F23" s="5" t="s">
        <v>10</v>
      </c>
      <c r="G23" s="5"/>
    </row>
    <row r="24" spans="1:7" x14ac:dyDescent="0.3">
      <c r="A24" s="4" t="s">
        <v>31</v>
      </c>
      <c r="B24" s="4"/>
      <c r="C24" s="5"/>
      <c r="D24" s="27"/>
      <c r="E24" s="5" t="s">
        <v>9</v>
      </c>
      <c r="F24" s="5" t="s">
        <v>10</v>
      </c>
      <c r="G24" s="5"/>
    </row>
    <row r="25" spans="1:7" x14ac:dyDescent="0.3">
      <c r="A25" s="4" t="s">
        <v>32</v>
      </c>
      <c r="B25" s="4"/>
      <c r="C25" s="5"/>
      <c r="D25" s="27"/>
      <c r="E25" s="5" t="s">
        <v>9</v>
      </c>
      <c r="F25" s="5" t="s">
        <v>10</v>
      </c>
      <c r="G25" s="5"/>
    </row>
    <row r="26" spans="1:7" x14ac:dyDescent="0.3">
      <c r="A26" s="4" t="s">
        <v>33</v>
      </c>
      <c r="B26" s="4"/>
      <c r="C26" s="5"/>
      <c r="D26" s="27"/>
      <c r="E26" s="5" t="s">
        <v>9</v>
      </c>
      <c r="F26" s="5" t="s">
        <v>10</v>
      </c>
      <c r="G26" s="5"/>
    </row>
    <row r="27" spans="1:7" x14ac:dyDescent="0.3">
      <c r="A27" s="6" t="s">
        <v>24</v>
      </c>
      <c r="B27" s="6"/>
      <c r="C27" s="3" t="s">
        <v>11</v>
      </c>
      <c r="D27" s="7" t="str">
        <f>C27</f>
        <v>45</v>
      </c>
      <c r="E27" s="3"/>
      <c r="F27" s="3" t="s">
        <v>8</v>
      </c>
      <c r="G27" s="5"/>
    </row>
    <row r="28" spans="1:7" x14ac:dyDescent="0.3">
      <c r="A28" s="6" t="s">
        <v>25</v>
      </c>
      <c r="B28" s="6"/>
      <c r="C28" s="15" t="s">
        <v>9</v>
      </c>
      <c r="D28" s="29"/>
      <c r="E28" s="5" t="s">
        <v>9</v>
      </c>
      <c r="F28" s="5" t="s">
        <v>10</v>
      </c>
      <c r="G28" s="5"/>
    </row>
    <row r="29" spans="1:7" x14ac:dyDescent="0.3">
      <c r="A29" s="6" t="s">
        <v>28</v>
      </c>
      <c r="B29" s="6"/>
      <c r="C29" s="15" t="s">
        <v>9</v>
      </c>
      <c r="D29" s="29" t="s">
        <v>9</v>
      </c>
      <c r="E29" s="5" t="s">
        <v>9</v>
      </c>
      <c r="F29" s="5" t="s">
        <v>10</v>
      </c>
      <c r="G29" s="5"/>
    </row>
    <row r="30" spans="1:7" x14ac:dyDescent="0.3">
      <c r="A30" s="6" t="s">
        <v>19</v>
      </c>
      <c r="B30" s="6"/>
      <c r="C30" s="7">
        <v>-85</v>
      </c>
      <c r="D30" s="7"/>
      <c r="E30" s="7">
        <v>-85</v>
      </c>
      <c r="F30" s="7"/>
      <c r="G30" s="8"/>
    </row>
    <row r="31" spans="1:7" x14ac:dyDescent="0.3">
      <c r="A31" s="11" t="s">
        <v>18</v>
      </c>
      <c r="B31" s="11"/>
      <c r="C31" s="12">
        <v>10</v>
      </c>
      <c r="D31" s="12"/>
      <c r="E31" s="12">
        <v>10</v>
      </c>
      <c r="F31" s="12"/>
      <c r="G31" s="13"/>
    </row>
    <row r="32" spans="1:7" x14ac:dyDescent="0.3">
      <c r="A32" s="11" t="s">
        <v>26</v>
      </c>
      <c r="B32" s="11"/>
      <c r="C32" s="14">
        <v>45</v>
      </c>
      <c r="D32" s="14">
        <v>45</v>
      </c>
      <c r="E32" s="14"/>
      <c r="F32" s="14" t="s">
        <v>8</v>
      </c>
      <c r="G32" s="14"/>
    </row>
    <row r="33" spans="1:7" x14ac:dyDescent="0.3">
      <c r="A33" s="11" t="s">
        <v>27</v>
      </c>
      <c r="B33" s="11"/>
      <c r="C33" s="14">
        <v>0</v>
      </c>
      <c r="D33" s="14"/>
      <c r="E33" s="14">
        <v>0</v>
      </c>
      <c r="F33" s="14" t="s">
        <v>10</v>
      </c>
      <c r="G33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1"/>
  <sheetViews>
    <sheetView workbookViewId="0">
      <selection activeCell="A3" sqref="A3:XFD3"/>
    </sheetView>
  </sheetViews>
  <sheetFormatPr defaultRowHeight="14.4" x14ac:dyDescent="0.3"/>
  <cols>
    <col min="1" max="1" width="38.5546875" bestFit="1" customWidth="1"/>
    <col min="6" max="6" width="12.5546875" bestFit="1" customWidth="1"/>
    <col min="15" max="15" width="10.6640625" bestFit="1" customWidth="1"/>
    <col min="16" max="16" width="16.441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23</v>
      </c>
      <c r="H1" s="21" t="s">
        <v>63</v>
      </c>
      <c r="I1" s="21" t="s">
        <v>64</v>
      </c>
      <c r="J1" s="21" t="s">
        <v>65</v>
      </c>
      <c r="K1" s="21" t="s">
        <v>66</v>
      </c>
      <c r="L1" s="21" t="s">
        <v>67</v>
      </c>
      <c r="M1" s="21" t="s">
        <v>68</v>
      </c>
      <c r="N1" s="21"/>
      <c r="O1" s="21" t="s">
        <v>71</v>
      </c>
      <c r="P1" s="21" t="s">
        <v>21</v>
      </c>
    </row>
    <row r="2" spans="1:16" x14ac:dyDescent="0.3">
      <c r="A2" s="22" t="s">
        <v>6</v>
      </c>
      <c r="B2" s="5"/>
      <c r="C2" s="5"/>
      <c r="D2" s="5"/>
      <c r="E2" s="5"/>
      <c r="F2" s="23"/>
      <c r="G2" s="24"/>
      <c r="H2" s="9"/>
      <c r="I2" s="9"/>
      <c r="J2" s="9"/>
      <c r="K2" s="9"/>
      <c r="L2" s="9"/>
      <c r="M2" s="9"/>
      <c r="N2" s="9">
        <v>0</v>
      </c>
      <c r="O2" s="30"/>
      <c r="P2" s="9"/>
    </row>
    <row r="3" spans="1:16" x14ac:dyDescent="0.3">
      <c r="A3" s="31" t="s">
        <v>74</v>
      </c>
      <c r="B3" s="5" t="s">
        <v>75</v>
      </c>
      <c r="C3" s="5" t="s">
        <v>76</v>
      </c>
      <c r="D3" s="5" t="s">
        <v>77</v>
      </c>
      <c r="E3" s="5"/>
      <c r="F3" s="23" t="s">
        <v>72</v>
      </c>
      <c r="G3" s="24"/>
      <c r="H3" s="9"/>
      <c r="I3" s="9"/>
      <c r="J3" s="9"/>
      <c r="K3" s="9"/>
      <c r="L3" s="9"/>
      <c r="M3" s="9"/>
      <c r="N3" s="9"/>
      <c r="O3" s="30"/>
      <c r="P3" s="9"/>
    </row>
    <row r="4" spans="1:16" x14ac:dyDescent="0.3">
      <c r="A4" s="2" t="s">
        <v>14</v>
      </c>
      <c r="B4" s="3" t="s">
        <v>80</v>
      </c>
      <c r="C4" s="3" t="s">
        <v>81</v>
      </c>
      <c r="D4" s="7">
        <v>41</v>
      </c>
      <c r="E4" s="3" t="s">
        <v>7</v>
      </c>
      <c r="F4" s="3" t="s">
        <v>73</v>
      </c>
      <c r="G4" s="25"/>
      <c r="H4" s="9"/>
      <c r="I4" s="9"/>
      <c r="J4" s="9"/>
      <c r="K4" s="9"/>
      <c r="L4" s="9"/>
      <c r="M4" s="9"/>
      <c r="N4" s="9"/>
      <c r="O4" s="9" t="b">
        <v>0</v>
      </c>
      <c r="P4" s="9"/>
    </row>
    <row r="5" spans="1:16" x14ac:dyDescent="0.3">
      <c r="A5" s="2" t="s">
        <v>37</v>
      </c>
      <c r="B5" s="3" t="s">
        <v>78</v>
      </c>
      <c r="C5" s="3"/>
      <c r="D5" s="7">
        <v>47.88</v>
      </c>
      <c r="E5" s="3" t="s">
        <v>38</v>
      </c>
      <c r="F5" s="3">
        <v>1</v>
      </c>
      <c r="G5" s="25"/>
      <c r="H5" s="9"/>
      <c r="I5" s="9"/>
      <c r="J5" s="9"/>
      <c r="K5" s="9"/>
      <c r="L5" s="9"/>
      <c r="M5" s="9"/>
      <c r="N5" s="9"/>
      <c r="O5" s="9" t="b">
        <v>0</v>
      </c>
      <c r="P5" s="9"/>
    </row>
    <row r="6" spans="1:16" x14ac:dyDescent="0.3">
      <c r="A6" s="2" t="s">
        <v>13</v>
      </c>
      <c r="B6" s="3" t="s">
        <v>82</v>
      </c>
      <c r="C6" s="3" t="s">
        <v>82</v>
      </c>
      <c r="D6" s="3"/>
      <c r="E6" s="3" t="s">
        <v>8</v>
      </c>
      <c r="F6" s="3">
        <v>1</v>
      </c>
      <c r="G6" s="25"/>
      <c r="H6" s="9"/>
      <c r="I6" s="9"/>
      <c r="J6" s="9"/>
      <c r="K6" s="9"/>
      <c r="L6" s="9"/>
      <c r="M6" s="9"/>
      <c r="N6" s="9"/>
      <c r="O6" s="9" t="b">
        <v>0</v>
      </c>
      <c r="P6" s="9"/>
    </row>
    <row r="7" spans="1:16" x14ac:dyDescent="0.3">
      <c r="A7" s="4" t="s">
        <v>15</v>
      </c>
      <c r="B7" s="3" t="s">
        <v>82</v>
      </c>
      <c r="C7" s="3" t="s">
        <v>82</v>
      </c>
      <c r="D7" s="3"/>
      <c r="E7" s="3" t="s">
        <v>8</v>
      </c>
      <c r="F7" s="3">
        <v>1</v>
      </c>
      <c r="G7" s="25"/>
      <c r="H7" s="9"/>
      <c r="I7" s="9"/>
      <c r="J7" s="9"/>
      <c r="K7" s="9"/>
      <c r="L7" s="9"/>
      <c r="M7" s="9"/>
      <c r="N7" s="9"/>
      <c r="O7" s="9" t="b">
        <v>0</v>
      </c>
      <c r="P7" s="9"/>
    </row>
    <row r="8" spans="1:16" x14ac:dyDescent="0.3">
      <c r="A8" s="4" t="s">
        <v>16</v>
      </c>
      <c r="B8" s="5" t="s">
        <v>9</v>
      </c>
      <c r="C8" s="5"/>
      <c r="D8" s="5">
        <v>0</v>
      </c>
      <c r="E8" s="5" t="s">
        <v>10</v>
      </c>
      <c r="F8" s="5">
        <v>1</v>
      </c>
      <c r="G8" s="23"/>
      <c r="H8" s="9"/>
      <c r="I8" s="9"/>
      <c r="J8" s="9"/>
      <c r="K8" s="9"/>
      <c r="L8" s="9"/>
      <c r="M8" s="9"/>
      <c r="N8" s="9"/>
      <c r="O8" s="9" t="b">
        <v>0</v>
      </c>
      <c r="P8" s="9"/>
    </row>
    <row r="9" spans="1:16" x14ac:dyDescent="0.3">
      <c r="A9" s="4" t="s">
        <v>17</v>
      </c>
      <c r="B9" s="5" t="s">
        <v>9</v>
      </c>
      <c r="C9" s="5"/>
      <c r="D9" s="27">
        <v>0</v>
      </c>
      <c r="E9" s="5" t="s">
        <v>10</v>
      </c>
      <c r="F9" s="5">
        <v>1</v>
      </c>
      <c r="G9" s="25"/>
      <c r="H9" s="9"/>
      <c r="I9" s="9"/>
      <c r="J9" s="9"/>
      <c r="K9" s="9"/>
      <c r="L9" s="9"/>
      <c r="M9" s="9"/>
      <c r="N9" s="9"/>
      <c r="O9" s="9" t="b">
        <v>0</v>
      </c>
      <c r="P9" s="9"/>
    </row>
    <row r="10" spans="1:16" x14ac:dyDescent="0.3">
      <c r="A10" s="16" t="s">
        <v>39</v>
      </c>
      <c r="B10" s="17">
        <v>8</v>
      </c>
      <c r="C10" s="17"/>
      <c r="D10" s="17">
        <f t="shared" ref="D10:D15" si="0">B10</f>
        <v>8</v>
      </c>
      <c r="E10" s="17" t="s">
        <v>34</v>
      </c>
      <c r="F10" s="17">
        <v>1</v>
      </c>
      <c r="G10" s="18"/>
      <c r="H10" s="9"/>
      <c r="I10" s="9"/>
      <c r="J10" s="9"/>
      <c r="K10" s="9"/>
      <c r="L10" s="9"/>
      <c r="M10" s="9"/>
      <c r="N10" s="9"/>
      <c r="O10" s="9" t="b">
        <v>0</v>
      </c>
      <c r="P10" s="9"/>
    </row>
    <row r="11" spans="1:16" x14ac:dyDescent="0.3">
      <c r="A11" s="16" t="s">
        <v>40</v>
      </c>
      <c r="B11" s="17">
        <v>3.5</v>
      </c>
      <c r="C11" s="17"/>
      <c r="D11" s="17">
        <f t="shared" si="0"/>
        <v>3.5</v>
      </c>
      <c r="E11" s="17" t="s">
        <v>34</v>
      </c>
      <c r="F11" s="17">
        <v>1</v>
      </c>
      <c r="G11" s="18"/>
      <c r="H11" s="9"/>
      <c r="I11" s="9"/>
      <c r="J11" s="9"/>
      <c r="K11" s="9"/>
      <c r="L11" s="9"/>
      <c r="M11" s="9"/>
      <c r="N11" s="9"/>
      <c r="O11" s="9" t="b">
        <v>0</v>
      </c>
      <c r="P11" s="9"/>
    </row>
    <row r="12" spans="1:16" x14ac:dyDescent="0.3">
      <c r="A12" s="16" t="s">
        <v>41</v>
      </c>
      <c r="B12" s="17">
        <v>8</v>
      </c>
      <c r="C12" s="17"/>
      <c r="D12" s="17">
        <f t="shared" si="0"/>
        <v>8</v>
      </c>
      <c r="E12" s="17" t="s">
        <v>34</v>
      </c>
      <c r="F12" s="17">
        <v>1</v>
      </c>
      <c r="G12" s="18"/>
      <c r="H12" s="9"/>
      <c r="I12" s="9"/>
      <c r="J12" s="9"/>
      <c r="K12" s="9"/>
      <c r="L12" s="9"/>
      <c r="M12" s="9"/>
      <c r="N12" s="9"/>
      <c r="O12" s="9" t="b">
        <v>0</v>
      </c>
      <c r="P12" s="9"/>
    </row>
    <row r="13" spans="1:16" x14ac:dyDescent="0.3">
      <c r="A13" s="16" t="s">
        <v>42</v>
      </c>
      <c r="B13" s="17">
        <v>3.5</v>
      </c>
      <c r="C13" s="17"/>
      <c r="D13" s="17">
        <f t="shared" si="0"/>
        <v>3.5</v>
      </c>
      <c r="E13" s="17" t="s">
        <v>34</v>
      </c>
      <c r="F13" s="17">
        <v>1</v>
      </c>
      <c r="G13" s="18"/>
      <c r="H13" s="26"/>
      <c r="I13" s="9"/>
      <c r="J13" s="9"/>
      <c r="K13" s="9"/>
      <c r="L13" s="9"/>
      <c r="M13" s="9"/>
      <c r="N13" s="9"/>
      <c r="O13" s="9" t="b">
        <v>0</v>
      </c>
      <c r="P13" s="9"/>
    </row>
    <row r="14" spans="1:16" x14ac:dyDescent="0.3">
      <c r="A14" s="16" t="s">
        <v>43</v>
      </c>
      <c r="B14" s="17">
        <v>12.5</v>
      </c>
      <c r="C14" s="17"/>
      <c r="D14" s="17">
        <f t="shared" si="0"/>
        <v>12.5</v>
      </c>
      <c r="E14" s="17" t="s">
        <v>34</v>
      </c>
      <c r="F14" s="17">
        <v>1</v>
      </c>
      <c r="G14" s="18"/>
      <c r="H14" s="26"/>
      <c r="I14" s="9"/>
      <c r="J14" s="9"/>
      <c r="K14" s="9"/>
      <c r="L14" s="9"/>
      <c r="M14" s="9"/>
      <c r="N14" s="9"/>
      <c r="O14" s="9" t="b">
        <v>0</v>
      </c>
      <c r="P14" s="9"/>
    </row>
    <row r="15" spans="1:16" x14ac:dyDescent="0.3">
      <c r="A15" s="16" t="s">
        <v>44</v>
      </c>
      <c r="B15" s="17">
        <v>17.5</v>
      </c>
      <c r="C15" s="17"/>
      <c r="D15" s="17">
        <f t="shared" si="0"/>
        <v>17.5</v>
      </c>
      <c r="E15" s="17" t="s">
        <v>34</v>
      </c>
      <c r="F15" s="17">
        <v>1</v>
      </c>
      <c r="G15" s="17"/>
      <c r="H15" s="9"/>
      <c r="I15" s="9"/>
      <c r="J15" s="9"/>
      <c r="K15" s="9"/>
      <c r="L15" s="9"/>
      <c r="M15" s="9"/>
      <c r="N15" s="9"/>
      <c r="O15" s="9" t="b">
        <v>0</v>
      </c>
      <c r="P15" s="9"/>
    </row>
    <row r="16" spans="1:16" x14ac:dyDescent="0.3">
      <c r="A16" s="16" t="s">
        <v>45</v>
      </c>
      <c r="B16" s="19">
        <v>0</v>
      </c>
      <c r="C16" s="19">
        <v>-139.5</v>
      </c>
      <c r="D16" s="19">
        <v>139.5</v>
      </c>
      <c r="E16" s="19" t="s">
        <v>35</v>
      </c>
      <c r="F16" s="17">
        <v>1</v>
      </c>
      <c r="G16" s="17"/>
      <c r="H16" s="26"/>
      <c r="I16" s="9"/>
      <c r="J16" s="9"/>
      <c r="K16" s="9"/>
      <c r="L16" s="9"/>
      <c r="M16" s="9"/>
      <c r="N16" s="9"/>
      <c r="O16" s="9" t="b">
        <v>0</v>
      </c>
      <c r="P16" s="9"/>
    </row>
    <row r="17" spans="1:16" x14ac:dyDescent="0.3">
      <c r="A17" s="16" t="s">
        <v>46</v>
      </c>
      <c r="B17" s="19">
        <v>0</v>
      </c>
      <c r="C17" s="19">
        <v>-139.5</v>
      </c>
      <c r="D17" s="19">
        <v>139.5</v>
      </c>
      <c r="E17" s="19" t="s">
        <v>35</v>
      </c>
      <c r="F17" s="17">
        <v>1</v>
      </c>
      <c r="G17" s="17"/>
      <c r="H17" s="26"/>
      <c r="I17" s="9"/>
      <c r="J17" s="9"/>
      <c r="K17" s="9"/>
      <c r="L17" s="9"/>
      <c r="M17" s="9"/>
      <c r="N17" s="9"/>
      <c r="O17" s="9" t="b">
        <v>0</v>
      </c>
      <c r="P17" s="9"/>
    </row>
    <row r="18" spans="1:16" x14ac:dyDescent="0.3">
      <c r="A18" s="16" t="s">
        <v>47</v>
      </c>
      <c r="B18" s="19">
        <v>0</v>
      </c>
      <c r="C18" s="19">
        <v>-139.5</v>
      </c>
      <c r="D18" s="19">
        <v>139.5</v>
      </c>
      <c r="E18" s="19" t="s">
        <v>35</v>
      </c>
      <c r="F18" s="17">
        <v>1</v>
      </c>
      <c r="G18" s="17"/>
      <c r="H18" s="26"/>
      <c r="I18" s="9"/>
      <c r="J18" s="9"/>
      <c r="K18" s="9"/>
      <c r="L18" s="9"/>
      <c r="M18" s="9"/>
      <c r="N18" s="9"/>
      <c r="O18" s="9" t="b">
        <v>0</v>
      </c>
      <c r="P18" s="9"/>
    </row>
    <row r="19" spans="1:16" x14ac:dyDescent="0.3">
      <c r="A19" s="16" t="s">
        <v>48</v>
      </c>
      <c r="B19" s="19">
        <v>0</v>
      </c>
      <c r="C19" s="19">
        <v>-139.5</v>
      </c>
      <c r="D19" s="19">
        <v>139.5</v>
      </c>
      <c r="E19" s="19" t="s">
        <v>35</v>
      </c>
      <c r="F19" s="17">
        <v>1</v>
      </c>
      <c r="G19" s="17"/>
      <c r="H19" s="26"/>
      <c r="I19" s="9"/>
      <c r="J19" s="9"/>
      <c r="K19" s="9"/>
      <c r="L19" s="9"/>
      <c r="M19" s="9"/>
      <c r="N19" s="9"/>
      <c r="O19" s="9" t="b">
        <v>0</v>
      </c>
      <c r="P19" s="9"/>
    </row>
    <row r="20" spans="1:16" x14ac:dyDescent="0.3">
      <c r="A20" s="16" t="s">
        <v>49</v>
      </c>
      <c r="B20" s="19">
        <v>0</v>
      </c>
      <c r="C20" s="19">
        <v>-139.5</v>
      </c>
      <c r="D20" s="19">
        <v>139.5</v>
      </c>
      <c r="E20" s="19" t="s">
        <v>35</v>
      </c>
      <c r="F20" s="17">
        <v>1</v>
      </c>
      <c r="G20" s="17"/>
      <c r="H20" s="26"/>
      <c r="I20" s="9"/>
      <c r="J20" s="9"/>
      <c r="K20" s="9"/>
      <c r="L20" s="9"/>
      <c r="M20" s="9"/>
      <c r="N20" s="9"/>
      <c r="O20" s="9" t="b">
        <v>0</v>
      </c>
      <c r="P20" s="9"/>
    </row>
    <row r="21" spans="1:16" x14ac:dyDescent="0.3">
      <c r="A21" s="16" t="s">
        <v>50</v>
      </c>
      <c r="B21" s="19">
        <v>0</v>
      </c>
      <c r="C21" s="19">
        <v>-139.5</v>
      </c>
      <c r="D21" s="19">
        <v>139.5</v>
      </c>
      <c r="E21" s="19" t="s">
        <v>35</v>
      </c>
      <c r="F21" s="17">
        <v>1</v>
      </c>
      <c r="G21" s="18"/>
      <c r="H21" s="26"/>
      <c r="I21" s="9"/>
      <c r="J21" s="9"/>
      <c r="K21" s="9"/>
      <c r="L21" s="9"/>
      <c r="M21" s="9"/>
      <c r="N21" s="9"/>
      <c r="O21" s="9" t="b">
        <v>0</v>
      </c>
      <c r="P21" s="9"/>
    </row>
    <row r="22" spans="1:16" x14ac:dyDescent="0.3">
      <c r="A22" s="16" t="s">
        <v>36</v>
      </c>
      <c r="B22" s="17">
        <v>24.3</v>
      </c>
      <c r="C22" s="17">
        <f>B22</f>
        <v>24.3</v>
      </c>
      <c r="D22" s="17"/>
      <c r="E22" s="17" t="s">
        <v>7</v>
      </c>
      <c r="F22" s="17">
        <v>1</v>
      </c>
      <c r="G22" s="20"/>
      <c r="H22" s="26"/>
      <c r="I22" s="9"/>
      <c r="J22" s="9"/>
      <c r="K22" s="9"/>
      <c r="L22" s="9"/>
      <c r="M22" s="9"/>
      <c r="N22" s="9"/>
      <c r="O22" s="9" t="b">
        <v>0</v>
      </c>
      <c r="P22" s="9"/>
    </row>
    <row r="23" spans="1:16" x14ac:dyDescent="0.3">
      <c r="A23" s="4" t="s">
        <v>70</v>
      </c>
      <c r="B23" s="5"/>
      <c r="C23" s="5"/>
      <c r="D23" s="5" t="s">
        <v>9</v>
      </c>
      <c r="E23" s="5" t="s">
        <v>10</v>
      </c>
      <c r="F23" s="5"/>
      <c r="G23" s="25"/>
      <c r="H23" s="9"/>
      <c r="I23" s="9"/>
      <c r="J23" s="9"/>
      <c r="K23" s="9"/>
      <c r="L23" s="9"/>
      <c r="M23" s="9"/>
      <c r="N23" s="9"/>
      <c r="O23" s="9" t="b">
        <v>0</v>
      </c>
      <c r="P23" s="9"/>
    </row>
    <row r="24" spans="1:16" x14ac:dyDescent="0.3">
      <c r="A24" s="6" t="s">
        <v>24</v>
      </c>
      <c r="B24" s="3" t="s">
        <v>11</v>
      </c>
      <c r="C24" s="3" t="str">
        <f>B24</f>
        <v>45</v>
      </c>
      <c r="D24" s="3"/>
      <c r="E24" s="3" t="s">
        <v>8</v>
      </c>
      <c r="F24" s="5" t="s">
        <v>12</v>
      </c>
      <c r="G24" s="5" t="s">
        <v>20</v>
      </c>
      <c r="H24" s="9">
        <v>15.4</v>
      </c>
      <c r="I24" s="9">
        <v>15.5</v>
      </c>
      <c r="J24" s="9">
        <v>15.7</v>
      </c>
      <c r="K24" s="9">
        <v>15.4</v>
      </c>
      <c r="L24" s="9">
        <v>15.7</v>
      </c>
      <c r="M24" s="9">
        <v>-15</v>
      </c>
      <c r="N24" s="8"/>
      <c r="O24" s="9" t="b">
        <v>0</v>
      </c>
      <c r="P24" s="9" t="s">
        <v>22</v>
      </c>
    </row>
    <row r="25" spans="1:16" x14ac:dyDescent="0.3">
      <c r="A25" s="6" t="s">
        <v>25</v>
      </c>
      <c r="B25" s="15" t="s">
        <v>9</v>
      </c>
      <c r="C25" s="4"/>
      <c r="D25" s="5" t="s">
        <v>9</v>
      </c>
      <c r="E25" s="5" t="s">
        <v>10</v>
      </c>
      <c r="F25" s="5" t="s">
        <v>12</v>
      </c>
      <c r="G25" s="5" t="s">
        <v>20</v>
      </c>
      <c r="H25" s="9">
        <v>15.4</v>
      </c>
      <c r="I25" s="9">
        <v>15.5</v>
      </c>
      <c r="J25" s="9">
        <v>15.7</v>
      </c>
      <c r="K25" s="9">
        <v>15.4</v>
      </c>
      <c r="L25" s="9">
        <v>15.7</v>
      </c>
      <c r="M25" s="9">
        <v>15</v>
      </c>
      <c r="N25" s="8"/>
      <c r="O25" s="9" t="b">
        <v>0</v>
      </c>
      <c r="P25" s="9" t="s">
        <v>22</v>
      </c>
    </row>
    <row r="26" spans="1:16" x14ac:dyDescent="0.3">
      <c r="A26" s="6" t="s">
        <v>28</v>
      </c>
      <c r="B26" s="15" t="s">
        <v>9</v>
      </c>
      <c r="C26" s="4" t="s">
        <v>9</v>
      </c>
      <c r="D26" s="5" t="s">
        <v>9</v>
      </c>
      <c r="E26" s="5" t="s">
        <v>10</v>
      </c>
      <c r="F26" s="5"/>
      <c r="G26" s="5" t="s">
        <v>20</v>
      </c>
      <c r="H26" s="9">
        <v>15.4</v>
      </c>
      <c r="I26" s="9">
        <v>15.5</v>
      </c>
      <c r="J26" s="9">
        <v>15.7</v>
      </c>
      <c r="K26" s="9">
        <v>15.4</v>
      </c>
      <c r="L26" s="9">
        <v>15.7</v>
      </c>
      <c r="M26" s="9">
        <v>15</v>
      </c>
      <c r="N26" s="8"/>
      <c r="O26" s="9" t="b">
        <v>0</v>
      </c>
      <c r="P26" s="9" t="s">
        <v>22</v>
      </c>
    </row>
    <row r="27" spans="1:16" x14ac:dyDescent="0.3">
      <c r="A27" s="6" t="s">
        <v>19</v>
      </c>
      <c r="B27" s="7">
        <v>-85</v>
      </c>
      <c r="C27" s="7"/>
      <c r="D27" s="7">
        <v>-85</v>
      </c>
      <c r="E27" s="7"/>
      <c r="F27" s="8"/>
      <c r="G27" s="8"/>
      <c r="H27" s="8"/>
      <c r="I27" s="9"/>
      <c r="J27" s="9"/>
      <c r="K27" s="9"/>
      <c r="L27" s="9"/>
      <c r="M27" s="9"/>
      <c r="N27" s="9"/>
      <c r="O27" s="9" t="b">
        <v>0</v>
      </c>
      <c r="P27" s="9"/>
    </row>
    <row r="28" spans="1:16" x14ac:dyDescent="0.3">
      <c r="A28" s="11" t="s">
        <v>18</v>
      </c>
      <c r="B28" s="12">
        <v>10</v>
      </c>
      <c r="C28" s="12"/>
      <c r="D28" s="12">
        <v>10</v>
      </c>
      <c r="E28" s="12"/>
      <c r="F28" s="13"/>
      <c r="G28" s="13"/>
      <c r="H28" s="13"/>
      <c r="I28" s="14"/>
      <c r="J28" s="14"/>
      <c r="K28" s="14"/>
      <c r="L28" s="14"/>
      <c r="M28" s="14"/>
      <c r="N28" s="14"/>
      <c r="O28" s="9" t="b">
        <v>0</v>
      </c>
      <c r="P28" s="14"/>
    </row>
    <row r="29" spans="1:16" x14ac:dyDescent="0.3">
      <c r="A29" s="11" t="s">
        <v>26</v>
      </c>
      <c r="B29" s="14">
        <v>45</v>
      </c>
      <c r="C29" s="14">
        <v>45</v>
      </c>
      <c r="D29" s="14"/>
      <c r="E29" s="14" t="s">
        <v>8</v>
      </c>
      <c r="F29" s="14"/>
      <c r="G29" s="14">
        <v>-5</v>
      </c>
      <c r="H29" s="14"/>
      <c r="I29" s="14"/>
      <c r="J29" s="14"/>
      <c r="K29" s="14"/>
      <c r="L29" s="14"/>
      <c r="M29" s="14"/>
      <c r="N29" s="14">
        <v>-32</v>
      </c>
      <c r="O29" s="9" t="b">
        <v>0</v>
      </c>
      <c r="P29" s="14"/>
    </row>
    <row r="30" spans="1:16" x14ac:dyDescent="0.3">
      <c r="A30" s="11" t="s">
        <v>27</v>
      </c>
      <c r="B30" s="14">
        <v>0</v>
      </c>
      <c r="C30" s="14"/>
      <c r="D30" s="14">
        <v>0</v>
      </c>
      <c r="E30" s="14" t="s">
        <v>10</v>
      </c>
      <c r="F30" s="14"/>
      <c r="G30" s="14">
        <v>-5</v>
      </c>
      <c r="H30" s="14"/>
      <c r="I30" s="14"/>
      <c r="J30" s="14"/>
      <c r="K30" s="14"/>
      <c r="L30" s="14"/>
      <c r="M30" s="14"/>
      <c r="N30" s="14">
        <v>-35</v>
      </c>
      <c r="O30" s="9" t="b">
        <v>0</v>
      </c>
      <c r="P30" s="14"/>
    </row>
    <row r="31" spans="1:16" x14ac:dyDescent="0.3">
      <c r="A31" s="6" t="s">
        <v>69</v>
      </c>
      <c r="B31" s="9"/>
      <c r="C31" s="9">
        <v>-90</v>
      </c>
      <c r="D31" s="9">
        <v>90</v>
      </c>
      <c r="E31" s="32" t="s">
        <v>79</v>
      </c>
      <c r="F31" s="9"/>
      <c r="G31" s="9"/>
      <c r="H31" s="9"/>
      <c r="I31" s="9"/>
      <c r="J31" s="9"/>
      <c r="K31" s="9"/>
      <c r="L31" s="9"/>
      <c r="M31" s="9"/>
      <c r="N31" s="9"/>
      <c r="O31" s="9" t="b">
        <v>0</v>
      </c>
      <c r="P31" s="9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new Data</vt:lpstr>
      <vt:lpstr>Sheet3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TCVT-VTBR</cp:lastModifiedBy>
  <dcterms:modified xsi:type="dcterms:W3CDTF">2026-05-22T08:01:31Z</dcterms:modified>
</cp:coreProperties>
</file>