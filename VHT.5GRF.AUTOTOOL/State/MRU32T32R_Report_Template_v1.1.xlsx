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est3gpp\OQC\32T32R10W\templates\"/>
    </mc:Choice>
  </mc:AlternateContent>
  <bookViews>
    <workbookView xWindow="-120" yWindow="-120" windowWidth="29040" windowHeight="15840"/>
  </bookViews>
  <sheets>
    <sheet name="CH1-CH8" sheetId="1" r:id="rId1"/>
    <sheet name="CH9-CH16" sheetId="2" r:id="rId2"/>
    <sheet name="CH17-CH24" sheetId="3" r:id="rId3"/>
    <sheet name="CH25-CH32" sheetId="4" r:id="rId4"/>
    <sheet name="TXRESULT" sheetId="6" r:id="rId5"/>
    <sheet name="RXRESULT" sheetId="7" r:id="rId6"/>
    <sheet name="Conclutsion" sheetId="8" r:id="rId7"/>
  </sheets>
  <externalReferences>
    <externalReference r:id="rId8"/>
    <externalReference r:id="rId9"/>
  </externalReferences>
  <definedNames>
    <definedName name="_xlnm._FilterDatabase" localSheetId="4" hidden="1">TXRESULT!$A$1:$S$709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8" l="1"/>
  <c r="J7" i="8"/>
  <c r="K267" i="4" l="1" a="1"/>
  <c r="K267" i="4" s="1"/>
  <c r="K266" i="4" a="1"/>
  <c r="K266" i="4" s="1"/>
  <c r="K265" i="4" a="1"/>
  <c r="K265" i="4" s="1"/>
  <c r="K264" i="4" a="1"/>
  <c r="K264" i="4" s="1"/>
  <c r="K263" i="4" a="1"/>
  <c r="K263" i="4" s="1"/>
  <c r="K262" i="4" a="1"/>
  <c r="K262" i="4" s="1"/>
  <c r="K261" i="4" a="1"/>
  <c r="K261" i="4" s="1"/>
  <c r="K260" i="4" a="1"/>
  <c r="K260" i="4" s="1"/>
  <c r="K259" i="4" a="1"/>
  <c r="K259" i="4" s="1"/>
  <c r="K258" i="4" a="1"/>
  <c r="K258" i="4" s="1"/>
  <c r="K257" i="4" a="1"/>
  <c r="K257" i="4" s="1"/>
  <c r="K256" i="4" a="1"/>
  <c r="K256" i="4" s="1"/>
  <c r="K255" i="4" a="1"/>
  <c r="K255" i="4" s="1"/>
  <c r="K254" i="4" a="1"/>
  <c r="K254" i="4" s="1"/>
  <c r="K253" i="4" a="1"/>
  <c r="K253" i="4" s="1"/>
  <c r="K252" i="4" a="1"/>
  <c r="K252" i="4" s="1"/>
  <c r="K251" i="4" a="1"/>
  <c r="K251" i="4" s="1"/>
  <c r="K250" i="4" a="1"/>
  <c r="K250" i="4" s="1"/>
  <c r="K249" i="4" a="1"/>
  <c r="K249" i="4" s="1"/>
  <c r="K248" i="4" a="1"/>
  <c r="K248" i="4" s="1"/>
  <c r="K247" i="4" a="1"/>
  <c r="K247" i="4" s="1"/>
  <c r="K246" i="4" a="1"/>
  <c r="K246" i="4" s="1"/>
  <c r="K245" i="4" a="1"/>
  <c r="K245" i="4" s="1"/>
  <c r="K244" i="4" a="1"/>
  <c r="K244" i="4" s="1"/>
  <c r="K243" i="4" a="1"/>
  <c r="K243" i="4" s="1"/>
  <c r="K242" i="4" a="1"/>
  <c r="K242" i="4" s="1"/>
  <c r="K241" i="4" a="1"/>
  <c r="K241" i="4" s="1"/>
  <c r="K240" i="4" a="1"/>
  <c r="K240" i="4" s="1"/>
  <c r="K239" i="4" a="1"/>
  <c r="K239" i="4" s="1"/>
  <c r="K238" i="4" a="1"/>
  <c r="K238" i="4" s="1"/>
  <c r="K237" i="4" a="1"/>
  <c r="K237" i="4" s="1"/>
  <c r="K236" i="4" a="1"/>
  <c r="K236" i="4" s="1"/>
  <c r="K235" i="4" a="1"/>
  <c r="K235" i="4" s="1"/>
  <c r="K234" i="4" a="1"/>
  <c r="K234" i="4" s="1"/>
  <c r="K233" i="4" a="1"/>
  <c r="K233" i="4" s="1"/>
  <c r="K232" i="4" a="1"/>
  <c r="K232" i="4" s="1"/>
  <c r="K231" i="4" a="1"/>
  <c r="K231" i="4" s="1"/>
  <c r="K230" i="4" a="1"/>
  <c r="K230" i="4" s="1"/>
  <c r="K229" i="4" a="1"/>
  <c r="K229" i="4" s="1"/>
  <c r="K228" i="4" a="1"/>
  <c r="K228" i="4" s="1"/>
  <c r="K267" i="3" a="1"/>
  <c r="K267" i="3" s="1"/>
  <c r="K266" i="3" a="1"/>
  <c r="K266" i="3" s="1"/>
  <c r="K265" i="3" a="1"/>
  <c r="K265" i="3" s="1"/>
  <c r="K264" i="3" a="1"/>
  <c r="K264" i="3" s="1"/>
  <c r="K263" i="3" a="1"/>
  <c r="K263" i="3" s="1"/>
  <c r="K262" i="3" a="1"/>
  <c r="K262" i="3" s="1"/>
  <c r="K261" i="3" a="1"/>
  <c r="K261" i="3" s="1"/>
  <c r="K260" i="3" a="1"/>
  <c r="K260" i="3" s="1"/>
  <c r="K259" i="3" a="1"/>
  <c r="K259" i="3" s="1"/>
  <c r="K258" i="3" a="1"/>
  <c r="K258" i="3" s="1"/>
  <c r="K257" i="3" a="1"/>
  <c r="K257" i="3" s="1"/>
  <c r="K256" i="3" a="1"/>
  <c r="K256" i="3" s="1"/>
  <c r="K255" i="3" a="1"/>
  <c r="K255" i="3" s="1"/>
  <c r="K254" i="3" a="1"/>
  <c r="K254" i="3" s="1"/>
  <c r="K253" i="3" a="1"/>
  <c r="K253" i="3" s="1"/>
  <c r="K252" i="3" a="1"/>
  <c r="K252" i="3" s="1"/>
  <c r="K251" i="3" a="1"/>
  <c r="K251" i="3" s="1"/>
  <c r="K250" i="3" a="1"/>
  <c r="K250" i="3" s="1"/>
  <c r="K249" i="3" a="1"/>
  <c r="K249" i="3" s="1"/>
  <c r="K248" i="3" a="1"/>
  <c r="K248" i="3" s="1"/>
  <c r="K247" i="3" a="1"/>
  <c r="K247" i="3" s="1"/>
  <c r="K246" i="3" a="1"/>
  <c r="K246" i="3" s="1"/>
  <c r="K245" i="3" a="1"/>
  <c r="K245" i="3" s="1"/>
  <c r="K244" i="3" a="1"/>
  <c r="K244" i="3" s="1"/>
  <c r="K243" i="3" a="1"/>
  <c r="K243" i="3" s="1"/>
  <c r="K242" i="3" a="1"/>
  <c r="K242" i="3" s="1"/>
  <c r="K241" i="3" a="1"/>
  <c r="K241" i="3" s="1"/>
  <c r="K240" i="3" a="1"/>
  <c r="K240" i="3" s="1"/>
  <c r="K239" i="3" a="1"/>
  <c r="K239" i="3" s="1"/>
  <c r="K238" i="3" a="1"/>
  <c r="K238" i="3" s="1"/>
  <c r="K237" i="3" a="1"/>
  <c r="K237" i="3" s="1"/>
  <c r="K236" i="3" a="1"/>
  <c r="K236" i="3" s="1"/>
  <c r="K235" i="3" a="1"/>
  <c r="K235" i="3" s="1"/>
  <c r="K234" i="3" a="1"/>
  <c r="K234" i="3" s="1"/>
  <c r="K233" i="3" a="1"/>
  <c r="K233" i="3" s="1"/>
  <c r="K232" i="3" a="1"/>
  <c r="K232" i="3" s="1"/>
  <c r="K231" i="3" a="1"/>
  <c r="K231" i="3" s="1"/>
  <c r="K230" i="3" a="1"/>
  <c r="K230" i="3" s="1"/>
  <c r="K229" i="3" a="1"/>
  <c r="K229" i="3" s="1"/>
  <c r="K228" i="3" a="1"/>
  <c r="K228" i="3" s="1"/>
  <c r="K267" i="2" a="1"/>
  <c r="K267" i="2" s="1"/>
  <c r="K266" i="2" a="1"/>
  <c r="K266" i="2" s="1"/>
  <c r="K265" i="2" a="1"/>
  <c r="K265" i="2" s="1"/>
  <c r="K264" i="2" a="1"/>
  <c r="K264" i="2" s="1"/>
  <c r="K263" i="2" a="1"/>
  <c r="K263" i="2" s="1"/>
  <c r="K262" i="2" a="1"/>
  <c r="K262" i="2" s="1"/>
  <c r="K261" i="2" a="1"/>
  <c r="K261" i="2" s="1"/>
  <c r="K260" i="2" a="1"/>
  <c r="K260" i="2" s="1"/>
  <c r="K259" i="2" a="1"/>
  <c r="K259" i="2" s="1"/>
  <c r="K258" i="2" a="1"/>
  <c r="K258" i="2" s="1"/>
  <c r="K257" i="2" a="1"/>
  <c r="K257" i="2" s="1"/>
  <c r="K256" i="2" a="1"/>
  <c r="K256" i="2" s="1"/>
  <c r="K255" i="2" a="1"/>
  <c r="K255" i="2" s="1"/>
  <c r="K254" i="2" a="1"/>
  <c r="K254" i="2" s="1"/>
  <c r="K253" i="2" a="1"/>
  <c r="K253" i="2" s="1"/>
  <c r="K252" i="2" a="1"/>
  <c r="K252" i="2" s="1"/>
  <c r="K251" i="2" a="1"/>
  <c r="K251" i="2" s="1"/>
  <c r="K250" i="2" a="1"/>
  <c r="K250" i="2" s="1"/>
  <c r="K249" i="2" a="1"/>
  <c r="K249" i="2" s="1"/>
  <c r="K248" i="2" a="1"/>
  <c r="K248" i="2" s="1"/>
  <c r="K247" i="2" a="1"/>
  <c r="K247" i="2" s="1"/>
  <c r="K246" i="2" a="1"/>
  <c r="K246" i="2" s="1"/>
  <c r="K245" i="2" a="1"/>
  <c r="K245" i="2" s="1"/>
  <c r="K244" i="2" a="1"/>
  <c r="K244" i="2" s="1"/>
  <c r="K243" i="2" a="1"/>
  <c r="K243" i="2" s="1"/>
  <c r="K242" i="2" a="1"/>
  <c r="K242" i="2" s="1"/>
  <c r="K241" i="2" a="1"/>
  <c r="K241" i="2" s="1"/>
  <c r="K240" i="2" a="1"/>
  <c r="K240" i="2" s="1"/>
  <c r="K239" i="2" a="1"/>
  <c r="K239" i="2" s="1"/>
  <c r="K238" i="2" a="1"/>
  <c r="K238" i="2" s="1"/>
  <c r="K237" i="2" a="1"/>
  <c r="K237" i="2" s="1"/>
  <c r="K236" i="2" a="1"/>
  <c r="K236" i="2" s="1"/>
  <c r="K235" i="2" a="1"/>
  <c r="K235" i="2" s="1"/>
  <c r="K234" i="2" a="1"/>
  <c r="K234" i="2" s="1"/>
  <c r="K233" i="2" a="1"/>
  <c r="K233" i="2" s="1"/>
  <c r="K232" i="2" a="1"/>
  <c r="K232" i="2" s="1"/>
  <c r="K231" i="2" a="1"/>
  <c r="K231" i="2" s="1"/>
  <c r="K230" i="2" a="1"/>
  <c r="K230" i="2" s="1"/>
  <c r="K229" i="2" a="1"/>
  <c r="K229" i="2" s="1"/>
  <c r="K228" i="2" a="1"/>
  <c r="K228" i="2" s="1"/>
  <c r="K261" i="1" a="1"/>
  <c r="K261" i="1" s="1"/>
  <c r="K262" i="1" a="1"/>
  <c r="K262" i="1" s="1"/>
  <c r="K263" i="1" a="1"/>
  <c r="K263" i="1" s="1"/>
  <c r="K264" i="1" a="1"/>
  <c r="K264" i="1" s="1"/>
  <c r="K265" i="1" a="1"/>
  <c r="K265" i="1" s="1"/>
  <c r="K266" i="1" a="1"/>
  <c r="K266" i="1" s="1"/>
  <c r="K267" i="1" a="1"/>
  <c r="K267" i="1" s="1"/>
  <c r="K260" i="1" a="1"/>
  <c r="K260" i="1" s="1"/>
  <c r="K253" i="1" a="1"/>
  <c r="K253" i="1" s="1"/>
  <c r="K254" i="1" a="1"/>
  <c r="K254" i="1" s="1"/>
  <c r="K255" i="1" a="1"/>
  <c r="K255" i="1" s="1"/>
  <c r="K256" i="1" a="1"/>
  <c r="K256" i="1" s="1"/>
  <c r="K257" i="1" a="1"/>
  <c r="K257" i="1" s="1"/>
  <c r="K258" i="1" a="1"/>
  <c r="K258" i="1" s="1"/>
  <c r="K259" i="1" a="1"/>
  <c r="K259" i="1" s="1"/>
  <c r="K252" i="1" a="1"/>
  <c r="K252" i="1" s="1"/>
  <c r="K245" i="1" a="1"/>
  <c r="K245" i="1" s="1"/>
  <c r="K246" i="1" a="1"/>
  <c r="K246" i="1" s="1"/>
  <c r="K247" i="1" a="1"/>
  <c r="K247" i="1" s="1"/>
  <c r="K248" i="1" a="1"/>
  <c r="K248" i="1" s="1"/>
  <c r="K249" i="1" a="1"/>
  <c r="K249" i="1" s="1"/>
  <c r="K250" i="1" a="1"/>
  <c r="K250" i="1" s="1"/>
  <c r="K251" i="1" a="1"/>
  <c r="K251" i="1" s="1"/>
  <c r="K244" i="1" a="1"/>
  <c r="K244" i="1" s="1"/>
  <c r="K237" i="1" a="1"/>
  <c r="K237" i="1" s="1"/>
  <c r="K238" i="1" a="1"/>
  <c r="K238" i="1" s="1"/>
  <c r="K239" i="1" a="1"/>
  <c r="K239" i="1" s="1"/>
  <c r="K240" i="1" a="1"/>
  <c r="K240" i="1" s="1"/>
  <c r="K241" i="1" a="1"/>
  <c r="K241" i="1" s="1"/>
  <c r="K242" i="1" a="1"/>
  <c r="K242" i="1" s="1"/>
  <c r="K243" i="1" a="1"/>
  <c r="K243" i="1" s="1"/>
  <c r="K236" i="1" a="1"/>
  <c r="K236" i="1" s="1"/>
  <c r="K229" i="1" a="1"/>
  <c r="K229" i="1" s="1"/>
  <c r="K230" i="1" a="1"/>
  <c r="K230" i="1" s="1"/>
  <c r="K231" i="1" a="1"/>
  <c r="K231" i="1" s="1"/>
  <c r="K232" i="1" a="1"/>
  <c r="K232" i="1" s="1"/>
  <c r="K233" i="1" a="1"/>
  <c r="K233" i="1" s="1"/>
  <c r="K234" i="1" a="1"/>
  <c r="K234" i="1" s="1"/>
  <c r="K235" i="1" a="1"/>
  <c r="K235" i="1" s="1"/>
  <c r="K228" i="1" a="1"/>
  <c r="K228" i="1" s="1"/>
  <c r="S810" i="6" a="1"/>
  <c r="S810" i="6" s="1"/>
  <c r="K227" i="4" a="1"/>
  <c r="K227" i="4" s="1"/>
  <c r="K226" i="4" a="1"/>
  <c r="K226" i="4" s="1"/>
  <c r="K225" i="4" a="1"/>
  <c r="K225" i="4" s="1"/>
  <c r="K224" i="4" a="1"/>
  <c r="K224" i="4" s="1"/>
  <c r="K223" i="4" a="1"/>
  <c r="K223" i="4" s="1"/>
  <c r="K222" i="4" a="1"/>
  <c r="K222" i="4" s="1"/>
  <c r="K221" i="4" a="1"/>
  <c r="K221" i="4" s="1"/>
  <c r="K220" i="4" a="1"/>
  <c r="K220" i="4" s="1"/>
  <c r="K219" i="4" a="1"/>
  <c r="K219" i="4" s="1"/>
  <c r="K218" i="4" a="1"/>
  <c r="K218" i="4" s="1"/>
  <c r="K217" i="4" a="1"/>
  <c r="K217" i="4" s="1"/>
  <c r="K216" i="4" a="1"/>
  <c r="K216" i="4" s="1"/>
  <c r="K215" i="4" a="1"/>
  <c r="K215" i="4" s="1"/>
  <c r="K214" i="4" a="1"/>
  <c r="K214" i="4" s="1"/>
  <c r="K213" i="4" a="1"/>
  <c r="K213" i="4" s="1"/>
  <c r="K212" i="4" a="1"/>
  <c r="K212" i="4" s="1"/>
  <c r="K211" i="4" a="1"/>
  <c r="K211" i="4" s="1"/>
  <c r="K210" i="4" a="1"/>
  <c r="K210" i="4" s="1"/>
  <c r="K209" i="4" a="1"/>
  <c r="K209" i="4" s="1"/>
  <c r="K208" i="4" a="1"/>
  <c r="K208" i="4" s="1"/>
  <c r="K207" i="4" a="1"/>
  <c r="K207" i="4" s="1"/>
  <c r="K206" i="4" a="1"/>
  <c r="K206" i="4" s="1"/>
  <c r="K205" i="4" a="1"/>
  <c r="K205" i="4" s="1"/>
  <c r="K204" i="4" a="1"/>
  <c r="K204" i="4" s="1"/>
  <c r="K227" i="3" a="1"/>
  <c r="K227" i="3" s="1"/>
  <c r="K226" i="3" a="1"/>
  <c r="K226" i="3" s="1"/>
  <c r="K225" i="3" a="1"/>
  <c r="K225" i="3" s="1"/>
  <c r="K224" i="3" a="1"/>
  <c r="K224" i="3" s="1"/>
  <c r="K223" i="3" a="1"/>
  <c r="K223" i="3" s="1"/>
  <c r="K222" i="3" a="1"/>
  <c r="K222" i="3" s="1"/>
  <c r="K221" i="3" a="1"/>
  <c r="K221" i="3" s="1"/>
  <c r="K220" i="3" a="1"/>
  <c r="K220" i="3" s="1"/>
  <c r="K219" i="3" a="1"/>
  <c r="K219" i="3" s="1"/>
  <c r="K218" i="3" a="1"/>
  <c r="K218" i="3" s="1"/>
  <c r="K217" i="3" a="1"/>
  <c r="K217" i="3" s="1"/>
  <c r="K216" i="3" a="1"/>
  <c r="K216" i="3" s="1"/>
  <c r="K215" i="3" a="1"/>
  <c r="K215" i="3" s="1"/>
  <c r="K214" i="3" a="1"/>
  <c r="K214" i="3" s="1"/>
  <c r="K213" i="3" a="1"/>
  <c r="K213" i="3" s="1"/>
  <c r="K212" i="3" a="1"/>
  <c r="K212" i="3" s="1"/>
  <c r="K211" i="3" a="1"/>
  <c r="K211" i="3" s="1"/>
  <c r="K210" i="3" a="1"/>
  <c r="K210" i="3" s="1"/>
  <c r="K209" i="3" a="1"/>
  <c r="K209" i="3" s="1"/>
  <c r="K208" i="3" a="1"/>
  <c r="K208" i="3" s="1"/>
  <c r="K207" i="3" a="1"/>
  <c r="K207" i="3" s="1"/>
  <c r="K206" i="3" a="1"/>
  <c r="K206" i="3" s="1"/>
  <c r="K205" i="3" a="1"/>
  <c r="K205" i="3" s="1"/>
  <c r="K204" i="3" a="1"/>
  <c r="K204" i="3" s="1"/>
  <c r="K227" i="2" a="1"/>
  <c r="K227" i="2" s="1"/>
  <c r="K226" i="2" a="1"/>
  <c r="K226" i="2" s="1"/>
  <c r="K225" i="2" a="1"/>
  <c r="K225" i="2" s="1"/>
  <c r="K224" i="2" a="1"/>
  <c r="K224" i="2" s="1"/>
  <c r="K223" i="2" a="1"/>
  <c r="K223" i="2" s="1"/>
  <c r="K222" i="2" a="1"/>
  <c r="K222" i="2" s="1"/>
  <c r="K221" i="2" a="1"/>
  <c r="K221" i="2" s="1"/>
  <c r="K220" i="2" a="1"/>
  <c r="K220" i="2" s="1"/>
  <c r="K219" i="2" a="1"/>
  <c r="K219" i="2" s="1"/>
  <c r="K218" i="2" a="1"/>
  <c r="K218" i="2" s="1"/>
  <c r="K217" i="2" a="1"/>
  <c r="K217" i="2" s="1"/>
  <c r="K216" i="2" a="1"/>
  <c r="K216" i="2" s="1"/>
  <c r="K215" i="2" a="1"/>
  <c r="K215" i="2" s="1"/>
  <c r="K214" i="2" a="1"/>
  <c r="K214" i="2" s="1"/>
  <c r="K213" i="2" a="1"/>
  <c r="K213" i="2" s="1"/>
  <c r="K212" i="2" a="1"/>
  <c r="K212" i="2" s="1"/>
  <c r="K211" i="2" a="1"/>
  <c r="K211" i="2" s="1"/>
  <c r="K210" i="2" a="1"/>
  <c r="K210" i="2" s="1"/>
  <c r="K209" i="2" a="1"/>
  <c r="K209" i="2" s="1"/>
  <c r="K208" i="2" a="1"/>
  <c r="K208" i="2" s="1"/>
  <c r="K207" i="2" a="1"/>
  <c r="K207" i="2" s="1"/>
  <c r="K206" i="2" a="1"/>
  <c r="K206" i="2" s="1"/>
  <c r="K205" i="2" a="1"/>
  <c r="K205" i="2" s="1"/>
  <c r="K204" i="2" a="1"/>
  <c r="K204" i="2" s="1"/>
  <c r="K221" i="1" a="1"/>
  <c r="K221" i="1" s="1"/>
  <c r="K222" i="1" a="1"/>
  <c r="K222" i="1" s="1"/>
  <c r="K223" i="1" a="1"/>
  <c r="K223" i="1" s="1"/>
  <c r="K224" i="1" a="1"/>
  <c r="K224" i="1" s="1"/>
  <c r="K225" i="1" a="1"/>
  <c r="K225" i="1" s="1"/>
  <c r="K226" i="1" a="1"/>
  <c r="K226" i="1" s="1"/>
  <c r="K227" i="1" a="1"/>
  <c r="K227" i="1" s="1"/>
  <c r="K220" i="1" a="1"/>
  <c r="K220" i="1" s="1"/>
  <c r="K213" i="1" a="1"/>
  <c r="K213" i="1" s="1"/>
  <c r="K214" i="1" a="1"/>
  <c r="K214" i="1" s="1"/>
  <c r="K215" i="1" a="1"/>
  <c r="K215" i="1" s="1"/>
  <c r="K216" i="1" a="1"/>
  <c r="K216" i="1" s="1"/>
  <c r="K217" i="1" a="1"/>
  <c r="K217" i="1" s="1"/>
  <c r="K218" i="1" a="1"/>
  <c r="K218" i="1" s="1"/>
  <c r="K219" i="1" a="1"/>
  <c r="K219" i="1" s="1"/>
  <c r="K212" i="1" a="1"/>
  <c r="K212" i="1" s="1"/>
  <c r="K205" i="1" a="1"/>
  <c r="K205" i="1" s="1"/>
  <c r="K206" i="1" a="1"/>
  <c r="K206" i="1" s="1"/>
  <c r="K207" i="1" a="1"/>
  <c r="K207" i="1" s="1"/>
  <c r="K208" i="1" a="1"/>
  <c r="K208" i="1" s="1"/>
  <c r="K209" i="1" a="1"/>
  <c r="K209" i="1" s="1"/>
  <c r="K210" i="1" a="1"/>
  <c r="K210" i="1" s="1"/>
  <c r="K211" i="1" a="1"/>
  <c r="K211" i="1" s="1"/>
  <c r="K204" i="1" a="1"/>
  <c r="K204" i="1" s="1"/>
  <c r="S710" i="6" a="1"/>
  <c r="S710" i="6" s="1"/>
  <c r="K52" i="4" a="1"/>
  <c r="K52" i="4" s="1"/>
  <c r="K53" i="4" a="1"/>
  <c r="K53" i="4" s="1"/>
  <c r="K54" i="4" a="1"/>
  <c r="K54" i="4" s="1"/>
  <c r="K55" i="4" a="1"/>
  <c r="K55" i="4" s="1"/>
  <c r="K56" i="4" a="1"/>
  <c r="K56" i="4" s="1"/>
  <c r="K57" i="4" a="1"/>
  <c r="K57" i="4" s="1"/>
  <c r="K58" i="4" a="1"/>
  <c r="K58" i="4" s="1"/>
  <c r="K51" i="4" a="1"/>
  <c r="K51" i="4" s="1"/>
  <c r="K52" i="3" a="1"/>
  <c r="K52" i="3" s="1"/>
  <c r="K53" i="3" a="1"/>
  <c r="K53" i="3" s="1"/>
  <c r="K54" i="3" a="1"/>
  <c r="K54" i="3" s="1"/>
  <c r="K55" i="3" a="1"/>
  <c r="K55" i="3" s="1"/>
  <c r="K56" i="3" a="1"/>
  <c r="K56" i="3" s="1"/>
  <c r="K57" i="3" a="1"/>
  <c r="K57" i="3" s="1"/>
  <c r="K58" i="3" a="1"/>
  <c r="K58" i="3" s="1"/>
  <c r="K51" i="3" a="1"/>
  <c r="K51" i="3" s="1"/>
  <c r="K52" i="2" a="1"/>
  <c r="K52" i="2" s="1"/>
  <c r="K53" i="2" a="1"/>
  <c r="K53" i="2" s="1"/>
  <c r="K54" i="2" a="1"/>
  <c r="K54" i="2" s="1"/>
  <c r="K55" i="2" a="1"/>
  <c r="K55" i="2" s="1"/>
  <c r="K56" i="2" a="1"/>
  <c r="K56" i="2" s="1"/>
  <c r="K57" i="2" a="1"/>
  <c r="K57" i="2" s="1"/>
  <c r="K58" i="2" a="1"/>
  <c r="K58" i="2" s="1"/>
  <c r="K51" i="2" a="1"/>
  <c r="K51" i="2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1" i="1" a="1"/>
  <c r="K51" i="1" s="1"/>
  <c r="N528" i="6"/>
  <c r="N527" i="6"/>
  <c r="K195" i="4" l="1" a="1"/>
  <c r="K195" i="4" s="1"/>
  <c r="K194" i="4" a="1"/>
  <c r="K194" i="4" s="1"/>
  <c r="K193" i="4" a="1"/>
  <c r="K193" i="4" s="1"/>
  <c r="K192" i="4" a="1"/>
  <c r="K192" i="4" s="1"/>
  <c r="K191" i="4" a="1"/>
  <c r="K191" i="4" s="1"/>
  <c r="K190" i="4" a="1"/>
  <c r="K190" i="4" s="1"/>
  <c r="K189" i="4" a="1"/>
  <c r="K189" i="4" s="1"/>
  <c r="K188" i="4" a="1"/>
  <c r="K188" i="4" s="1"/>
  <c r="K187" i="4" a="1"/>
  <c r="K187" i="4" s="1"/>
  <c r="K186" i="4" a="1"/>
  <c r="K186" i="4" s="1"/>
  <c r="K185" i="4" a="1"/>
  <c r="K185" i="4" s="1"/>
  <c r="K184" i="4" a="1"/>
  <c r="K184" i="4" s="1"/>
  <c r="K183" i="4" a="1"/>
  <c r="K183" i="4" s="1"/>
  <c r="K182" i="4" a="1"/>
  <c r="K182" i="4" s="1"/>
  <c r="K181" i="4" a="1"/>
  <c r="K181" i="4" s="1"/>
  <c r="K180" i="4" a="1"/>
  <c r="K180" i="4" s="1"/>
  <c r="K179" i="4" a="1"/>
  <c r="K179" i="4" s="1"/>
  <c r="K178" i="4" a="1"/>
  <c r="K178" i="4" s="1"/>
  <c r="K177" i="4" a="1"/>
  <c r="K177" i="4" s="1"/>
  <c r="K176" i="4" a="1"/>
  <c r="K176" i="4" s="1"/>
  <c r="K175" i="4" a="1"/>
  <c r="K175" i="4" s="1"/>
  <c r="K174" i="4" a="1"/>
  <c r="K174" i="4" s="1"/>
  <c r="K173" i="4" a="1"/>
  <c r="K173" i="4" s="1"/>
  <c r="K172" i="4" a="1"/>
  <c r="K172" i="4" s="1"/>
  <c r="K171" i="4" a="1"/>
  <c r="K171" i="4" s="1"/>
  <c r="K170" i="4" a="1"/>
  <c r="K170" i="4" s="1"/>
  <c r="K169" i="4" a="1"/>
  <c r="K169" i="4" s="1"/>
  <c r="K168" i="4" a="1"/>
  <c r="K168" i="4" s="1"/>
  <c r="K167" i="4" a="1"/>
  <c r="K167" i="4" s="1"/>
  <c r="K166" i="4" a="1"/>
  <c r="K166" i="4" s="1"/>
  <c r="K165" i="4" a="1"/>
  <c r="K165" i="4" s="1"/>
  <c r="K164" i="4" a="1"/>
  <c r="K164" i="4" s="1"/>
  <c r="K163" i="4" a="1"/>
  <c r="K163" i="4" s="1"/>
  <c r="K162" i="4" a="1"/>
  <c r="K162" i="4" s="1"/>
  <c r="K161" i="4" a="1"/>
  <c r="K161" i="4" s="1"/>
  <c r="K160" i="4" a="1"/>
  <c r="K160" i="4" s="1"/>
  <c r="K159" i="4" a="1"/>
  <c r="K159" i="4" s="1"/>
  <c r="K158" i="4" a="1"/>
  <c r="K158" i="4" s="1"/>
  <c r="K157" i="4" a="1"/>
  <c r="K157" i="4" s="1"/>
  <c r="K156" i="4" a="1"/>
  <c r="K156" i="4" s="1"/>
  <c r="K195" i="3" a="1"/>
  <c r="K195" i="3" s="1"/>
  <c r="K194" i="3" a="1"/>
  <c r="K194" i="3" s="1"/>
  <c r="K193" i="3" a="1"/>
  <c r="K193" i="3" s="1"/>
  <c r="K192" i="3" a="1"/>
  <c r="K192" i="3" s="1"/>
  <c r="K191" i="3" a="1"/>
  <c r="K191" i="3" s="1"/>
  <c r="K190" i="3" a="1"/>
  <c r="K190" i="3" s="1"/>
  <c r="K189" i="3" a="1"/>
  <c r="K189" i="3" s="1"/>
  <c r="K188" i="3" a="1"/>
  <c r="K188" i="3" s="1"/>
  <c r="K187" i="3" a="1"/>
  <c r="K187" i="3" s="1"/>
  <c r="K186" i="3" a="1"/>
  <c r="K186" i="3" s="1"/>
  <c r="K185" i="3" a="1"/>
  <c r="K185" i="3" s="1"/>
  <c r="K184" i="3" a="1"/>
  <c r="K184" i="3" s="1"/>
  <c r="K183" i="3" a="1"/>
  <c r="K183" i="3" s="1"/>
  <c r="K182" i="3" a="1"/>
  <c r="K182" i="3" s="1"/>
  <c r="K181" i="3" a="1"/>
  <c r="K181" i="3" s="1"/>
  <c r="K180" i="3" a="1"/>
  <c r="K180" i="3" s="1"/>
  <c r="K179" i="3" a="1"/>
  <c r="K179" i="3" s="1"/>
  <c r="K178" i="3" a="1"/>
  <c r="K178" i="3" s="1"/>
  <c r="K177" i="3" a="1"/>
  <c r="K177" i="3" s="1"/>
  <c r="K176" i="3" a="1"/>
  <c r="K176" i="3" s="1"/>
  <c r="K175" i="3" a="1"/>
  <c r="K175" i="3" s="1"/>
  <c r="K174" i="3" a="1"/>
  <c r="K174" i="3" s="1"/>
  <c r="K173" i="3" a="1"/>
  <c r="K173" i="3" s="1"/>
  <c r="K172" i="3" a="1"/>
  <c r="K172" i="3" s="1"/>
  <c r="K171" i="3" a="1"/>
  <c r="K171" i="3" s="1"/>
  <c r="K170" i="3" a="1"/>
  <c r="K170" i="3" s="1"/>
  <c r="K169" i="3" a="1"/>
  <c r="K169" i="3" s="1"/>
  <c r="K168" i="3" a="1"/>
  <c r="K168" i="3" s="1"/>
  <c r="K167" i="3" a="1"/>
  <c r="K167" i="3" s="1"/>
  <c r="K166" i="3" a="1"/>
  <c r="K166" i="3" s="1"/>
  <c r="K165" i="3" a="1"/>
  <c r="K165" i="3" s="1"/>
  <c r="K164" i="3" a="1"/>
  <c r="K164" i="3" s="1"/>
  <c r="K163" i="3" a="1"/>
  <c r="K163" i="3" s="1"/>
  <c r="K162" i="3" a="1"/>
  <c r="K162" i="3" s="1"/>
  <c r="K161" i="3" a="1"/>
  <c r="K161" i="3" s="1"/>
  <c r="K160" i="3" a="1"/>
  <c r="K160" i="3" s="1"/>
  <c r="K159" i="3" a="1"/>
  <c r="K159" i="3" s="1"/>
  <c r="K158" i="3" a="1"/>
  <c r="K158" i="3" s="1"/>
  <c r="K157" i="3" a="1"/>
  <c r="K157" i="3" s="1"/>
  <c r="K156" i="3" a="1"/>
  <c r="K156" i="3" s="1"/>
  <c r="K157" i="2"/>
  <c r="K158" i="2" a="1"/>
  <c r="K158" i="2" s="1"/>
  <c r="K159" i="2" a="1"/>
  <c r="K159" i="2" s="1"/>
  <c r="K160" i="2" a="1"/>
  <c r="K160" i="2" s="1"/>
  <c r="K161" i="2" a="1"/>
  <c r="K161" i="2" s="1"/>
  <c r="K162" i="2" a="1"/>
  <c r="K162" i="2" s="1"/>
  <c r="K163" i="2" a="1"/>
  <c r="K163" i="2" s="1"/>
  <c r="K156" i="2" a="1"/>
  <c r="K156" i="2" s="1"/>
  <c r="K195" i="2" a="1"/>
  <c r="K195" i="2" s="1"/>
  <c r="K194" i="2" a="1"/>
  <c r="K194" i="2" s="1"/>
  <c r="K193" i="2" a="1"/>
  <c r="K193" i="2" s="1"/>
  <c r="K192" i="2" a="1"/>
  <c r="K192" i="2" s="1"/>
  <c r="K191" i="2" a="1"/>
  <c r="K191" i="2" s="1"/>
  <c r="K190" i="2" a="1"/>
  <c r="K190" i="2" s="1"/>
  <c r="K189" i="2" a="1"/>
  <c r="K189" i="2" s="1"/>
  <c r="K188" i="2" a="1"/>
  <c r="K188" i="2" s="1"/>
  <c r="K187" i="2" a="1"/>
  <c r="K187" i="2" s="1"/>
  <c r="K186" i="2" a="1"/>
  <c r="K186" i="2" s="1"/>
  <c r="K185" i="2" a="1"/>
  <c r="K185" i="2" s="1"/>
  <c r="K184" i="2" a="1"/>
  <c r="K184" i="2" s="1"/>
  <c r="K183" i="2" a="1"/>
  <c r="K183" i="2" s="1"/>
  <c r="K182" i="2" a="1"/>
  <c r="K182" i="2" s="1"/>
  <c r="K181" i="2" a="1"/>
  <c r="K181" i="2" s="1"/>
  <c r="K180" i="2" a="1"/>
  <c r="K180" i="2" s="1"/>
  <c r="K179" i="2" a="1"/>
  <c r="K179" i="2" s="1"/>
  <c r="K178" i="2" a="1"/>
  <c r="K178" i="2" s="1"/>
  <c r="K177" i="2" a="1"/>
  <c r="K177" i="2" s="1"/>
  <c r="K176" i="2" a="1"/>
  <c r="K176" i="2" s="1"/>
  <c r="K175" i="2" a="1"/>
  <c r="K175" i="2" s="1"/>
  <c r="K174" i="2" a="1"/>
  <c r="K174" i="2" s="1"/>
  <c r="K173" i="2" a="1"/>
  <c r="K173" i="2" s="1"/>
  <c r="K172" i="2" a="1"/>
  <c r="K172" i="2" s="1"/>
  <c r="K171" i="2" a="1"/>
  <c r="K171" i="2" s="1"/>
  <c r="K170" i="2" a="1"/>
  <c r="K170" i="2" s="1"/>
  <c r="K169" i="2" a="1"/>
  <c r="K169" i="2" s="1"/>
  <c r="K168" i="2" a="1"/>
  <c r="K168" i="2" s="1"/>
  <c r="K167" i="2" a="1"/>
  <c r="K167" i="2" s="1"/>
  <c r="K166" i="2" a="1"/>
  <c r="K166" i="2" s="1"/>
  <c r="K165" i="2" a="1"/>
  <c r="K165" i="2" s="1"/>
  <c r="K164" i="2" a="1"/>
  <c r="K164" i="2" s="1"/>
  <c r="K189" i="1" a="1"/>
  <c r="K189" i="1" s="1"/>
  <c r="K190" i="1" a="1"/>
  <c r="K190" i="1" s="1"/>
  <c r="K191" i="1" a="1"/>
  <c r="K191" i="1" s="1"/>
  <c r="K192" i="1" a="1"/>
  <c r="K192" i="1" s="1"/>
  <c r="K193" i="1" a="1"/>
  <c r="K193" i="1" s="1"/>
  <c r="K194" i="1" a="1"/>
  <c r="K194" i="1" s="1"/>
  <c r="K195" i="1" a="1"/>
  <c r="K195" i="1" s="1"/>
  <c r="K188" i="1" a="1"/>
  <c r="K188" i="1" s="1"/>
  <c r="K181" i="1" a="1"/>
  <c r="K181" i="1" s="1"/>
  <c r="K182" i="1" a="1"/>
  <c r="K182" i="1" s="1"/>
  <c r="K183" i="1" a="1"/>
  <c r="K183" i="1" s="1"/>
  <c r="K184" i="1" a="1"/>
  <c r="K184" i="1" s="1"/>
  <c r="K185" i="1" a="1"/>
  <c r="K185" i="1" s="1"/>
  <c r="K186" i="1" a="1"/>
  <c r="K186" i="1" s="1"/>
  <c r="K187" i="1" a="1"/>
  <c r="K187" i="1" s="1"/>
  <c r="K180" i="1" a="1"/>
  <c r="K180" i="1" s="1"/>
  <c r="K173" i="1" a="1"/>
  <c r="K173" i="1" s="1"/>
  <c r="K174" i="1" a="1"/>
  <c r="K174" i="1" s="1"/>
  <c r="K175" i="1" a="1"/>
  <c r="K175" i="1" s="1"/>
  <c r="K176" i="1" a="1"/>
  <c r="K176" i="1" s="1"/>
  <c r="K177" i="1" a="1"/>
  <c r="K177" i="1" s="1"/>
  <c r="K178" i="1" a="1"/>
  <c r="K178" i="1" s="1"/>
  <c r="K179" i="1" a="1"/>
  <c r="K179" i="1" s="1"/>
  <c r="K172" i="1" a="1"/>
  <c r="K172" i="1" s="1"/>
  <c r="K165" i="1" a="1"/>
  <c r="K165" i="1" s="1"/>
  <c r="K166" i="1" a="1"/>
  <c r="K166" i="1" s="1"/>
  <c r="K167" i="1" a="1"/>
  <c r="K167" i="1" s="1"/>
  <c r="K168" i="1" a="1"/>
  <c r="K168" i="1" s="1"/>
  <c r="K169" i="1" a="1"/>
  <c r="K169" i="1" s="1"/>
  <c r="K170" i="1" a="1"/>
  <c r="K170" i="1" s="1"/>
  <c r="K171" i="1" a="1"/>
  <c r="K171" i="1" s="1"/>
  <c r="K164" i="1" a="1"/>
  <c r="K164" i="1" s="1"/>
  <c r="K157" i="1" a="1"/>
  <c r="K157" i="1" s="1"/>
  <c r="K158" i="1" a="1"/>
  <c r="K158" i="1" s="1"/>
  <c r="K159" i="1" a="1"/>
  <c r="K159" i="1" s="1"/>
  <c r="K160" i="1" a="1"/>
  <c r="K160" i="1" s="1"/>
  <c r="K161" i="1" a="1"/>
  <c r="K161" i="1" s="1"/>
  <c r="K162" i="1" a="1"/>
  <c r="K162" i="1" s="1"/>
  <c r="K163" i="1" a="1"/>
  <c r="K163" i="1" s="1"/>
  <c r="K156" i="1" a="1"/>
  <c r="K156" i="1" s="1"/>
  <c r="K149" i="4" a="1"/>
  <c r="K149" i="4" s="1"/>
  <c r="K150" i="4" a="1"/>
  <c r="K150" i="4" s="1"/>
  <c r="K151" i="4" a="1"/>
  <c r="K151" i="4" s="1"/>
  <c r="K152" i="4" a="1"/>
  <c r="K152" i="4" s="1"/>
  <c r="K153" i="4" a="1"/>
  <c r="K153" i="4" s="1"/>
  <c r="K154" i="4" a="1"/>
  <c r="K154" i="4" s="1"/>
  <c r="K155" i="4" a="1"/>
  <c r="K155" i="4" s="1"/>
  <c r="K148" i="4" a="1"/>
  <c r="K148" i="4" s="1"/>
  <c r="K141" i="4" a="1"/>
  <c r="K141" i="4" s="1"/>
  <c r="K142" i="4" a="1"/>
  <c r="K142" i="4" s="1"/>
  <c r="K143" i="4" a="1"/>
  <c r="K143" i="4" s="1"/>
  <c r="K144" i="4" a="1"/>
  <c r="K144" i="4" s="1"/>
  <c r="K145" i="4" a="1"/>
  <c r="K145" i="4" s="1"/>
  <c r="K146" i="4" a="1"/>
  <c r="K146" i="4" s="1"/>
  <c r="K147" i="4" a="1"/>
  <c r="K147" i="4" s="1"/>
  <c r="K140" i="4" a="1"/>
  <c r="K140" i="4" s="1"/>
  <c r="K133" i="4" a="1"/>
  <c r="K133" i="4" s="1"/>
  <c r="K134" i="4" a="1"/>
  <c r="K134" i="4" s="1"/>
  <c r="K135" i="4" a="1"/>
  <c r="K135" i="4" s="1"/>
  <c r="K136" i="4" a="1"/>
  <c r="K136" i="4" s="1"/>
  <c r="K137" i="4" a="1"/>
  <c r="K137" i="4" s="1"/>
  <c r="K138" i="4" a="1"/>
  <c r="K138" i="4" s="1"/>
  <c r="K139" i="4" a="1"/>
  <c r="K139" i="4" s="1"/>
  <c r="K132" i="4" a="1"/>
  <c r="K132" i="4" s="1"/>
  <c r="K149" i="3" a="1"/>
  <c r="K149" i="3" s="1"/>
  <c r="K150" i="3" a="1"/>
  <c r="K150" i="3" s="1"/>
  <c r="K151" i="3" a="1"/>
  <c r="K151" i="3" s="1"/>
  <c r="K152" i="3" a="1"/>
  <c r="K152" i="3" s="1"/>
  <c r="K153" i="3" a="1"/>
  <c r="K153" i="3" s="1"/>
  <c r="K154" i="3" a="1"/>
  <c r="K154" i="3" s="1"/>
  <c r="K155" i="3" a="1"/>
  <c r="K155" i="3" s="1"/>
  <c r="K148" i="3" a="1"/>
  <c r="K148" i="3" s="1"/>
  <c r="K141" i="3" a="1"/>
  <c r="K141" i="3" s="1"/>
  <c r="K142" i="3" a="1"/>
  <c r="K142" i="3" s="1"/>
  <c r="K143" i="3" a="1"/>
  <c r="K143" i="3" s="1"/>
  <c r="K144" i="3" a="1"/>
  <c r="K144" i="3" s="1"/>
  <c r="K145" i="3" a="1"/>
  <c r="K145" i="3" s="1"/>
  <c r="K146" i="3" a="1"/>
  <c r="K146" i="3" s="1"/>
  <c r="K147" i="3" a="1"/>
  <c r="K147" i="3" s="1"/>
  <c r="K140" i="3" a="1"/>
  <c r="K140" i="3" s="1"/>
  <c r="K133" i="3" a="1"/>
  <c r="K133" i="3" s="1"/>
  <c r="K134" i="3" a="1"/>
  <c r="K134" i="3" s="1"/>
  <c r="K135" i="3" a="1"/>
  <c r="K135" i="3" s="1"/>
  <c r="K136" i="3" a="1"/>
  <c r="K136" i="3" s="1"/>
  <c r="K137" i="3" a="1"/>
  <c r="K137" i="3" s="1"/>
  <c r="K138" i="3" a="1"/>
  <c r="K138" i="3" s="1"/>
  <c r="K139" i="3" a="1"/>
  <c r="K139" i="3" s="1"/>
  <c r="K132" i="3" a="1"/>
  <c r="K132" i="3" s="1"/>
  <c r="K149" i="2" a="1"/>
  <c r="K149" i="2" s="1"/>
  <c r="K150" i="2" a="1"/>
  <c r="K150" i="2" s="1"/>
  <c r="K151" i="2" a="1"/>
  <c r="K151" i="2" s="1"/>
  <c r="K152" i="2" a="1"/>
  <c r="K152" i="2" s="1"/>
  <c r="K153" i="2" a="1"/>
  <c r="K153" i="2" s="1"/>
  <c r="K154" i="2" a="1"/>
  <c r="K154" i="2" s="1"/>
  <c r="K155" i="2" a="1"/>
  <c r="K155" i="2" s="1"/>
  <c r="K148" i="2" a="1"/>
  <c r="K148" i="2" s="1"/>
  <c r="K141" i="2" a="1"/>
  <c r="K141" i="2" s="1"/>
  <c r="K142" i="2" a="1"/>
  <c r="K142" i="2" s="1"/>
  <c r="K143" i="2" a="1"/>
  <c r="K143" i="2" s="1"/>
  <c r="K144" i="2" a="1"/>
  <c r="K144" i="2" s="1"/>
  <c r="K145" i="2" a="1"/>
  <c r="K145" i="2" s="1"/>
  <c r="K146" i="2" a="1"/>
  <c r="K146" i="2" s="1"/>
  <c r="K147" i="2" a="1"/>
  <c r="K147" i="2" s="1"/>
  <c r="K140" i="2" a="1"/>
  <c r="K140" i="2" s="1"/>
  <c r="K133" i="2" a="1"/>
  <c r="K133" i="2" s="1"/>
  <c r="K134" i="2" a="1"/>
  <c r="K134" i="2" s="1"/>
  <c r="K135" i="2" a="1"/>
  <c r="K135" i="2" s="1"/>
  <c r="K136" i="2" a="1"/>
  <c r="K136" i="2" s="1"/>
  <c r="K137" i="2" a="1"/>
  <c r="K137" i="2" s="1"/>
  <c r="K138" i="2" a="1"/>
  <c r="K138" i="2" s="1"/>
  <c r="K139" i="2" a="1"/>
  <c r="K139" i="2" s="1"/>
  <c r="K132" i="2" a="1"/>
  <c r="K132" i="2" s="1"/>
  <c r="K149" i="1" a="1"/>
  <c r="K149" i="1" s="1"/>
  <c r="K150" i="1" a="1"/>
  <c r="K150" i="1" s="1"/>
  <c r="K151" i="1" a="1"/>
  <c r="K151" i="1" s="1"/>
  <c r="K152" i="1" a="1"/>
  <c r="K152" i="1" s="1"/>
  <c r="K153" i="1" a="1"/>
  <c r="K153" i="1" s="1"/>
  <c r="K154" i="1" a="1"/>
  <c r="K154" i="1" s="1"/>
  <c r="K155" i="1" a="1"/>
  <c r="K155" i="1" s="1"/>
  <c r="K148" i="1" a="1"/>
  <c r="K148" i="1" s="1"/>
  <c r="K141" i="1" a="1"/>
  <c r="K141" i="1" s="1"/>
  <c r="K142" i="1" a="1"/>
  <c r="K142" i="1" s="1"/>
  <c r="K143" i="1" a="1"/>
  <c r="K143" i="1" s="1"/>
  <c r="K144" i="1" a="1"/>
  <c r="K144" i="1" s="1"/>
  <c r="K145" i="1" a="1"/>
  <c r="K145" i="1" s="1"/>
  <c r="K146" i="1" a="1"/>
  <c r="K146" i="1" s="1"/>
  <c r="K147" i="1" a="1"/>
  <c r="K147" i="1" s="1"/>
  <c r="K140" i="1" a="1"/>
  <c r="K140" i="1" s="1"/>
  <c r="K133" i="1" a="1"/>
  <c r="K133" i="1" s="1"/>
  <c r="K134" i="1" a="1"/>
  <c r="K134" i="1" s="1"/>
  <c r="K135" i="1" a="1"/>
  <c r="K135" i="1" s="1"/>
  <c r="K136" i="1" a="1"/>
  <c r="K136" i="1" s="1"/>
  <c r="K137" i="1" a="1"/>
  <c r="K137" i="1" s="1"/>
  <c r="K138" i="1" a="1"/>
  <c r="K138" i="1" s="1"/>
  <c r="K139" i="1" a="1"/>
  <c r="K139" i="1" s="1"/>
  <c r="K132" i="1" a="1"/>
  <c r="K132" i="1" s="1"/>
  <c r="P131" i="6"/>
  <c r="P130" i="6"/>
  <c r="K125" i="4" a="1"/>
  <c r="K125" i="4" s="1"/>
  <c r="K126" i="4" a="1"/>
  <c r="K126" i="4" s="1"/>
  <c r="K127" i="4" a="1"/>
  <c r="K127" i="4" s="1"/>
  <c r="K128" i="4" a="1"/>
  <c r="K128" i="4" s="1"/>
  <c r="K129" i="4" a="1"/>
  <c r="K129" i="4" s="1"/>
  <c r="K130" i="4" a="1"/>
  <c r="K130" i="4" s="1"/>
  <c r="K131" i="4" a="1"/>
  <c r="K131" i="4" s="1"/>
  <c r="K124" i="4" a="1"/>
  <c r="K124" i="4" s="1"/>
  <c r="K124" i="3" a="1"/>
  <c r="K124" i="3" s="1"/>
  <c r="K125" i="3" a="1"/>
  <c r="K125" i="3" s="1"/>
  <c r="K126" i="3" a="1"/>
  <c r="K126" i="3" s="1"/>
  <c r="K127" i="3" a="1"/>
  <c r="K127" i="3" s="1"/>
  <c r="K128" i="3" a="1"/>
  <c r="K128" i="3" s="1"/>
  <c r="K129" i="3" a="1"/>
  <c r="K129" i="3" s="1"/>
  <c r="K130" i="3" a="1"/>
  <c r="K130" i="3" s="1"/>
  <c r="K131" i="3" a="1"/>
  <c r="K131" i="3" s="1"/>
  <c r="K125" i="2" a="1"/>
  <c r="K125" i="2" s="1"/>
  <c r="K126" i="2" a="1"/>
  <c r="K126" i="2" s="1"/>
  <c r="K127" i="2" a="1"/>
  <c r="K127" i="2" s="1"/>
  <c r="K128" i="2" a="1"/>
  <c r="K128" i="2" s="1"/>
  <c r="K129" i="2" a="1"/>
  <c r="K129" i="2" s="1"/>
  <c r="K130" i="2" a="1"/>
  <c r="K130" i="2" s="1"/>
  <c r="K131" i="2" a="1"/>
  <c r="K131" i="2" s="1"/>
  <c r="K124" i="2" a="1"/>
  <c r="K124" i="2" s="1"/>
  <c r="K125" i="1" a="1"/>
  <c r="K125" i="1" s="1"/>
  <c r="K126" i="1" a="1"/>
  <c r="K126" i="1" s="1"/>
  <c r="K127" i="1" a="1"/>
  <c r="K127" i="1" s="1"/>
  <c r="K128" i="1" a="1"/>
  <c r="K128" i="1" s="1"/>
  <c r="K129" i="1" a="1"/>
  <c r="K129" i="1" s="1"/>
  <c r="K130" i="1" a="1"/>
  <c r="K130" i="1" s="1"/>
  <c r="K131" i="1" a="1"/>
  <c r="K131" i="1" s="1"/>
  <c r="K124" i="1" a="1"/>
  <c r="K124" i="1" s="1"/>
  <c r="P71" i="6" a="1"/>
  <c r="P71" i="6" s="1"/>
  <c r="P65" i="6" l="1"/>
  <c r="S12" i="6"/>
  <c r="A750" i="6" l="1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U24" i="6"/>
  <c r="U23" i="6"/>
  <c r="U17" i="6"/>
  <c r="U22" i="6"/>
  <c r="U15" i="6"/>
  <c r="U14" i="6"/>
  <c r="U13" i="6"/>
  <c r="U711" i="6"/>
  <c r="U710" i="6"/>
  <c r="A3" i="6" l="1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2" i="6"/>
  <c r="S17" i="6" a="1"/>
  <c r="S17" i="6" s="1"/>
  <c r="K361" i="1"/>
  <c r="N361" i="1" s="1"/>
  <c r="K362" i="1"/>
  <c r="N362" i="1" s="1"/>
  <c r="K363" i="1"/>
  <c r="M363" i="1" s="1"/>
  <c r="K364" i="1"/>
  <c r="N364" i="1" s="1"/>
  <c r="K365" i="1"/>
  <c r="N365" i="1" s="1"/>
  <c r="K366" i="1"/>
  <c r="N366" i="1" s="1"/>
  <c r="K367" i="1"/>
  <c r="N367" i="1" s="1"/>
  <c r="K360" i="1"/>
  <c r="M360" i="1" s="1"/>
  <c r="N355" i="1"/>
  <c r="K353" i="1"/>
  <c r="N353" i="1" s="1"/>
  <c r="K354" i="1"/>
  <c r="N354" i="1" s="1"/>
  <c r="K355" i="1"/>
  <c r="K356" i="1"/>
  <c r="M356" i="1" s="1"/>
  <c r="K357" i="1"/>
  <c r="N357" i="1" s="1"/>
  <c r="K358" i="1"/>
  <c r="N358" i="1" s="1"/>
  <c r="K359" i="1"/>
  <c r="N359" i="1" s="1"/>
  <c r="M352" i="1"/>
  <c r="K352" i="1"/>
  <c r="N352" i="1" s="1"/>
  <c r="K345" i="1"/>
  <c r="N345" i="1" s="1"/>
  <c r="K346" i="1"/>
  <c r="M346" i="1" s="1"/>
  <c r="K347" i="1"/>
  <c r="N347" i="1" s="1"/>
  <c r="K348" i="1"/>
  <c r="N348" i="1" s="1"/>
  <c r="K349" i="1"/>
  <c r="N349" i="1" s="1"/>
  <c r="K350" i="1"/>
  <c r="N350" i="1" s="1"/>
  <c r="K351" i="1"/>
  <c r="M351" i="1" s="1"/>
  <c r="K344" i="1"/>
  <c r="N344" i="1" s="1"/>
  <c r="N313" i="1"/>
  <c r="N318" i="1"/>
  <c r="K313" i="1"/>
  <c r="K314" i="1"/>
  <c r="N314" i="1" s="1"/>
  <c r="K315" i="1"/>
  <c r="N315" i="1" s="1"/>
  <c r="K316" i="1"/>
  <c r="N316" i="1" s="1"/>
  <c r="K317" i="1"/>
  <c r="M317" i="1" s="1"/>
  <c r="K318" i="1"/>
  <c r="M318" i="1" s="1"/>
  <c r="K319" i="1"/>
  <c r="M319" i="1" s="1"/>
  <c r="K312" i="1"/>
  <c r="N312" i="1" s="1"/>
  <c r="N309" i="1"/>
  <c r="N310" i="1"/>
  <c r="K305" i="1"/>
  <c r="N305" i="1" s="1"/>
  <c r="K306" i="1"/>
  <c r="N306" i="1" s="1"/>
  <c r="K307" i="1"/>
  <c r="N307" i="1" s="1"/>
  <c r="K308" i="1"/>
  <c r="N308" i="1" s="1"/>
  <c r="K309" i="1"/>
  <c r="K310" i="1"/>
  <c r="M310" i="1" s="1"/>
  <c r="K311" i="1"/>
  <c r="M311" i="1" s="1"/>
  <c r="K304" i="1"/>
  <c r="M304" i="1" s="1"/>
  <c r="N272" i="1"/>
  <c r="N277" i="1"/>
  <c r="M305" i="1"/>
  <c r="M309" i="1"/>
  <c r="M313" i="1"/>
  <c r="M314" i="1"/>
  <c r="M315" i="1"/>
  <c r="M316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5" i="1"/>
  <c r="M347" i="1"/>
  <c r="M348" i="1"/>
  <c r="M349" i="1"/>
  <c r="M350" i="1"/>
  <c r="M353" i="1"/>
  <c r="M354" i="1"/>
  <c r="M355" i="1"/>
  <c r="M357" i="1"/>
  <c r="M358" i="1"/>
  <c r="M359" i="1"/>
  <c r="M361" i="1"/>
  <c r="M362" i="1"/>
  <c r="M364" i="1"/>
  <c r="M365" i="1"/>
  <c r="M366" i="1"/>
  <c r="M367" i="1"/>
  <c r="M301" i="1"/>
  <c r="M302" i="1"/>
  <c r="K303" i="1"/>
  <c r="M303" i="1" s="1"/>
  <c r="N301" i="1"/>
  <c r="N302" i="1"/>
  <c r="K297" i="1"/>
  <c r="M297" i="1" s="1"/>
  <c r="K298" i="1"/>
  <c r="M298" i="1" s="1"/>
  <c r="K299" i="1"/>
  <c r="M299" i="1" s="1"/>
  <c r="K300" i="1"/>
  <c r="M300" i="1" s="1"/>
  <c r="K301" i="1"/>
  <c r="K302" i="1"/>
  <c r="N296" i="1"/>
  <c r="K296" i="1"/>
  <c r="M296" i="1" s="1"/>
  <c r="K289" i="1"/>
  <c r="M289" i="1" s="1"/>
  <c r="K290" i="1"/>
  <c r="M290" i="1" s="1"/>
  <c r="K291" i="1"/>
  <c r="M291" i="1" s="1"/>
  <c r="K292" i="1"/>
  <c r="M292" i="1" s="1"/>
  <c r="K293" i="1"/>
  <c r="M293" i="1" s="1"/>
  <c r="K294" i="1"/>
  <c r="M294" i="1" s="1"/>
  <c r="K295" i="1"/>
  <c r="M295" i="1" s="1"/>
  <c r="N290" i="1"/>
  <c r="N291" i="1"/>
  <c r="N292" i="1"/>
  <c r="N293" i="1"/>
  <c r="N295" i="1"/>
  <c r="K288" i="1"/>
  <c r="N288" i="1" s="1"/>
  <c r="K281" i="1"/>
  <c r="M281" i="1" s="1"/>
  <c r="K282" i="1"/>
  <c r="N282" i="1" s="1"/>
  <c r="K283" i="1"/>
  <c r="K284" i="1"/>
  <c r="N284" i="1" s="1"/>
  <c r="K285" i="1"/>
  <c r="K286" i="1"/>
  <c r="N286" i="1" s="1"/>
  <c r="K287" i="1"/>
  <c r="N287" i="1" s="1"/>
  <c r="N283" i="1"/>
  <c r="N285" i="1"/>
  <c r="K280" i="1"/>
  <c r="N280" i="1" s="1"/>
  <c r="K272" i="1"/>
  <c r="M272" i="1" s="1"/>
  <c r="K273" i="1"/>
  <c r="M273" i="1" s="1"/>
  <c r="K274" i="1"/>
  <c r="M274" i="1" s="1"/>
  <c r="K275" i="1"/>
  <c r="N275" i="1" s="1"/>
  <c r="K276" i="1"/>
  <c r="N276" i="1" s="1"/>
  <c r="K277" i="1"/>
  <c r="K278" i="1"/>
  <c r="M278" i="1" s="1"/>
  <c r="K279" i="1"/>
  <c r="M279" i="1" s="1"/>
  <c r="M283" i="1"/>
  <c r="M284" i="1"/>
  <c r="M285" i="1"/>
  <c r="M276" i="1"/>
  <c r="M277" i="1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" i="7"/>
  <c r="S13" i="6" a="1"/>
  <c r="S13" i="6" s="1"/>
  <c r="M8" i="4"/>
  <c r="M9" i="3"/>
  <c r="M8" i="2"/>
  <c r="J8" i="4"/>
  <c r="J8" i="3"/>
  <c r="J8" i="2"/>
  <c r="S15" i="6" a="1"/>
  <c r="S15" i="6" s="1"/>
  <c r="K120" i="4" l="1"/>
  <c r="K17" i="1"/>
  <c r="K17" i="2"/>
  <c r="K17" i="3"/>
  <c r="K116" i="1"/>
  <c r="K116" i="2"/>
  <c r="K116" i="3"/>
  <c r="K116" i="4"/>
  <c r="K16" i="1"/>
  <c r="K16" i="2"/>
  <c r="K16" i="3"/>
  <c r="K16" i="4"/>
  <c r="K123" i="1"/>
  <c r="K123" i="2"/>
  <c r="K123" i="3"/>
  <c r="K123" i="4"/>
  <c r="K23" i="1"/>
  <c r="K23" i="2"/>
  <c r="K23" i="3"/>
  <c r="K23" i="4"/>
  <c r="K122" i="1"/>
  <c r="K122" i="2"/>
  <c r="K122" i="3"/>
  <c r="K122" i="4"/>
  <c r="K22" i="1"/>
  <c r="K22" i="2"/>
  <c r="K22" i="3"/>
  <c r="K22" i="4"/>
  <c r="K121" i="1"/>
  <c r="K121" i="2"/>
  <c r="K121" i="3"/>
  <c r="K121" i="4"/>
  <c r="K21" i="1"/>
  <c r="K21" i="2"/>
  <c r="K21" i="3"/>
  <c r="K21" i="4"/>
  <c r="K120" i="1"/>
  <c r="K120" i="2"/>
  <c r="K120" i="3"/>
  <c r="K17" i="4"/>
  <c r="K100" i="4"/>
  <c r="K92" i="4"/>
  <c r="K84" i="4"/>
  <c r="K76" i="4"/>
  <c r="K68" i="4"/>
  <c r="K60" i="4"/>
  <c r="K100" i="3"/>
  <c r="K92" i="3"/>
  <c r="K84" i="3"/>
  <c r="K76" i="3"/>
  <c r="K68" i="3"/>
  <c r="K60" i="3"/>
  <c r="K101" i="2"/>
  <c r="K93" i="2"/>
  <c r="K85" i="2"/>
  <c r="K77" i="2"/>
  <c r="K69" i="2"/>
  <c r="K61" i="2"/>
  <c r="K106" i="1"/>
  <c r="K98" i="1"/>
  <c r="K90" i="1"/>
  <c r="K82" i="1"/>
  <c r="K74" i="1"/>
  <c r="K65" i="1"/>
  <c r="K99" i="4"/>
  <c r="K91" i="4"/>
  <c r="K83" i="4"/>
  <c r="K75" i="4"/>
  <c r="K67" i="4"/>
  <c r="K59" i="4"/>
  <c r="K99" i="3"/>
  <c r="K91" i="3"/>
  <c r="K83" i="3"/>
  <c r="K75" i="3"/>
  <c r="K67" i="3"/>
  <c r="K59" i="3"/>
  <c r="K100" i="2"/>
  <c r="K92" i="2"/>
  <c r="K84" i="2"/>
  <c r="K76" i="2"/>
  <c r="K68" i="2"/>
  <c r="K60" i="2"/>
  <c r="K99" i="1"/>
  <c r="K91" i="1"/>
  <c r="K83" i="1"/>
  <c r="K75" i="1"/>
  <c r="K67" i="1"/>
  <c r="K59" i="1"/>
  <c r="K106" i="4"/>
  <c r="K98" i="4"/>
  <c r="K90" i="4"/>
  <c r="K82" i="4"/>
  <c r="K74" i="4"/>
  <c r="K66" i="4"/>
  <c r="K106" i="3"/>
  <c r="K98" i="3"/>
  <c r="K90" i="3"/>
  <c r="K82" i="3"/>
  <c r="K74" i="3"/>
  <c r="K66" i="3"/>
  <c r="K59" i="2"/>
  <c r="K99" i="2"/>
  <c r="K91" i="2"/>
  <c r="K83" i="2"/>
  <c r="K75" i="2"/>
  <c r="K67" i="2"/>
  <c r="K100" i="1"/>
  <c r="K92" i="1"/>
  <c r="K84" i="1"/>
  <c r="K76" i="1"/>
  <c r="K68" i="1"/>
  <c r="K66" i="1"/>
  <c r="K101" i="4"/>
  <c r="K93" i="4"/>
  <c r="K85" i="4"/>
  <c r="K77" i="4"/>
  <c r="K69" i="4"/>
  <c r="K61" i="4"/>
  <c r="K101" i="3"/>
  <c r="K93" i="3"/>
  <c r="K85" i="3"/>
  <c r="K77" i="3"/>
  <c r="K69" i="3"/>
  <c r="K61" i="3"/>
  <c r="K102" i="2"/>
  <c r="K94" i="2"/>
  <c r="K86" i="2"/>
  <c r="K78" i="2"/>
  <c r="K70" i="2"/>
  <c r="K62" i="2"/>
  <c r="K105" i="1"/>
  <c r="K97" i="1"/>
  <c r="K89" i="1"/>
  <c r="K81" i="1"/>
  <c r="K73" i="1"/>
  <c r="K64" i="1"/>
  <c r="K105" i="4"/>
  <c r="K97" i="4"/>
  <c r="K89" i="4"/>
  <c r="K81" i="4"/>
  <c r="K73" i="4"/>
  <c r="K65" i="4"/>
  <c r="K105" i="3"/>
  <c r="K97" i="3"/>
  <c r="K89" i="3"/>
  <c r="K81" i="3"/>
  <c r="K73" i="3"/>
  <c r="K65" i="3"/>
  <c r="K106" i="2"/>
  <c r="K98" i="2"/>
  <c r="K90" i="2"/>
  <c r="K82" i="2"/>
  <c r="K74" i="2"/>
  <c r="K66" i="2"/>
  <c r="K101" i="1"/>
  <c r="K93" i="1"/>
  <c r="K85" i="1"/>
  <c r="K77" i="1"/>
  <c r="K69" i="1"/>
  <c r="K60" i="1"/>
  <c r="K104" i="4"/>
  <c r="K96" i="4"/>
  <c r="K88" i="4"/>
  <c r="K80" i="4"/>
  <c r="K72" i="4"/>
  <c r="K64" i="4"/>
  <c r="K104" i="3"/>
  <c r="K96" i="3"/>
  <c r="K88" i="3"/>
  <c r="K80" i="3"/>
  <c r="K72" i="3"/>
  <c r="K64" i="3"/>
  <c r="K105" i="2"/>
  <c r="K97" i="2"/>
  <c r="K89" i="2"/>
  <c r="K81" i="2"/>
  <c r="K73" i="2"/>
  <c r="K65" i="2"/>
  <c r="K102" i="1"/>
  <c r="K94" i="1"/>
  <c r="K86" i="1"/>
  <c r="K78" i="1"/>
  <c r="K70" i="1"/>
  <c r="K61" i="1"/>
  <c r="K103" i="4"/>
  <c r="K95" i="4"/>
  <c r="K87" i="4"/>
  <c r="K79" i="4"/>
  <c r="K71" i="4"/>
  <c r="K63" i="4"/>
  <c r="K103" i="3"/>
  <c r="K95" i="3"/>
  <c r="K87" i="3"/>
  <c r="K79" i="3"/>
  <c r="K71" i="3"/>
  <c r="K63" i="3"/>
  <c r="K104" i="2"/>
  <c r="K96" i="2"/>
  <c r="K88" i="2"/>
  <c r="K80" i="2"/>
  <c r="K72" i="2"/>
  <c r="K64" i="2"/>
  <c r="K103" i="1"/>
  <c r="K95" i="1"/>
  <c r="K87" i="1"/>
  <c r="K79" i="1"/>
  <c r="K71" i="1"/>
  <c r="K62" i="1"/>
  <c r="K102" i="4"/>
  <c r="K94" i="4"/>
  <c r="K86" i="4"/>
  <c r="K78" i="4"/>
  <c r="K70" i="4"/>
  <c r="K62" i="4"/>
  <c r="K102" i="3"/>
  <c r="K94" i="3"/>
  <c r="K86" i="3"/>
  <c r="K78" i="3"/>
  <c r="K70" i="3"/>
  <c r="K62" i="3"/>
  <c r="K103" i="2"/>
  <c r="K95" i="2"/>
  <c r="K87" i="2"/>
  <c r="K79" i="2"/>
  <c r="K71" i="2"/>
  <c r="K63" i="2"/>
  <c r="K104" i="1"/>
  <c r="K96" i="1"/>
  <c r="K88" i="1"/>
  <c r="K80" i="1"/>
  <c r="K72" i="1"/>
  <c r="K63" i="1"/>
  <c r="K20" i="1"/>
  <c r="K20" i="2"/>
  <c r="K20" i="3"/>
  <c r="K20" i="4"/>
  <c r="K119" i="1"/>
  <c r="K119" i="2"/>
  <c r="K119" i="3"/>
  <c r="K119" i="4"/>
  <c r="K19" i="1"/>
  <c r="K19" i="2"/>
  <c r="K19" i="3"/>
  <c r="K19" i="4"/>
  <c r="K118" i="1"/>
  <c r="K118" i="2"/>
  <c r="K118" i="3"/>
  <c r="K118" i="4"/>
  <c r="K18" i="1"/>
  <c r="K18" i="2"/>
  <c r="K18" i="3"/>
  <c r="K18" i="4"/>
  <c r="K117" i="1"/>
  <c r="K117" i="2"/>
  <c r="K117" i="3"/>
  <c r="K117" i="4"/>
  <c r="N297" i="1"/>
  <c r="N273" i="1"/>
  <c r="N356" i="1"/>
  <c r="N303" i="1"/>
  <c r="N346" i="1"/>
  <c r="N363" i="1"/>
  <c r="M275" i="1"/>
  <c r="N281" i="1"/>
  <c r="N289" i="1"/>
  <c r="M288" i="1"/>
  <c r="N279" i="1"/>
  <c r="N311" i="1"/>
  <c r="M344" i="1"/>
  <c r="M282" i="1"/>
  <c r="M312" i="1"/>
  <c r="N278" i="1"/>
  <c r="N304" i="1"/>
  <c r="N319" i="1"/>
  <c r="N351" i="1"/>
  <c r="N360" i="1"/>
  <c r="M280" i="1"/>
  <c r="M287" i="1"/>
  <c r="N294" i="1"/>
  <c r="N300" i="1"/>
  <c r="M308" i="1"/>
  <c r="N317" i="1"/>
  <c r="M286" i="1"/>
  <c r="N299" i="1"/>
  <c r="M307" i="1"/>
  <c r="N298" i="1"/>
  <c r="M306" i="1"/>
  <c r="N274" i="1"/>
  <c r="K25" i="2"/>
  <c r="K32" i="1"/>
  <c r="K26" i="1"/>
  <c r="K113" i="4"/>
  <c r="K31" i="3"/>
  <c r="K25" i="1"/>
  <c r="K25" i="3"/>
  <c r="K25" i="4"/>
  <c r="K34" i="1"/>
  <c r="N34" i="1" s="1"/>
  <c r="K34" i="2"/>
  <c r="K34" i="3"/>
  <c r="K34" i="4"/>
  <c r="K42" i="1"/>
  <c r="K42" i="2"/>
  <c r="K42" i="3"/>
  <c r="K42" i="4"/>
  <c r="K107" i="1"/>
  <c r="N107" i="1" s="1"/>
  <c r="K107" i="2"/>
  <c r="K107" i="3"/>
  <c r="K107" i="4"/>
  <c r="K32" i="3"/>
  <c r="K32" i="4"/>
  <c r="K41" i="1"/>
  <c r="N41" i="1" s="1"/>
  <c r="K41" i="2"/>
  <c r="K41" i="3"/>
  <c r="K41" i="4"/>
  <c r="K49" i="1"/>
  <c r="K49" i="2"/>
  <c r="K49" i="3"/>
  <c r="K49" i="4"/>
  <c r="K114" i="1"/>
  <c r="N114" i="1" s="1"/>
  <c r="K114" i="2"/>
  <c r="K114" i="3"/>
  <c r="K114" i="4"/>
  <c r="K31" i="4"/>
  <c r="K40" i="1"/>
  <c r="N40" i="1" s="1"/>
  <c r="K40" i="2"/>
  <c r="K40" i="3"/>
  <c r="K40" i="4"/>
  <c r="K48" i="1"/>
  <c r="K48" i="2"/>
  <c r="K48" i="3"/>
  <c r="K48" i="4"/>
  <c r="K113" i="1"/>
  <c r="K113" i="2"/>
  <c r="K113" i="3"/>
  <c r="K197" i="4"/>
  <c r="K197" i="3"/>
  <c r="K197" i="2"/>
  <c r="K196" i="1"/>
  <c r="K198" i="4"/>
  <c r="K198" i="3"/>
  <c r="K198" i="2"/>
  <c r="K197" i="1"/>
  <c r="K199" i="4"/>
  <c r="K199" i="3"/>
  <c r="K199" i="2"/>
  <c r="K198" i="1"/>
  <c r="K200" i="4"/>
  <c r="K200" i="3"/>
  <c r="K200" i="2"/>
  <c r="K199" i="1"/>
  <c r="K201" i="4"/>
  <c r="K201" i="3"/>
  <c r="K201" i="2"/>
  <c r="K200" i="1"/>
  <c r="K202" i="4"/>
  <c r="K202" i="3"/>
  <c r="K202" i="2"/>
  <c r="K201" i="1"/>
  <c r="K203" i="4"/>
  <c r="K203" i="3"/>
  <c r="K203" i="2"/>
  <c r="K202" i="1"/>
  <c r="K196" i="4"/>
  <c r="K196" i="3"/>
  <c r="K196" i="2"/>
  <c r="K203" i="1"/>
  <c r="K30" i="3"/>
  <c r="K30" i="4"/>
  <c r="K39" i="1"/>
  <c r="N39" i="1" s="1"/>
  <c r="K39" i="2"/>
  <c r="K39" i="3"/>
  <c r="K39" i="4"/>
  <c r="K47" i="1"/>
  <c r="K47" i="2"/>
  <c r="K47" i="3"/>
  <c r="K47" i="4"/>
  <c r="K112" i="1"/>
  <c r="N112" i="1" s="1"/>
  <c r="K112" i="2"/>
  <c r="K112" i="3"/>
  <c r="K112" i="4"/>
  <c r="K29" i="3"/>
  <c r="K29" i="4"/>
  <c r="K38" i="1"/>
  <c r="N38" i="1" s="1"/>
  <c r="K38" i="2"/>
  <c r="K38" i="3"/>
  <c r="K38" i="4"/>
  <c r="K46" i="1"/>
  <c r="K46" i="2"/>
  <c r="K46" i="3"/>
  <c r="K46" i="4"/>
  <c r="K111" i="1"/>
  <c r="N111" i="1" s="1"/>
  <c r="K111" i="2"/>
  <c r="K111" i="3"/>
  <c r="K111" i="4"/>
  <c r="K28" i="3"/>
  <c r="K28" i="4"/>
  <c r="K37" i="1"/>
  <c r="N37" i="1" s="1"/>
  <c r="K37" i="2"/>
  <c r="K37" i="3"/>
  <c r="K37" i="4"/>
  <c r="K45" i="1"/>
  <c r="K45" i="2"/>
  <c r="K45" i="3"/>
  <c r="K45" i="4"/>
  <c r="K110" i="1"/>
  <c r="N110" i="1" s="1"/>
  <c r="K110" i="2"/>
  <c r="K110" i="3"/>
  <c r="K110" i="4"/>
  <c r="K27" i="3"/>
  <c r="K27" i="4"/>
  <c r="K36" i="1"/>
  <c r="N36" i="1" s="1"/>
  <c r="K36" i="2"/>
  <c r="K36" i="3"/>
  <c r="K36" i="4"/>
  <c r="K44" i="1"/>
  <c r="K44" i="2"/>
  <c r="K44" i="3"/>
  <c r="K44" i="4"/>
  <c r="K109" i="1"/>
  <c r="N109" i="1" s="1"/>
  <c r="K109" i="2"/>
  <c r="K109" i="3"/>
  <c r="K109" i="4"/>
  <c r="K26" i="3"/>
  <c r="K26" i="4"/>
  <c r="K35" i="1"/>
  <c r="N35" i="1" s="1"/>
  <c r="K35" i="2"/>
  <c r="K35" i="3"/>
  <c r="K35" i="4"/>
  <c r="K43" i="1"/>
  <c r="K43" i="2"/>
  <c r="K43" i="3"/>
  <c r="K43" i="4"/>
  <c r="K108" i="1"/>
  <c r="N108" i="1" s="1"/>
  <c r="K108" i="2"/>
  <c r="K108" i="3"/>
  <c r="K108" i="4"/>
  <c r="K31" i="1"/>
  <c r="K30" i="1"/>
  <c r="K29" i="1"/>
  <c r="K28" i="1"/>
  <c r="K27" i="1"/>
  <c r="K27" i="2"/>
  <c r="K26" i="2"/>
  <c r="K31" i="2"/>
  <c r="K32" i="2"/>
  <c r="K30" i="2"/>
  <c r="K29" i="2"/>
  <c r="K28" i="2"/>
  <c r="N97" i="1"/>
  <c r="N113" i="1"/>
  <c r="S16" i="6" l="1"/>
  <c r="S14" i="6"/>
  <c r="S11" i="6"/>
  <c r="S10" i="6"/>
  <c r="I367" i="4"/>
  <c r="I366" i="4"/>
  <c r="I365" i="4"/>
  <c r="I364" i="4"/>
  <c r="I363" i="4"/>
  <c r="I362" i="4"/>
  <c r="I361" i="4"/>
  <c r="I359" i="4"/>
  <c r="G359" i="4"/>
  <c r="I358" i="4"/>
  <c r="G358" i="4"/>
  <c r="I357" i="4"/>
  <c r="G357" i="4"/>
  <c r="I356" i="4"/>
  <c r="G356" i="4"/>
  <c r="I355" i="4"/>
  <c r="G355" i="4"/>
  <c r="I354" i="4"/>
  <c r="G354" i="4"/>
  <c r="I353" i="4"/>
  <c r="G353" i="4"/>
  <c r="G352" i="4"/>
  <c r="G351" i="4"/>
  <c r="G350" i="4"/>
  <c r="G349" i="4"/>
  <c r="G348" i="4"/>
  <c r="G347" i="4"/>
  <c r="G346" i="4"/>
  <c r="G345" i="4"/>
  <c r="G344" i="4"/>
  <c r="I319" i="4"/>
  <c r="G319" i="4"/>
  <c r="I318" i="4"/>
  <c r="G318" i="4"/>
  <c r="I317" i="4"/>
  <c r="G317" i="4"/>
  <c r="I316" i="4"/>
  <c r="G316" i="4"/>
  <c r="I315" i="4"/>
  <c r="G315" i="4"/>
  <c r="I314" i="4"/>
  <c r="G314" i="4"/>
  <c r="I313" i="4"/>
  <c r="G313" i="4"/>
  <c r="G312" i="4"/>
  <c r="I311" i="4"/>
  <c r="G311" i="4"/>
  <c r="I310" i="4"/>
  <c r="G310" i="4"/>
  <c r="I309" i="4"/>
  <c r="G309" i="4"/>
  <c r="I308" i="4"/>
  <c r="G308" i="4"/>
  <c r="I307" i="4"/>
  <c r="G307" i="4"/>
  <c r="I306" i="4"/>
  <c r="G306" i="4"/>
  <c r="I305" i="4"/>
  <c r="G305" i="4"/>
  <c r="G304" i="4"/>
  <c r="I303" i="4"/>
  <c r="G303" i="4"/>
  <c r="I302" i="4"/>
  <c r="G302" i="4"/>
  <c r="I301" i="4"/>
  <c r="G301" i="4"/>
  <c r="I300" i="4"/>
  <c r="G300" i="4"/>
  <c r="I299" i="4"/>
  <c r="G299" i="4"/>
  <c r="I298" i="4"/>
  <c r="G298" i="4"/>
  <c r="I297" i="4"/>
  <c r="G297" i="4"/>
  <c r="G296" i="4"/>
  <c r="G295" i="4"/>
  <c r="G294" i="4"/>
  <c r="G293" i="4"/>
  <c r="G292" i="4"/>
  <c r="G291" i="4"/>
  <c r="G290" i="4"/>
  <c r="I289" i="4"/>
  <c r="I290" i="4" s="1"/>
  <c r="I291" i="4" s="1"/>
  <c r="I292" i="4" s="1"/>
  <c r="I293" i="4" s="1"/>
  <c r="I294" i="4" s="1"/>
  <c r="I295" i="4" s="1"/>
  <c r="G289" i="4"/>
  <c r="G288" i="4"/>
  <c r="I281" i="4"/>
  <c r="I282" i="4" s="1"/>
  <c r="I283" i="4" s="1"/>
  <c r="I284" i="4" s="1"/>
  <c r="I285" i="4" s="1"/>
  <c r="I286" i="4" s="1"/>
  <c r="I287" i="4" s="1"/>
  <c r="G274" i="4"/>
  <c r="G275" i="4" s="1"/>
  <c r="G276" i="4" s="1"/>
  <c r="G277" i="4" s="1"/>
  <c r="G278" i="4" s="1"/>
  <c r="G279" i="4" s="1"/>
  <c r="G273" i="4"/>
  <c r="I367" i="3"/>
  <c r="I366" i="3"/>
  <c r="I365" i="3"/>
  <c r="I364" i="3"/>
  <c r="I363" i="3"/>
  <c r="I362" i="3"/>
  <c r="I361" i="3"/>
  <c r="I359" i="3"/>
  <c r="G359" i="3"/>
  <c r="I358" i="3"/>
  <c r="G358" i="3"/>
  <c r="I357" i="3"/>
  <c r="G357" i="3"/>
  <c r="I356" i="3"/>
  <c r="G356" i="3"/>
  <c r="I355" i="3"/>
  <c r="G355" i="3"/>
  <c r="I354" i="3"/>
  <c r="G354" i="3"/>
  <c r="I353" i="3"/>
  <c r="G353" i="3"/>
  <c r="G352" i="3"/>
  <c r="G351" i="3"/>
  <c r="G350" i="3"/>
  <c r="G349" i="3"/>
  <c r="G348" i="3"/>
  <c r="G347" i="3"/>
  <c r="G346" i="3"/>
  <c r="G345" i="3"/>
  <c r="G344" i="3"/>
  <c r="I319" i="3"/>
  <c r="G319" i="3"/>
  <c r="I318" i="3"/>
  <c r="G318" i="3"/>
  <c r="I317" i="3"/>
  <c r="G317" i="3"/>
  <c r="I316" i="3"/>
  <c r="G316" i="3"/>
  <c r="I315" i="3"/>
  <c r="G315" i="3"/>
  <c r="I314" i="3"/>
  <c r="G314" i="3"/>
  <c r="I313" i="3"/>
  <c r="G313" i="3"/>
  <c r="G312" i="3"/>
  <c r="I311" i="3"/>
  <c r="G311" i="3"/>
  <c r="I310" i="3"/>
  <c r="G310" i="3"/>
  <c r="I309" i="3"/>
  <c r="G309" i="3"/>
  <c r="I308" i="3"/>
  <c r="G308" i="3"/>
  <c r="I307" i="3"/>
  <c r="G307" i="3"/>
  <c r="I306" i="3"/>
  <c r="G306" i="3"/>
  <c r="I305" i="3"/>
  <c r="G305" i="3"/>
  <c r="G304" i="3"/>
  <c r="I303" i="3"/>
  <c r="G303" i="3"/>
  <c r="I302" i="3"/>
  <c r="G302" i="3"/>
  <c r="I301" i="3"/>
  <c r="G301" i="3"/>
  <c r="I300" i="3"/>
  <c r="G300" i="3"/>
  <c r="I299" i="3"/>
  <c r="G299" i="3"/>
  <c r="I298" i="3"/>
  <c r="G298" i="3"/>
  <c r="I297" i="3"/>
  <c r="G297" i="3"/>
  <c r="G296" i="3"/>
  <c r="G295" i="3"/>
  <c r="G294" i="3"/>
  <c r="G293" i="3"/>
  <c r="G292" i="3"/>
  <c r="G291" i="3"/>
  <c r="G290" i="3"/>
  <c r="I289" i="3"/>
  <c r="I290" i="3" s="1"/>
  <c r="I291" i="3" s="1"/>
  <c r="I292" i="3" s="1"/>
  <c r="I293" i="3" s="1"/>
  <c r="I294" i="3" s="1"/>
  <c r="I295" i="3" s="1"/>
  <c r="G289" i="3"/>
  <c r="G288" i="3"/>
  <c r="I282" i="3"/>
  <c r="I283" i="3" s="1"/>
  <c r="I284" i="3" s="1"/>
  <c r="I285" i="3" s="1"/>
  <c r="I286" i="3" s="1"/>
  <c r="I287" i="3" s="1"/>
  <c r="I281" i="3"/>
  <c r="G273" i="3"/>
  <c r="G274" i="3" s="1"/>
  <c r="G275" i="3" s="1"/>
  <c r="G276" i="3" s="1"/>
  <c r="G277" i="3" s="1"/>
  <c r="G278" i="3" s="1"/>
  <c r="G279" i="3" s="1"/>
  <c r="I367" i="2"/>
  <c r="I366" i="2"/>
  <c r="I365" i="2"/>
  <c r="I364" i="2"/>
  <c r="I363" i="2"/>
  <c r="I362" i="2"/>
  <c r="I361" i="2"/>
  <c r="I359" i="2"/>
  <c r="G359" i="2"/>
  <c r="I358" i="2"/>
  <c r="G358" i="2"/>
  <c r="I357" i="2"/>
  <c r="G357" i="2"/>
  <c r="I356" i="2"/>
  <c r="G356" i="2"/>
  <c r="I355" i="2"/>
  <c r="G355" i="2"/>
  <c r="I354" i="2"/>
  <c r="G354" i="2"/>
  <c r="I353" i="2"/>
  <c r="G353" i="2"/>
  <c r="G352" i="2"/>
  <c r="G351" i="2"/>
  <c r="G350" i="2"/>
  <c r="G349" i="2"/>
  <c r="G348" i="2"/>
  <c r="G347" i="2"/>
  <c r="G346" i="2"/>
  <c r="G345" i="2"/>
  <c r="G344" i="2"/>
  <c r="I319" i="2"/>
  <c r="G319" i="2"/>
  <c r="I318" i="2"/>
  <c r="G318" i="2"/>
  <c r="I317" i="2"/>
  <c r="G317" i="2"/>
  <c r="I316" i="2"/>
  <c r="G316" i="2"/>
  <c r="I315" i="2"/>
  <c r="G315" i="2"/>
  <c r="I314" i="2"/>
  <c r="G314" i="2"/>
  <c r="I313" i="2"/>
  <c r="G313" i="2"/>
  <c r="G312" i="2"/>
  <c r="I311" i="2"/>
  <c r="G311" i="2"/>
  <c r="I310" i="2"/>
  <c r="G310" i="2"/>
  <c r="I309" i="2"/>
  <c r="G309" i="2"/>
  <c r="I308" i="2"/>
  <c r="G308" i="2"/>
  <c r="I307" i="2"/>
  <c r="G307" i="2"/>
  <c r="I306" i="2"/>
  <c r="G306" i="2"/>
  <c r="I305" i="2"/>
  <c r="G305" i="2"/>
  <c r="G304" i="2"/>
  <c r="I303" i="2"/>
  <c r="G303" i="2"/>
  <c r="I302" i="2"/>
  <c r="G302" i="2"/>
  <c r="I301" i="2"/>
  <c r="G301" i="2"/>
  <c r="I300" i="2"/>
  <c r="G300" i="2"/>
  <c r="I299" i="2"/>
  <c r="G299" i="2"/>
  <c r="I298" i="2"/>
  <c r="G298" i="2"/>
  <c r="I297" i="2"/>
  <c r="G297" i="2"/>
  <c r="G296" i="2"/>
  <c r="G295" i="2"/>
  <c r="G294" i="2"/>
  <c r="G293" i="2"/>
  <c r="G292" i="2"/>
  <c r="G291" i="2"/>
  <c r="G290" i="2"/>
  <c r="I289" i="2"/>
  <c r="I290" i="2" s="1"/>
  <c r="I291" i="2" s="1"/>
  <c r="I292" i="2" s="1"/>
  <c r="I293" i="2" s="1"/>
  <c r="I294" i="2" s="1"/>
  <c r="I295" i="2" s="1"/>
  <c r="G289" i="2"/>
  <c r="G288" i="2"/>
  <c r="I282" i="2"/>
  <c r="I283" i="2" s="1"/>
  <c r="I284" i="2" s="1"/>
  <c r="I285" i="2" s="1"/>
  <c r="I286" i="2" s="1"/>
  <c r="I287" i="2" s="1"/>
  <c r="I281" i="2"/>
  <c r="G273" i="2"/>
  <c r="G274" i="2" s="1"/>
  <c r="G275" i="2" s="1"/>
  <c r="G276" i="2" s="1"/>
  <c r="G277" i="2" s="1"/>
  <c r="G278" i="2" s="1"/>
  <c r="G279" i="2" s="1"/>
  <c r="H51" i="4" l="1"/>
  <c r="I367" i="1"/>
  <c r="I366" i="1"/>
  <c r="I365" i="1"/>
  <c r="I364" i="1"/>
  <c r="I363" i="1"/>
  <c r="I362" i="1"/>
  <c r="I361" i="1"/>
  <c r="I359" i="1"/>
  <c r="G359" i="1"/>
  <c r="I358" i="1"/>
  <c r="G358" i="1"/>
  <c r="I357" i="1"/>
  <c r="G357" i="1"/>
  <c r="I356" i="1"/>
  <c r="G356" i="1"/>
  <c r="I355" i="1"/>
  <c r="G355" i="1"/>
  <c r="I354" i="1"/>
  <c r="G354" i="1"/>
  <c r="I353" i="1"/>
  <c r="G353" i="1"/>
  <c r="G352" i="1"/>
  <c r="G351" i="1"/>
  <c r="G350" i="1"/>
  <c r="G349" i="1"/>
  <c r="G348" i="1"/>
  <c r="G347" i="1"/>
  <c r="G346" i="1"/>
  <c r="G345" i="1"/>
  <c r="G344" i="1"/>
  <c r="I319" i="1"/>
  <c r="G319" i="1"/>
  <c r="I318" i="1"/>
  <c r="G318" i="1"/>
  <c r="I317" i="1"/>
  <c r="G317" i="1"/>
  <c r="I316" i="1"/>
  <c r="G316" i="1"/>
  <c r="I315" i="1"/>
  <c r="G315" i="1"/>
  <c r="I314" i="1"/>
  <c r="G314" i="1"/>
  <c r="I313" i="1"/>
  <c r="G313" i="1"/>
  <c r="G312" i="1"/>
  <c r="I311" i="1"/>
  <c r="G311" i="1"/>
  <c r="I310" i="1"/>
  <c r="G310" i="1"/>
  <c r="I309" i="1"/>
  <c r="G309" i="1"/>
  <c r="I308" i="1"/>
  <c r="G308" i="1"/>
  <c r="I307" i="1"/>
  <c r="G307" i="1"/>
  <c r="I306" i="1"/>
  <c r="G306" i="1"/>
  <c r="I305" i="1"/>
  <c r="G305" i="1"/>
  <c r="G304" i="1"/>
  <c r="I303" i="1"/>
  <c r="G303" i="1"/>
  <c r="I302" i="1"/>
  <c r="G302" i="1"/>
  <c r="I301" i="1"/>
  <c r="G301" i="1"/>
  <c r="I300" i="1"/>
  <c r="G300" i="1"/>
  <c r="I299" i="1"/>
  <c r="G299" i="1"/>
  <c r="I298" i="1"/>
  <c r="G298" i="1"/>
  <c r="I297" i="1"/>
  <c r="G297" i="1"/>
  <c r="G296" i="1"/>
  <c r="G295" i="1"/>
  <c r="G294" i="1"/>
  <c r="G293" i="1"/>
  <c r="G292" i="1"/>
  <c r="G291" i="1"/>
  <c r="G290" i="1"/>
  <c r="I289" i="1"/>
  <c r="I290" i="1" s="1"/>
  <c r="I291" i="1" s="1"/>
  <c r="I292" i="1" s="1"/>
  <c r="I293" i="1" s="1"/>
  <c r="I294" i="1" s="1"/>
  <c r="I295" i="1" s="1"/>
  <c r="G289" i="1"/>
  <c r="G288" i="1"/>
  <c r="I283" i="1"/>
  <c r="I284" i="1" s="1"/>
  <c r="I285" i="1" s="1"/>
  <c r="I286" i="1" s="1"/>
  <c r="I287" i="1" s="1"/>
  <c r="I282" i="1"/>
  <c r="I281" i="1"/>
  <c r="G273" i="1"/>
  <c r="G274" i="1" s="1"/>
  <c r="G275" i="1" s="1"/>
  <c r="G276" i="1" s="1"/>
  <c r="G277" i="1" s="1"/>
  <c r="G278" i="1" s="1"/>
  <c r="G279" i="1" s="1"/>
  <c r="N367" i="4" l="1"/>
  <c r="M367" i="4"/>
  <c r="N366" i="4"/>
  <c r="M366" i="4"/>
  <c r="N365" i="4"/>
  <c r="M365" i="4"/>
  <c r="N364" i="4"/>
  <c r="M364" i="4"/>
  <c r="N363" i="4"/>
  <c r="M363" i="4"/>
  <c r="N362" i="4"/>
  <c r="M362" i="4"/>
  <c r="N361" i="4"/>
  <c r="M361" i="4"/>
  <c r="N360" i="4"/>
  <c r="M360" i="4"/>
  <c r="N359" i="4"/>
  <c r="M359" i="4"/>
  <c r="N358" i="4"/>
  <c r="M358" i="4"/>
  <c r="N357" i="4"/>
  <c r="M357" i="4"/>
  <c r="N356" i="4"/>
  <c r="M356" i="4"/>
  <c r="N355" i="4"/>
  <c r="M355" i="4"/>
  <c r="N354" i="4"/>
  <c r="M354" i="4"/>
  <c r="N353" i="4"/>
  <c r="M353" i="4"/>
  <c r="N352" i="4"/>
  <c r="M352" i="4"/>
  <c r="N351" i="4"/>
  <c r="M351" i="4"/>
  <c r="N350" i="4"/>
  <c r="M350" i="4"/>
  <c r="N349" i="4"/>
  <c r="M349" i="4"/>
  <c r="N348" i="4"/>
  <c r="M348" i="4"/>
  <c r="N347" i="4"/>
  <c r="M347" i="4"/>
  <c r="N346" i="4"/>
  <c r="M346" i="4"/>
  <c r="N345" i="4"/>
  <c r="M345" i="4"/>
  <c r="N344" i="4"/>
  <c r="M344" i="4"/>
  <c r="N343" i="4"/>
  <c r="M343" i="4"/>
  <c r="N342" i="4"/>
  <c r="M342" i="4"/>
  <c r="N341" i="4"/>
  <c r="M341" i="4"/>
  <c r="N340" i="4"/>
  <c r="M340" i="4"/>
  <c r="N339" i="4"/>
  <c r="M339" i="4"/>
  <c r="N338" i="4"/>
  <c r="M338" i="4"/>
  <c r="N337" i="4"/>
  <c r="M337" i="4"/>
  <c r="N336" i="4"/>
  <c r="M336" i="4"/>
  <c r="N335" i="4"/>
  <c r="M335" i="4"/>
  <c r="N334" i="4"/>
  <c r="M334" i="4"/>
  <c r="N333" i="4"/>
  <c r="M333" i="4"/>
  <c r="N332" i="4"/>
  <c r="M332" i="4"/>
  <c r="N331" i="4"/>
  <c r="M331" i="4"/>
  <c r="N330" i="4"/>
  <c r="M330" i="4"/>
  <c r="N329" i="4"/>
  <c r="M329" i="4"/>
  <c r="N328" i="4"/>
  <c r="M328" i="4"/>
  <c r="N327" i="4"/>
  <c r="M327" i="4"/>
  <c r="N326" i="4"/>
  <c r="M326" i="4"/>
  <c r="N325" i="4"/>
  <c r="M325" i="4"/>
  <c r="N324" i="4"/>
  <c r="M324" i="4"/>
  <c r="N323" i="4"/>
  <c r="M323" i="4"/>
  <c r="N322" i="4"/>
  <c r="M322" i="4"/>
  <c r="N321" i="4"/>
  <c r="M321" i="4"/>
  <c r="N320" i="4"/>
  <c r="M320" i="4"/>
  <c r="N319" i="4"/>
  <c r="M319" i="4"/>
  <c r="N318" i="4"/>
  <c r="M318" i="4"/>
  <c r="N317" i="4"/>
  <c r="M317" i="4"/>
  <c r="N316" i="4"/>
  <c r="M316" i="4"/>
  <c r="N315" i="4"/>
  <c r="M315" i="4"/>
  <c r="N314" i="4"/>
  <c r="M314" i="4"/>
  <c r="N313" i="4"/>
  <c r="M313" i="4"/>
  <c r="N312" i="4"/>
  <c r="M312" i="4"/>
  <c r="N311" i="4"/>
  <c r="M311" i="4"/>
  <c r="N310" i="4"/>
  <c r="M310" i="4"/>
  <c r="N309" i="4"/>
  <c r="M309" i="4"/>
  <c r="N308" i="4"/>
  <c r="M308" i="4"/>
  <c r="N307" i="4"/>
  <c r="M307" i="4"/>
  <c r="N306" i="4"/>
  <c r="M306" i="4"/>
  <c r="N305" i="4"/>
  <c r="M305" i="4"/>
  <c r="N304" i="4"/>
  <c r="M304" i="4"/>
  <c r="N303" i="4"/>
  <c r="M303" i="4"/>
  <c r="N302" i="4"/>
  <c r="M302" i="4"/>
  <c r="N301" i="4"/>
  <c r="M301" i="4"/>
  <c r="N300" i="4"/>
  <c r="M300" i="4"/>
  <c r="N299" i="4"/>
  <c r="M299" i="4"/>
  <c r="N298" i="4"/>
  <c r="M298" i="4"/>
  <c r="N297" i="4"/>
  <c r="M297" i="4"/>
  <c r="N296" i="4"/>
  <c r="M296" i="4"/>
  <c r="N295" i="4"/>
  <c r="M295" i="4"/>
  <c r="N294" i="4"/>
  <c r="M294" i="4"/>
  <c r="N293" i="4"/>
  <c r="M293" i="4"/>
  <c r="N292" i="4"/>
  <c r="M292" i="4"/>
  <c r="N291" i="4"/>
  <c r="M291" i="4"/>
  <c r="N290" i="4"/>
  <c r="M290" i="4"/>
  <c r="N289" i="4"/>
  <c r="M289" i="4"/>
  <c r="N288" i="4"/>
  <c r="M288" i="4"/>
  <c r="N287" i="4"/>
  <c r="M287" i="4"/>
  <c r="N286" i="4"/>
  <c r="M286" i="4"/>
  <c r="N285" i="4"/>
  <c r="M285" i="4"/>
  <c r="N284" i="4"/>
  <c r="M284" i="4"/>
  <c r="N283" i="4"/>
  <c r="M283" i="4"/>
  <c r="N282" i="4"/>
  <c r="M282" i="4"/>
  <c r="N281" i="4"/>
  <c r="M281" i="4"/>
  <c r="N280" i="4"/>
  <c r="M280" i="4"/>
  <c r="N279" i="4"/>
  <c r="M279" i="4"/>
  <c r="N278" i="4"/>
  <c r="M278" i="4"/>
  <c r="N277" i="4"/>
  <c r="M277" i="4"/>
  <c r="N276" i="4"/>
  <c r="M276" i="4"/>
  <c r="N275" i="4"/>
  <c r="M275" i="4"/>
  <c r="N274" i="4"/>
  <c r="M274" i="4"/>
  <c r="N273" i="4"/>
  <c r="M273" i="4"/>
  <c r="N272" i="4"/>
  <c r="M272" i="4"/>
  <c r="N267" i="4"/>
  <c r="M267" i="4"/>
  <c r="N266" i="4"/>
  <c r="M266" i="4"/>
  <c r="N265" i="4"/>
  <c r="M265" i="4"/>
  <c r="N264" i="4"/>
  <c r="M264" i="4"/>
  <c r="N263" i="4"/>
  <c r="M263" i="4"/>
  <c r="N262" i="4"/>
  <c r="M262" i="4"/>
  <c r="N261" i="4"/>
  <c r="M261" i="4"/>
  <c r="N260" i="4"/>
  <c r="M260" i="4"/>
  <c r="N259" i="4"/>
  <c r="M259" i="4"/>
  <c r="N258" i="4"/>
  <c r="M258" i="4"/>
  <c r="N257" i="4"/>
  <c r="M257" i="4"/>
  <c r="N256" i="4"/>
  <c r="M256" i="4"/>
  <c r="N255" i="4"/>
  <c r="M255" i="4"/>
  <c r="N254" i="4"/>
  <c r="M254" i="4"/>
  <c r="N253" i="4"/>
  <c r="M253" i="4"/>
  <c r="N252" i="4"/>
  <c r="M252" i="4"/>
  <c r="N251" i="4"/>
  <c r="M251" i="4"/>
  <c r="N250" i="4"/>
  <c r="M250" i="4"/>
  <c r="N249" i="4"/>
  <c r="M249" i="4"/>
  <c r="N248" i="4"/>
  <c r="M248" i="4"/>
  <c r="N247" i="4"/>
  <c r="M247" i="4"/>
  <c r="N246" i="4"/>
  <c r="M246" i="4"/>
  <c r="N245" i="4"/>
  <c r="M245" i="4"/>
  <c r="N244" i="4"/>
  <c r="M244" i="4"/>
  <c r="N243" i="4"/>
  <c r="M243" i="4"/>
  <c r="N242" i="4"/>
  <c r="M242" i="4"/>
  <c r="N241" i="4"/>
  <c r="M241" i="4"/>
  <c r="N240" i="4"/>
  <c r="M240" i="4"/>
  <c r="N239" i="4"/>
  <c r="M239" i="4"/>
  <c r="N238" i="4"/>
  <c r="M238" i="4"/>
  <c r="N237" i="4"/>
  <c r="M237" i="4"/>
  <c r="N236" i="4"/>
  <c r="M236" i="4"/>
  <c r="N235" i="4"/>
  <c r="M235" i="4"/>
  <c r="N234" i="4"/>
  <c r="M234" i="4"/>
  <c r="N233" i="4"/>
  <c r="M233" i="4"/>
  <c r="N232" i="4"/>
  <c r="M232" i="4"/>
  <c r="N231" i="4"/>
  <c r="M231" i="4"/>
  <c r="N230" i="4"/>
  <c r="M230" i="4"/>
  <c r="N229" i="4"/>
  <c r="M229" i="4"/>
  <c r="N228" i="4"/>
  <c r="M228" i="4"/>
  <c r="N227" i="4"/>
  <c r="M227" i="4"/>
  <c r="N226" i="4"/>
  <c r="M226" i="4"/>
  <c r="N225" i="4"/>
  <c r="M225" i="4"/>
  <c r="N224" i="4"/>
  <c r="M224" i="4"/>
  <c r="N223" i="4"/>
  <c r="M223" i="4"/>
  <c r="N222" i="4"/>
  <c r="M222" i="4"/>
  <c r="N221" i="4"/>
  <c r="M221" i="4"/>
  <c r="N220" i="4"/>
  <c r="M220" i="4"/>
  <c r="N219" i="4"/>
  <c r="M219" i="4"/>
  <c r="N218" i="4"/>
  <c r="M218" i="4"/>
  <c r="N217" i="4"/>
  <c r="M217" i="4"/>
  <c r="N216" i="4"/>
  <c r="M216" i="4"/>
  <c r="N215" i="4"/>
  <c r="M215" i="4"/>
  <c r="N214" i="4"/>
  <c r="M214" i="4"/>
  <c r="N213" i="4"/>
  <c r="M213" i="4"/>
  <c r="N212" i="4"/>
  <c r="M212" i="4"/>
  <c r="N211" i="4"/>
  <c r="M211" i="4"/>
  <c r="N210" i="4"/>
  <c r="M210" i="4"/>
  <c r="N209" i="4"/>
  <c r="M209" i="4"/>
  <c r="N208" i="4"/>
  <c r="M208" i="4"/>
  <c r="N207" i="4"/>
  <c r="M207" i="4"/>
  <c r="N206" i="4"/>
  <c r="M206" i="4"/>
  <c r="N205" i="4"/>
  <c r="M205" i="4"/>
  <c r="N204" i="4"/>
  <c r="M204" i="4"/>
  <c r="N203" i="4"/>
  <c r="M203" i="4"/>
  <c r="H203" i="4"/>
  <c r="G203" i="4"/>
  <c r="N202" i="4"/>
  <c r="M202" i="4"/>
  <c r="H202" i="4"/>
  <c r="G202" i="4"/>
  <c r="N201" i="4"/>
  <c r="M201" i="4"/>
  <c r="H201" i="4"/>
  <c r="G201" i="4"/>
  <c r="N200" i="4"/>
  <c r="M200" i="4"/>
  <c r="H200" i="4"/>
  <c r="G200" i="4"/>
  <c r="N199" i="4"/>
  <c r="M199" i="4"/>
  <c r="H199" i="4"/>
  <c r="G199" i="4"/>
  <c r="N198" i="4"/>
  <c r="M198" i="4"/>
  <c r="H198" i="4"/>
  <c r="G198" i="4"/>
  <c r="N197" i="4"/>
  <c r="M197" i="4"/>
  <c r="H197" i="4"/>
  <c r="G197" i="4"/>
  <c r="N196" i="4"/>
  <c r="M196" i="4"/>
  <c r="N195" i="4"/>
  <c r="M195" i="4"/>
  <c r="N194" i="4"/>
  <c r="M194" i="4"/>
  <c r="N193" i="4"/>
  <c r="M193" i="4"/>
  <c r="N192" i="4"/>
  <c r="M192" i="4"/>
  <c r="N191" i="4"/>
  <c r="M191" i="4"/>
  <c r="N190" i="4"/>
  <c r="M190" i="4"/>
  <c r="N189" i="4"/>
  <c r="M189" i="4"/>
  <c r="N188" i="4"/>
  <c r="M188" i="4"/>
  <c r="N187" i="4"/>
  <c r="M187" i="4"/>
  <c r="N186" i="4"/>
  <c r="M186" i="4"/>
  <c r="N185" i="4"/>
  <c r="M185" i="4"/>
  <c r="N184" i="4"/>
  <c r="M184" i="4"/>
  <c r="N183" i="4"/>
  <c r="M183" i="4"/>
  <c r="N182" i="4"/>
  <c r="M182" i="4"/>
  <c r="N181" i="4"/>
  <c r="M181" i="4"/>
  <c r="N180" i="4"/>
  <c r="M180" i="4"/>
  <c r="N179" i="4"/>
  <c r="M179" i="4"/>
  <c r="N178" i="4"/>
  <c r="M178" i="4"/>
  <c r="N177" i="4"/>
  <c r="M177" i="4"/>
  <c r="N176" i="4"/>
  <c r="M176" i="4"/>
  <c r="N175" i="4"/>
  <c r="M175" i="4"/>
  <c r="N174" i="4"/>
  <c r="M174" i="4"/>
  <c r="N173" i="4"/>
  <c r="M173" i="4"/>
  <c r="N172" i="4"/>
  <c r="M172" i="4"/>
  <c r="N171" i="4"/>
  <c r="M171" i="4"/>
  <c r="N170" i="4"/>
  <c r="M170" i="4"/>
  <c r="N169" i="4"/>
  <c r="M169" i="4"/>
  <c r="N168" i="4"/>
  <c r="M168" i="4"/>
  <c r="N167" i="4"/>
  <c r="M167" i="4"/>
  <c r="N166" i="4"/>
  <c r="M166" i="4"/>
  <c r="N165" i="4"/>
  <c r="M165" i="4"/>
  <c r="N164" i="4"/>
  <c r="M164" i="4"/>
  <c r="N163" i="4"/>
  <c r="M163" i="4"/>
  <c r="N162" i="4"/>
  <c r="M162" i="4"/>
  <c r="N161" i="4"/>
  <c r="M161" i="4"/>
  <c r="N160" i="4"/>
  <c r="M160" i="4"/>
  <c r="N159" i="4"/>
  <c r="M159" i="4"/>
  <c r="N158" i="4"/>
  <c r="M158" i="4"/>
  <c r="N157" i="4"/>
  <c r="M157" i="4"/>
  <c r="N156" i="4"/>
  <c r="M156" i="4"/>
  <c r="N155" i="4"/>
  <c r="M155" i="4"/>
  <c r="N154" i="4"/>
  <c r="M154" i="4"/>
  <c r="N153" i="4"/>
  <c r="M153" i="4"/>
  <c r="N152" i="4"/>
  <c r="M152" i="4"/>
  <c r="N151" i="4"/>
  <c r="M151" i="4"/>
  <c r="N150" i="4"/>
  <c r="M150" i="4"/>
  <c r="N149" i="4"/>
  <c r="M149" i="4"/>
  <c r="N148" i="4"/>
  <c r="M148" i="4"/>
  <c r="N147" i="4"/>
  <c r="M147" i="4"/>
  <c r="N146" i="4"/>
  <c r="M146" i="4"/>
  <c r="N145" i="4"/>
  <c r="M145" i="4"/>
  <c r="N144" i="4"/>
  <c r="M144" i="4"/>
  <c r="N143" i="4"/>
  <c r="M143" i="4"/>
  <c r="N142" i="4"/>
  <c r="M142" i="4"/>
  <c r="N141" i="4"/>
  <c r="M141" i="4"/>
  <c r="N140" i="4"/>
  <c r="M140" i="4"/>
  <c r="N139" i="4"/>
  <c r="M139" i="4"/>
  <c r="N138" i="4"/>
  <c r="M138" i="4"/>
  <c r="N137" i="4"/>
  <c r="M137" i="4"/>
  <c r="N136" i="4"/>
  <c r="M136" i="4"/>
  <c r="N135" i="4"/>
  <c r="M135" i="4"/>
  <c r="N134" i="4"/>
  <c r="M134" i="4"/>
  <c r="N133" i="4"/>
  <c r="M133" i="4"/>
  <c r="N132" i="4"/>
  <c r="M132" i="4"/>
  <c r="N131" i="4"/>
  <c r="M131" i="4"/>
  <c r="H131" i="4"/>
  <c r="G131" i="4"/>
  <c r="N130" i="4"/>
  <c r="M130" i="4"/>
  <c r="H130" i="4"/>
  <c r="G130" i="4"/>
  <c r="N129" i="4"/>
  <c r="M129" i="4"/>
  <c r="H129" i="4"/>
  <c r="G129" i="4"/>
  <c r="N128" i="4"/>
  <c r="M128" i="4"/>
  <c r="H128" i="4"/>
  <c r="G128" i="4"/>
  <c r="N127" i="4"/>
  <c r="M127" i="4"/>
  <c r="H127" i="4"/>
  <c r="G127" i="4"/>
  <c r="N126" i="4"/>
  <c r="M126" i="4"/>
  <c r="H126" i="4"/>
  <c r="G126" i="4"/>
  <c r="N125" i="4"/>
  <c r="M125" i="4"/>
  <c r="H125" i="4"/>
  <c r="G125" i="4"/>
  <c r="N124" i="4"/>
  <c r="M124" i="4"/>
  <c r="N123" i="4"/>
  <c r="M123" i="4"/>
  <c r="N122" i="4"/>
  <c r="M122" i="4"/>
  <c r="N121" i="4"/>
  <c r="M121" i="4"/>
  <c r="N120" i="4"/>
  <c r="M120" i="4"/>
  <c r="N119" i="4"/>
  <c r="M119" i="4"/>
  <c r="N118" i="4"/>
  <c r="M118" i="4"/>
  <c r="N117" i="4"/>
  <c r="M117" i="4"/>
  <c r="N116" i="4"/>
  <c r="M116" i="4"/>
  <c r="N114" i="4"/>
  <c r="M114" i="4"/>
  <c r="I114" i="4"/>
  <c r="G114" i="4"/>
  <c r="N113" i="4"/>
  <c r="M113" i="4"/>
  <c r="I113" i="4"/>
  <c r="G113" i="4"/>
  <c r="N112" i="4"/>
  <c r="M112" i="4"/>
  <c r="I112" i="4"/>
  <c r="G112" i="4"/>
  <c r="N111" i="4"/>
  <c r="M111" i="4"/>
  <c r="I111" i="4"/>
  <c r="G111" i="4"/>
  <c r="N110" i="4"/>
  <c r="M110" i="4"/>
  <c r="I110" i="4"/>
  <c r="G110" i="4"/>
  <c r="N109" i="4"/>
  <c r="M109" i="4"/>
  <c r="I109" i="4"/>
  <c r="G109" i="4"/>
  <c r="N108" i="4"/>
  <c r="M108" i="4"/>
  <c r="I108" i="4"/>
  <c r="G108" i="4"/>
  <c r="N107" i="4"/>
  <c r="M107" i="4"/>
  <c r="N106" i="4"/>
  <c r="M106" i="4"/>
  <c r="I106" i="4"/>
  <c r="H106" i="4"/>
  <c r="G106" i="4"/>
  <c r="N105" i="4"/>
  <c r="M105" i="4"/>
  <c r="I105" i="4"/>
  <c r="H105" i="4"/>
  <c r="G105" i="4"/>
  <c r="N104" i="4"/>
  <c r="M104" i="4"/>
  <c r="I104" i="4"/>
  <c r="H104" i="4"/>
  <c r="G104" i="4"/>
  <c r="N103" i="4"/>
  <c r="M103" i="4"/>
  <c r="I103" i="4"/>
  <c r="H103" i="4"/>
  <c r="G103" i="4"/>
  <c r="N102" i="4"/>
  <c r="M102" i="4"/>
  <c r="I102" i="4"/>
  <c r="H102" i="4"/>
  <c r="G102" i="4"/>
  <c r="N101" i="4"/>
  <c r="M101" i="4"/>
  <c r="I101" i="4"/>
  <c r="H101" i="4"/>
  <c r="G101" i="4"/>
  <c r="N100" i="4"/>
  <c r="M100" i="4"/>
  <c r="I100" i="4"/>
  <c r="H100" i="4"/>
  <c r="G100" i="4"/>
  <c r="N99" i="4"/>
  <c r="M99" i="4"/>
  <c r="N98" i="4"/>
  <c r="M98" i="4"/>
  <c r="I98" i="4"/>
  <c r="H98" i="4"/>
  <c r="G98" i="4"/>
  <c r="N97" i="4"/>
  <c r="M97" i="4"/>
  <c r="I97" i="4"/>
  <c r="H97" i="4"/>
  <c r="G97" i="4"/>
  <c r="N96" i="4"/>
  <c r="M96" i="4"/>
  <c r="I96" i="4"/>
  <c r="H96" i="4"/>
  <c r="G96" i="4"/>
  <c r="N95" i="4"/>
  <c r="M95" i="4"/>
  <c r="I95" i="4"/>
  <c r="H95" i="4"/>
  <c r="G95" i="4"/>
  <c r="N94" i="4"/>
  <c r="M94" i="4"/>
  <c r="I94" i="4"/>
  <c r="H94" i="4"/>
  <c r="G94" i="4"/>
  <c r="N93" i="4"/>
  <c r="M93" i="4"/>
  <c r="I93" i="4"/>
  <c r="H93" i="4"/>
  <c r="G93" i="4"/>
  <c r="N92" i="4"/>
  <c r="M92" i="4"/>
  <c r="I92" i="4"/>
  <c r="H92" i="4"/>
  <c r="G92" i="4"/>
  <c r="N91" i="4"/>
  <c r="M91" i="4"/>
  <c r="N90" i="4"/>
  <c r="M90" i="4"/>
  <c r="I90" i="4"/>
  <c r="H90" i="4"/>
  <c r="G90" i="4"/>
  <c r="N89" i="4"/>
  <c r="M89" i="4"/>
  <c r="I89" i="4"/>
  <c r="H89" i="4"/>
  <c r="G89" i="4"/>
  <c r="N88" i="4"/>
  <c r="M88" i="4"/>
  <c r="I88" i="4"/>
  <c r="H88" i="4"/>
  <c r="G88" i="4"/>
  <c r="N87" i="4"/>
  <c r="M87" i="4"/>
  <c r="I87" i="4"/>
  <c r="H87" i="4"/>
  <c r="G87" i="4"/>
  <c r="N86" i="4"/>
  <c r="M86" i="4"/>
  <c r="I86" i="4"/>
  <c r="H86" i="4"/>
  <c r="G86" i="4"/>
  <c r="N85" i="4"/>
  <c r="M85" i="4"/>
  <c r="I85" i="4"/>
  <c r="H85" i="4"/>
  <c r="G85" i="4"/>
  <c r="N84" i="4"/>
  <c r="M84" i="4"/>
  <c r="I84" i="4"/>
  <c r="H84" i="4"/>
  <c r="G84" i="4"/>
  <c r="N83" i="4"/>
  <c r="M83" i="4"/>
  <c r="N82" i="4"/>
  <c r="M82" i="4"/>
  <c r="I82" i="4"/>
  <c r="H82" i="4"/>
  <c r="G82" i="4"/>
  <c r="N81" i="4"/>
  <c r="M81" i="4"/>
  <c r="I81" i="4"/>
  <c r="H81" i="4"/>
  <c r="G81" i="4"/>
  <c r="N80" i="4"/>
  <c r="M80" i="4"/>
  <c r="I80" i="4"/>
  <c r="H80" i="4"/>
  <c r="G80" i="4"/>
  <c r="N79" i="4"/>
  <c r="M79" i="4"/>
  <c r="I79" i="4"/>
  <c r="H79" i="4"/>
  <c r="G79" i="4"/>
  <c r="N78" i="4"/>
  <c r="M78" i="4"/>
  <c r="I78" i="4"/>
  <c r="H78" i="4"/>
  <c r="G78" i="4"/>
  <c r="N77" i="4"/>
  <c r="M77" i="4"/>
  <c r="I77" i="4"/>
  <c r="H77" i="4"/>
  <c r="G77" i="4"/>
  <c r="N76" i="4"/>
  <c r="M76" i="4"/>
  <c r="I76" i="4"/>
  <c r="H76" i="4"/>
  <c r="G76" i="4"/>
  <c r="N75" i="4"/>
  <c r="M75" i="4"/>
  <c r="N74" i="4"/>
  <c r="M74" i="4"/>
  <c r="I74" i="4"/>
  <c r="H74" i="4"/>
  <c r="G74" i="4"/>
  <c r="N73" i="4"/>
  <c r="M73" i="4"/>
  <c r="I73" i="4"/>
  <c r="H73" i="4"/>
  <c r="G73" i="4"/>
  <c r="N72" i="4"/>
  <c r="M72" i="4"/>
  <c r="I72" i="4"/>
  <c r="H72" i="4"/>
  <c r="G72" i="4"/>
  <c r="N71" i="4"/>
  <c r="M71" i="4"/>
  <c r="I71" i="4"/>
  <c r="H71" i="4"/>
  <c r="G71" i="4"/>
  <c r="N70" i="4"/>
  <c r="M70" i="4"/>
  <c r="I70" i="4"/>
  <c r="H70" i="4"/>
  <c r="G70" i="4"/>
  <c r="N69" i="4"/>
  <c r="M69" i="4"/>
  <c r="I69" i="4"/>
  <c r="H69" i="4"/>
  <c r="G69" i="4"/>
  <c r="N68" i="4"/>
  <c r="M68" i="4"/>
  <c r="I68" i="4"/>
  <c r="H68" i="4"/>
  <c r="G68" i="4"/>
  <c r="N67" i="4"/>
  <c r="M67" i="4"/>
  <c r="N66" i="4"/>
  <c r="M66" i="4"/>
  <c r="I66" i="4"/>
  <c r="H66" i="4"/>
  <c r="G66" i="4"/>
  <c r="N65" i="4"/>
  <c r="M65" i="4"/>
  <c r="I65" i="4"/>
  <c r="H65" i="4"/>
  <c r="G65" i="4"/>
  <c r="N64" i="4"/>
  <c r="M64" i="4"/>
  <c r="I64" i="4"/>
  <c r="H64" i="4"/>
  <c r="G64" i="4"/>
  <c r="N63" i="4"/>
  <c r="M63" i="4"/>
  <c r="I63" i="4"/>
  <c r="H63" i="4"/>
  <c r="G63" i="4"/>
  <c r="N62" i="4"/>
  <c r="M62" i="4"/>
  <c r="I62" i="4"/>
  <c r="H62" i="4"/>
  <c r="G62" i="4"/>
  <c r="N61" i="4"/>
  <c r="M61" i="4"/>
  <c r="I61" i="4"/>
  <c r="H61" i="4"/>
  <c r="G61" i="4"/>
  <c r="N60" i="4"/>
  <c r="M60" i="4"/>
  <c r="I60" i="4"/>
  <c r="H60" i="4"/>
  <c r="G60" i="4"/>
  <c r="N59" i="4"/>
  <c r="M59" i="4"/>
  <c r="N58" i="4"/>
  <c r="M58" i="4"/>
  <c r="H58" i="4"/>
  <c r="N57" i="4"/>
  <c r="M57" i="4"/>
  <c r="N56" i="4"/>
  <c r="M56" i="4"/>
  <c r="H56" i="4"/>
  <c r="N55" i="4"/>
  <c r="M55" i="4"/>
  <c r="N54" i="4"/>
  <c r="M54" i="4"/>
  <c r="H54" i="4"/>
  <c r="N53" i="4"/>
  <c r="M53" i="4"/>
  <c r="N52" i="4"/>
  <c r="M52" i="4"/>
  <c r="H52" i="4"/>
  <c r="N51" i="4"/>
  <c r="M51" i="4"/>
  <c r="I51" i="4"/>
  <c r="I57" i="4" s="1"/>
  <c r="H57" i="4"/>
  <c r="N49" i="4"/>
  <c r="M49" i="4"/>
  <c r="N48" i="4"/>
  <c r="M48" i="4"/>
  <c r="N47" i="4"/>
  <c r="M47" i="4"/>
  <c r="N46" i="4"/>
  <c r="M46" i="4"/>
  <c r="N45" i="4"/>
  <c r="M45" i="4"/>
  <c r="N44" i="4"/>
  <c r="M44" i="4"/>
  <c r="N43" i="4"/>
  <c r="M43" i="4"/>
  <c r="N42" i="4"/>
  <c r="M42" i="4"/>
  <c r="N41" i="4"/>
  <c r="M41" i="4"/>
  <c r="I41" i="4"/>
  <c r="G41" i="4"/>
  <c r="N40" i="4"/>
  <c r="M40" i="4"/>
  <c r="I40" i="4"/>
  <c r="G40" i="4"/>
  <c r="N39" i="4"/>
  <c r="M39" i="4"/>
  <c r="I39" i="4"/>
  <c r="G39" i="4"/>
  <c r="N38" i="4"/>
  <c r="M38" i="4"/>
  <c r="I38" i="4"/>
  <c r="G38" i="4"/>
  <c r="N37" i="4"/>
  <c r="M37" i="4"/>
  <c r="I37" i="4"/>
  <c r="G37" i="4"/>
  <c r="N36" i="4"/>
  <c r="M36" i="4"/>
  <c r="I36" i="4"/>
  <c r="G36" i="4"/>
  <c r="N35" i="4"/>
  <c r="M35" i="4"/>
  <c r="I35" i="4"/>
  <c r="G35" i="4"/>
  <c r="N34" i="4"/>
  <c r="M34" i="4"/>
  <c r="H34" i="4"/>
  <c r="H35" i="4" s="1"/>
  <c r="M33" i="4"/>
  <c r="N32" i="4"/>
  <c r="M32" i="4"/>
  <c r="G32" i="4"/>
  <c r="N31" i="4"/>
  <c r="M31" i="4"/>
  <c r="G31" i="4"/>
  <c r="N30" i="4"/>
  <c r="M30" i="4"/>
  <c r="G30" i="4"/>
  <c r="N29" i="4"/>
  <c r="M29" i="4"/>
  <c r="G29" i="4"/>
  <c r="N28" i="4"/>
  <c r="M28" i="4"/>
  <c r="G28" i="4"/>
  <c r="N27" i="4"/>
  <c r="M27" i="4"/>
  <c r="H27" i="4"/>
  <c r="G27" i="4"/>
  <c r="N26" i="4"/>
  <c r="M26" i="4"/>
  <c r="H26" i="4"/>
  <c r="G26" i="4"/>
  <c r="N25" i="4"/>
  <c r="M25" i="4"/>
  <c r="I25" i="4"/>
  <c r="I32" i="4" s="1"/>
  <c r="H25" i="4"/>
  <c r="H29" i="4" s="1"/>
  <c r="E24" i="4"/>
  <c r="N23" i="4"/>
  <c r="M23" i="4"/>
  <c r="N22" i="4"/>
  <c r="M22" i="4"/>
  <c r="N21" i="4"/>
  <c r="M21" i="4"/>
  <c r="N20" i="4"/>
  <c r="M20" i="4"/>
  <c r="N19" i="4"/>
  <c r="M19" i="4"/>
  <c r="N18" i="4"/>
  <c r="M18" i="4"/>
  <c r="N17" i="4"/>
  <c r="M17" i="4"/>
  <c r="N16" i="4"/>
  <c r="M16" i="4"/>
  <c r="N367" i="3"/>
  <c r="M367" i="3"/>
  <c r="N366" i="3"/>
  <c r="M366" i="3"/>
  <c r="N365" i="3"/>
  <c r="M365" i="3"/>
  <c r="N364" i="3"/>
  <c r="M364" i="3"/>
  <c r="N363" i="3"/>
  <c r="M363" i="3"/>
  <c r="N362" i="3"/>
  <c r="M362" i="3"/>
  <c r="N361" i="3"/>
  <c r="M361" i="3"/>
  <c r="N360" i="3"/>
  <c r="M360" i="3"/>
  <c r="N359" i="3"/>
  <c r="M359" i="3"/>
  <c r="N358" i="3"/>
  <c r="M358" i="3"/>
  <c r="N357" i="3"/>
  <c r="M357" i="3"/>
  <c r="N356" i="3"/>
  <c r="M356" i="3"/>
  <c r="N355" i="3"/>
  <c r="M355" i="3"/>
  <c r="N354" i="3"/>
  <c r="M354" i="3"/>
  <c r="N353" i="3"/>
  <c r="M353" i="3"/>
  <c r="N352" i="3"/>
  <c r="M352" i="3"/>
  <c r="N351" i="3"/>
  <c r="M351" i="3"/>
  <c r="N350" i="3"/>
  <c r="M350" i="3"/>
  <c r="N349" i="3"/>
  <c r="M349" i="3"/>
  <c r="N348" i="3"/>
  <c r="M348" i="3"/>
  <c r="N347" i="3"/>
  <c r="M347" i="3"/>
  <c r="N346" i="3"/>
  <c r="M346" i="3"/>
  <c r="N345" i="3"/>
  <c r="M345" i="3"/>
  <c r="N344" i="3"/>
  <c r="M344" i="3"/>
  <c r="N343" i="3"/>
  <c r="M343" i="3"/>
  <c r="N342" i="3"/>
  <c r="M342" i="3"/>
  <c r="N341" i="3"/>
  <c r="M341" i="3"/>
  <c r="N340" i="3"/>
  <c r="M340" i="3"/>
  <c r="N339" i="3"/>
  <c r="M339" i="3"/>
  <c r="N338" i="3"/>
  <c r="M338" i="3"/>
  <c r="N337" i="3"/>
  <c r="M337" i="3"/>
  <c r="N336" i="3"/>
  <c r="M336" i="3"/>
  <c r="N335" i="3"/>
  <c r="M335" i="3"/>
  <c r="N334" i="3"/>
  <c r="M334" i="3"/>
  <c r="N333" i="3"/>
  <c r="M333" i="3"/>
  <c r="N332" i="3"/>
  <c r="M332" i="3"/>
  <c r="N331" i="3"/>
  <c r="M331" i="3"/>
  <c r="N330" i="3"/>
  <c r="M330" i="3"/>
  <c r="N329" i="3"/>
  <c r="M329" i="3"/>
  <c r="N328" i="3"/>
  <c r="M328" i="3"/>
  <c r="N327" i="3"/>
  <c r="M327" i="3"/>
  <c r="N326" i="3"/>
  <c r="M326" i="3"/>
  <c r="N325" i="3"/>
  <c r="M325" i="3"/>
  <c r="N324" i="3"/>
  <c r="M324" i="3"/>
  <c r="N323" i="3"/>
  <c r="M323" i="3"/>
  <c r="N322" i="3"/>
  <c r="M322" i="3"/>
  <c r="N321" i="3"/>
  <c r="M321" i="3"/>
  <c r="N320" i="3"/>
  <c r="M320" i="3"/>
  <c r="N319" i="3"/>
  <c r="M319" i="3"/>
  <c r="N318" i="3"/>
  <c r="M318" i="3"/>
  <c r="N317" i="3"/>
  <c r="M317" i="3"/>
  <c r="N316" i="3"/>
  <c r="M316" i="3"/>
  <c r="N315" i="3"/>
  <c r="M315" i="3"/>
  <c r="N314" i="3"/>
  <c r="M314" i="3"/>
  <c r="N313" i="3"/>
  <c r="M313" i="3"/>
  <c r="N312" i="3"/>
  <c r="M312" i="3"/>
  <c r="N311" i="3"/>
  <c r="M311" i="3"/>
  <c r="N310" i="3"/>
  <c r="M310" i="3"/>
  <c r="N309" i="3"/>
  <c r="M309" i="3"/>
  <c r="N308" i="3"/>
  <c r="M308" i="3"/>
  <c r="N307" i="3"/>
  <c r="M307" i="3"/>
  <c r="N306" i="3"/>
  <c r="M306" i="3"/>
  <c r="N305" i="3"/>
  <c r="M305" i="3"/>
  <c r="N304" i="3"/>
  <c r="M304" i="3"/>
  <c r="N303" i="3"/>
  <c r="M303" i="3"/>
  <c r="N302" i="3"/>
  <c r="M302" i="3"/>
  <c r="N301" i="3"/>
  <c r="M301" i="3"/>
  <c r="N300" i="3"/>
  <c r="M300" i="3"/>
  <c r="N299" i="3"/>
  <c r="M299" i="3"/>
  <c r="N298" i="3"/>
  <c r="M298" i="3"/>
  <c r="N297" i="3"/>
  <c r="M297" i="3"/>
  <c r="N296" i="3"/>
  <c r="M296" i="3"/>
  <c r="N295" i="3"/>
  <c r="M295" i="3"/>
  <c r="N294" i="3"/>
  <c r="M294" i="3"/>
  <c r="N293" i="3"/>
  <c r="M293" i="3"/>
  <c r="N292" i="3"/>
  <c r="M292" i="3"/>
  <c r="N291" i="3"/>
  <c r="M291" i="3"/>
  <c r="N290" i="3"/>
  <c r="M290" i="3"/>
  <c r="N289" i="3"/>
  <c r="M289" i="3"/>
  <c r="N288" i="3"/>
  <c r="M288" i="3"/>
  <c r="N287" i="3"/>
  <c r="M287" i="3"/>
  <c r="N286" i="3"/>
  <c r="M286" i="3"/>
  <c r="N285" i="3"/>
  <c r="M285" i="3"/>
  <c r="N284" i="3"/>
  <c r="M284" i="3"/>
  <c r="N283" i="3"/>
  <c r="M283" i="3"/>
  <c r="N282" i="3"/>
  <c r="M282" i="3"/>
  <c r="N281" i="3"/>
  <c r="M281" i="3"/>
  <c r="N280" i="3"/>
  <c r="M280" i="3"/>
  <c r="N279" i="3"/>
  <c r="M279" i="3"/>
  <c r="N278" i="3"/>
  <c r="M278" i="3"/>
  <c r="N277" i="3"/>
  <c r="M277" i="3"/>
  <c r="N276" i="3"/>
  <c r="M276" i="3"/>
  <c r="N275" i="3"/>
  <c r="M275" i="3"/>
  <c r="N274" i="3"/>
  <c r="M274" i="3"/>
  <c r="N273" i="3"/>
  <c r="M273" i="3"/>
  <c r="N272" i="3"/>
  <c r="M272" i="3"/>
  <c r="N267" i="3"/>
  <c r="M267" i="3"/>
  <c r="N266" i="3"/>
  <c r="M266" i="3"/>
  <c r="N265" i="3"/>
  <c r="M265" i="3"/>
  <c r="N264" i="3"/>
  <c r="M264" i="3"/>
  <c r="N263" i="3"/>
  <c r="M263" i="3"/>
  <c r="N262" i="3"/>
  <c r="M262" i="3"/>
  <c r="N261" i="3"/>
  <c r="M261" i="3"/>
  <c r="N260" i="3"/>
  <c r="M260" i="3"/>
  <c r="N259" i="3"/>
  <c r="M259" i="3"/>
  <c r="N258" i="3"/>
  <c r="M258" i="3"/>
  <c r="N257" i="3"/>
  <c r="M257" i="3"/>
  <c r="N256" i="3"/>
  <c r="M256" i="3"/>
  <c r="N255" i="3"/>
  <c r="M255" i="3"/>
  <c r="N254" i="3"/>
  <c r="M254" i="3"/>
  <c r="N253" i="3"/>
  <c r="M253" i="3"/>
  <c r="N252" i="3"/>
  <c r="M252" i="3"/>
  <c r="N251" i="3"/>
  <c r="M251" i="3"/>
  <c r="N250" i="3"/>
  <c r="M250" i="3"/>
  <c r="N249" i="3"/>
  <c r="M249" i="3"/>
  <c r="N248" i="3"/>
  <c r="M248" i="3"/>
  <c r="N247" i="3"/>
  <c r="M247" i="3"/>
  <c r="N246" i="3"/>
  <c r="M246" i="3"/>
  <c r="N245" i="3"/>
  <c r="M245" i="3"/>
  <c r="N244" i="3"/>
  <c r="M244" i="3"/>
  <c r="N243" i="3"/>
  <c r="M243" i="3"/>
  <c r="N242" i="3"/>
  <c r="M242" i="3"/>
  <c r="N241" i="3"/>
  <c r="M241" i="3"/>
  <c r="N240" i="3"/>
  <c r="M240" i="3"/>
  <c r="N239" i="3"/>
  <c r="M239" i="3"/>
  <c r="N238" i="3"/>
  <c r="M238" i="3"/>
  <c r="N237" i="3"/>
  <c r="M237" i="3"/>
  <c r="N236" i="3"/>
  <c r="M236" i="3"/>
  <c r="N235" i="3"/>
  <c r="M235" i="3"/>
  <c r="N234" i="3"/>
  <c r="M234" i="3"/>
  <c r="N233" i="3"/>
  <c r="M233" i="3"/>
  <c r="N232" i="3"/>
  <c r="M232" i="3"/>
  <c r="N231" i="3"/>
  <c r="M231" i="3"/>
  <c r="N230" i="3"/>
  <c r="M230" i="3"/>
  <c r="N229" i="3"/>
  <c r="M229" i="3"/>
  <c r="N228" i="3"/>
  <c r="M228" i="3"/>
  <c r="N227" i="3"/>
  <c r="M227" i="3"/>
  <c r="N226" i="3"/>
  <c r="M226" i="3"/>
  <c r="N225" i="3"/>
  <c r="M225" i="3"/>
  <c r="N224" i="3"/>
  <c r="M224" i="3"/>
  <c r="N223" i="3"/>
  <c r="M223" i="3"/>
  <c r="N222" i="3"/>
  <c r="M222" i="3"/>
  <c r="N221" i="3"/>
  <c r="M221" i="3"/>
  <c r="N220" i="3"/>
  <c r="M220" i="3"/>
  <c r="N219" i="3"/>
  <c r="M219" i="3"/>
  <c r="N218" i="3"/>
  <c r="M218" i="3"/>
  <c r="N217" i="3"/>
  <c r="M217" i="3"/>
  <c r="N216" i="3"/>
  <c r="M216" i="3"/>
  <c r="N215" i="3"/>
  <c r="M215" i="3"/>
  <c r="N214" i="3"/>
  <c r="M214" i="3"/>
  <c r="N213" i="3"/>
  <c r="M213" i="3"/>
  <c r="N212" i="3"/>
  <c r="M212" i="3"/>
  <c r="N211" i="3"/>
  <c r="M211" i="3"/>
  <c r="N210" i="3"/>
  <c r="M210" i="3"/>
  <c r="N209" i="3"/>
  <c r="M209" i="3"/>
  <c r="N208" i="3"/>
  <c r="M208" i="3"/>
  <c r="N207" i="3"/>
  <c r="M207" i="3"/>
  <c r="N206" i="3"/>
  <c r="M206" i="3"/>
  <c r="N205" i="3"/>
  <c r="M205" i="3"/>
  <c r="N204" i="3"/>
  <c r="M204" i="3"/>
  <c r="N203" i="3"/>
  <c r="M203" i="3"/>
  <c r="H203" i="3"/>
  <c r="G203" i="3"/>
  <c r="N202" i="3"/>
  <c r="M202" i="3"/>
  <c r="H202" i="3"/>
  <c r="G202" i="3"/>
  <c r="N201" i="3"/>
  <c r="M201" i="3"/>
  <c r="H201" i="3"/>
  <c r="G201" i="3"/>
  <c r="N200" i="3"/>
  <c r="M200" i="3"/>
  <c r="H200" i="3"/>
  <c r="G200" i="3"/>
  <c r="N199" i="3"/>
  <c r="M199" i="3"/>
  <c r="H199" i="3"/>
  <c r="G199" i="3"/>
  <c r="N198" i="3"/>
  <c r="M198" i="3"/>
  <c r="H198" i="3"/>
  <c r="G198" i="3"/>
  <c r="N197" i="3"/>
  <c r="M197" i="3"/>
  <c r="H197" i="3"/>
  <c r="G197" i="3"/>
  <c r="N196" i="3"/>
  <c r="M196" i="3"/>
  <c r="N195" i="3"/>
  <c r="M195" i="3"/>
  <c r="N194" i="3"/>
  <c r="M194" i="3"/>
  <c r="N193" i="3"/>
  <c r="M193" i="3"/>
  <c r="N192" i="3"/>
  <c r="M192" i="3"/>
  <c r="N191" i="3"/>
  <c r="M191" i="3"/>
  <c r="N190" i="3"/>
  <c r="M190" i="3"/>
  <c r="N189" i="3"/>
  <c r="M189" i="3"/>
  <c r="N188" i="3"/>
  <c r="M188" i="3"/>
  <c r="N187" i="3"/>
  <c r="M187" i="3"/>
  <c r="N186" i="3"/>
  <c r="M186" i="3"/>
  <c r="N185" i="3"/>
  <c r="M185" i="3"/>
  <c r="N184" i="3"/>
  <c r="M184" i="3"/>
  <c r="N183" i="3"/>
  <c r="M183" i="3"/>
  <c r="N182" i="3"/>
  <c r="M182" i="3"/>
  <c r="N181" i="3"/>
  <c r="M181" i="3"/>
  <c r="N180" i="3"/>
  <c r="M180" i="3"/>
  <c r="N179" i="3"/>
  <c r="M179" i="3"/>
  <c r="N178" i="3"/>
  <c r="M178" i="3"/>
  <c r="N177" i="3"/>
  <c r="M177" i="3"/>
  <c r="N176" i="3"/>
  <c r="M176" i="3"/>
  <c r="N175" i="3"/>
  <c r="M175" i="3"/>
  <c r="N174" i="3"/>
  <c r="M174" i="3"/>
  <c r="N173" i="3"/>
  <c r="M173" i="3"/>
  <c r="N172" i="3"/>
  <c r="M172" i="3"/>
  <c r="N171" i="3"/>
  <c r="M171" i="3"/>
  <c r="N170" i="3"/>
  <c r="M170" i="3"/>
  <c r="N169" i="3"/>
  <c r="M169" i="3"/>
  <c r="N168" i="3"/>
  <c r="M168" i="3"/>
  <c r="N167" i="3"/>
  <c r="M167" i="3"/>
  <c r="N166" i="3"/>
  <c r="M166" i="3"/>
  <c r="N165" i="3"/>
  <c r="M165" i="3"/>
  <c r="N164" i="3"/>
  <c r="M164" i="3"/>
  <c r="N163" i="3"/>
  <c r="M163" i="3"/>
  <c r="N162" i="3"/>
  <c r="M162" i="3"/>
  <c r="N161" i="3"/>
  <c r="M161" i="3"/>
  <c r="N160" i="3"/>
  <c r="M160" i="3"/>
  <c r="N159" i="3"/>
  <c r="M159" i="3"/>
  <c r="N158" i="3"/>
  <c r="M158" i="3"/>
  <c r="N157" i="3"/>
  <c r="M157" i="3"/>
  <c r="N156" i="3"/>
  <c r="M156" i="3"/>
  <c r="N155" i="3"/>
  <c r="M155" i="3"/>
  <c r="N154" i="3"/>
  <c r="M154" i="3"/>
  <c r="N153" i="3"/>
  <c r="M153" i="3"/>
  <c r="N152" i="3"/>
  <c r="M152" i="3"/>
  <c r="N151" i="3"/>
  <c r="M151" i="3"/>
  <c r="N150" i="3"/>
  <c r="M150" i="3"/>
  <c r="N149" i="3"/>
  <c r="M149" i="3"/>
  <c r="N148" i="3"/>
  <c r="M148" i="3"/>
  <c r="N147" i="3"/>
  <c r="M147" i="3"/>
  <c r="N146" i="3"/>
  <c r="M146" i="3"/>
  <c r="N145" i="3"/>
  <c r="M145" i="3"/>
  <c r="N144" i="3"/>
  <c r="M144" i="3"/>
  <c r="N143" i="3"/>
  <c r="M143" i="3"/>
  <c r="N142" i="3"/>
  <c r="M142" i="3"/>
  <c r="N141" i="3"/>
  <c r="M141" i="3"/>
  <c r="N140" i="3"/>
  <c r="M140" i="3"/>
  <c r="N139" i="3"/>
  <c r="M139" i="3"/>
  <c r="N138" i="3"/>
  <c r="M138" i="3"/>
  <c r="N137" i="3"/>
  <c r="M137" i="3"/>
  <c r="N136" i="3"/>
  <c r="M136" i="3"/>
  <c r="N135" i="3"/>
  <c r="M135" i="3"/>
  <c r="N134" i="3"/>
  <c r="M134" i="3"/>
  <c r="N133" i="3"/>
  <c r="M133" i="3"/>
  <c r="N132" i="3"/>
  <c r="M132" i="3"/>
  <c r="N131" i="3"/>
  <c r="M131" i="3"/>
  <c r="H131" i="3"/>
  <c r="G131" i="3"/>
  <c r="N130" i="3"/>
  <c r="M130" i="3"/>
  <c r="H130" i="3"/>
  <c r="G130" i="3"/>
  <c r="N129" i="3"/>
  <c r="M129" i="3"/>
  <c r="H129" i="3"/>
  <c r="G129" i="3"/>
  <c r="N128" i="3"/>
  <c r="M128" i="3"/>
  <c r="H128" i="3"/>
  <c r="G128" i="3"/>
  <c r="N127" i="3"/>
  <c r="M127" i="3"/>
  <c r="H127" i="3"/>
  <c r="G127" i="3"/>
  <c r="N126" i="3"/>
  <c r="M126" i="3"/>
  <c r="H126" i="3"/>
  <c r="G126" i="3"/>
  <c r="N125" i="3"/>
  <c r="M125" i="3"/>
  <c r="H125" i="3"/>
  <c r="G125" i="3"/>
  <c r="N124" i="3"/>
  <c r="M124" i="3"/>
  <c r="N123" i="3"/>
  <c r="M123" i="3"/>
  <c r="N122" i="3"/>
  <c r="M122" i="3"/>
  <c r="N121" i="3"/>
  <c r="M121" i="3"/>
  <c r="N120" i="3"/>
  <c r="M120" i="3"/>
  <c r="N119" i="3"/>
  <c r="M119" i="3"/>
  <c r="N118" i="3"/>
  <c r="M118" i="3"/>
  <c r="N117" i="3"/>
  <c r="M117" i="3"/>
  <c r="N116" i="3"/>
  <c r="M116" i="3"/>
  <c r="N114" i="3"/>
  <c r="M114" i="3"/>
  <c r="I114" i="3"/>
  <c r="G114" i="3"/>
  <c r="N113" i="3"/>
  <c r="M113" i="3"/>
  <c r="I113" i="3"/>
  <c r="G113" i="3"/>
  <c r="N112" i="3"/>
  <c r="M112" i="3"/>
  <c r="I112" i="3"/>
  <c r="G112" i="3"/>
  <c r="N111" i="3"/>
  <c r="M111" i="3"/>
  <c r="I111" i="3"/>
  <c r="G111" i="3"/>
  <c r="N110" i="3"/>
  <c r="M110" i="3"/>
  <c r="I110" i="3"/>
  <c r="G110" i="3"/>
  <c r="N109" i="3"/>
  <c r="M109" i="3"/>
  <c r="I109" i="3"/>
  <c r="G109" i="3"/>
  <c r="N108" i="3"/>
  <c r="M108" i="3"/>
  <c r="I108" i="3"/>
  <c r="G108" i="3"/>
  <c r="N107" i="3"/>
  <c r="M107" i="3"/>
  <c r="N106" i="3"/>
  <c r="M106" i="3"/>
  <c r="I106" i="3"/>
  <c r="H106" i="3"/>
  <c r="G106" i="3"/>
  <c r="N105" i="3"/>
  <c r="M105" i="3"/>
  <c r="I105" i="3"/>
  <c r="H105" i="3"/>
  <c r="G105" i="3"/>
  <c r="N104" i="3"/>
  <c r="M104" i="3"/>
  <c r="I104" i="3"/>
  <c r="H104" i="3"/>
  <c r="G104" i="3"/>
  <c r="N103" i="3"/>
  <c r="M103" i="3"/>
  <c r="I103" i="3"/>
  <c r="H103" i="3"/>
  <c r="G103" i="3"/>
  <c r="N102" i="3"/>
  <c r="M102" i="3"/>
  <c r="I102" i="3"/>
  <c r="H102" i="3"/>
  <c r="G102" i="3"/>
  <c r="N101" i="3"/>
  <c r="M101" i="3"/>
  <c r="I101" i="3"/>
  <c r="H101" i="3"/>
  <c r="G101" i="3"/>
  <c r="N100" i="3"/>
  <c r="M100" i="3"/>
  <c r="I100" i="3"/>
  <c r="H100" i="3"/>
  <c r="G100" i="3"/>
  <c r="N99" i="3"/>
  <c r="M99" i="3"/>
  <c r="N98" i="3"/>
  <c r="M98" i="3"/>
  <c r="I98" i="3"/>
  <c r="H98" i="3"/>
  <c r="G98" i="3"/>
  <c r="N97" i="3"/>
  <c r="M97" i="3"/>
  <c r="I97" i="3"/>
  <c r="H97" i="3"/>
  <c r="G97" i="3"/>
  <c r="N96" i="3"/>
  <c r="M96" i="3"/>
  <c r="I96" i="3"/>
  <c r="H96" i="3"/>
  <c r="G96" i="3"/>
  <c r="N95" i="3"/>
  <c r="M95" i="3"/>
  <c r="I95" i="3"/>
  <c r="H95" i="3"/>
  <c r="G95" i="3"/>
  <c r="N94" i="3"/>
  <c r="M94" i="3"/>
  <c r="I94" i="3"/>
  <c r="H94" i="3"/>
  <c r="G94" i="3"/>
  <c r="N93" i="3"/>
  <c r="M93" i="3"/>
  <c r="I93" i="3"/>
  <c r="H93" i="3"/>
  <c r="G93" i="3"/>
  <c r="N92" i="3"/>
  <c r="M92" i="3"/>
  <c r="I92" i="3"/>
  <c r="H92" i="3"/>
  <c r="G92" i="3"/>
  <c r="N91" i="3"/>
  <c r="M91" i="3"/>
  <c r="N90" i="3"/>
  <c r="M90" i="3"/>
  <c r="I90" i="3"/>
  <c r="H90" i="3"/>
  <c r="G90" i="3"/>
  <c r="N89" i="3"/>
  <c r="M89" i="3"/>
  <c r="I89" i="3"/>
  <c r="H89" i="3"/>
  <c r="G89" i="3"/>
  <c r="N88" i="3"/>
  <c r="M88" i="3"/>
  <c r="I88" i="3"/>
  <c r="H88" i="3"/>
  <c r="G88" i="3"/>
  <c r="N87" i="3"/>
  <c r="M87" i="3"/>
  <c r="I87" i="3"/>
  <c r="H87" i="3"/>
  <c r="G87" i="3"/>
  <c r="N86" i="3"/>
  <c r="M86" i="3"/>
  <c r="I86" i="3"/>
  <c r="H86" i="3"/>
  <c r="G86" i="3"/>
  <c r="N85" i="3"/>
  <c r="M85" i="3"/>
  <c r="I85" i="3"/>
  <c r="H85" i="3"/>
  <c r="G85" i="3"/>
  <c r="N84" i="3"/>
  <c r="M84" i="3"/>
  <c r="I84" i="3"/>
  <c r="H84" i="3"/>
  <c r="G84" i="3"/>
  <c r="N83" i="3"/>
  <c r="M83" i="3"/>
  <c r="N82" i="3"/>
  <c r="M82" i="3"/>
  <c r="I82" i="3"/>
  <c r="H82" i="3"/>
  <c r="G82" i="3"/>
  <c r="N81" i="3"/>
  <c r="M81" i="3"/>
  <c r="I81" i="3"/>
  <c r="H81" i="3"/>
  <c r="G81" i="3"/>
  <c r="N80" i="3"/>
  <c r="M80" i="3"/>
  <c r="I80" i="3"/>
  <c r="H80" i="3"/>
  <c r="G80" i="3"/>
  <c r="N79" i="3"/>
  <c r="M79" i="3"/>
  <c r="I79" i="3"/>
  <c r="H79" i="3"/>
  <c r="G79" i="3"/>
  <c r="N78" i="3"/>
  <c r="M78" i="3"/>
  <c r="I78" i="3"/>
  <c r="H78" i="3"/>
  <c r="G78" i="3"/>
  <c r="N77" i="3"/>
  <c r="M77" i="3"/>
  <c r="I77" i="3"/>
  <c r="H77" i="3"/>
  <c r="G77" i="3"/>
  <c r="N76" i="3"/>
  <c r="M76" i="3"/>
  <c r="I76" i="3"/>
  <c r="H76" i="3"/>
  <c r="G76" i="3"/>
  <c r="N75" i="3"/>
  <c r="M75" i="3"/>
  <c r="N74" i="3"/>
  <c r="M74" i="3"/>
  <c r="I74" i="3"/>
  <c r="H74" i="3"/>
  <c r="G74" i="3"/>
  <c r="N73" i="3"/>
  <c r="M73" i="3"/>
  <c r="I73" i="3"/>
  <c r="H73" i="3"/>
  <c r="G73" i="3"/>
  <c r="N72" i="3"/>
  <c r="M72" i="3"/>
  <c r="I72" i="3"/>
  <c r="H72" i="3"/>
  <c r="G72" i="3"/>
  <c r="N71" i="3"/>
  <c r="M71" i="3"/>
  <c r="I71" i="3"/>
  <c r="H71" i="3"/>
  <c r="G71" i="3"/>
  <c r="N70" i="3"/>
  <c r="M70" i="3"/>
  <c r="I70" i="3"/>
  <c r="H70" i="3"/>
  <c r="G70" i="3"/>
  <c r="N69" i="3"/>
  <c r="M69" i="3"/>
  <c r="I69" i="3"/>
  <c r="H69" i="3"/>
  <c r="G69" i="3"/>
  <c r="N68" i="3"/>
  <c r="M68" i="3"/>
  <c r="I68" i="3"/>
  <c r="H68" i="3"/>
  <c r="G68" i="3"/>
  <c r="N67" i="3"/>
  <c r="M67" i="3"/>
  <c r="N66" i="3"/>
  <c r="M66" i="3"/>
  <c r="I66" i="3"/>
  <c r="H66" i="3"/>
  <c r="G66" i="3"/>
  <c r="N65" i="3"/>
  <c r="M65" i="3"/>
  <c r="I65" i="3"/>
  <c r="H65" i="3"/>
  <c r="G65" i="3"/>
  <c r="N64" i="3"/>
  <c r="M64" i="3"/>
  <c r="I64" i="3"/>
  <c r="H64" i="3"/>
  <c r="G64" i="3"/>
  <c r="N63" i="3"/>
  <c r="M63" i="3"/>
  <c r="I63" i="3"/>
  <c r="H63" i="3"/>
  <c r="G63" i="3"/>
  <c r="N62" i="3"/>
  <c r="M62" i="3"/>
  <c r="I62" i="3"/>
  <c r="H62" i="3"/>
  <c r="G62" i="3"/>
  <c r="N61" i="3"/>
  <c r="M61" i="3"/>
  <c r="I61" i="3"/>
  <c r="H61" i="3"/>
  <c r="G61" i="3"/>
  <c r="N60" i="3"/>
  <c r="M60" i="3"/>
  <c r="I60" i="3"/>
  <c r="H60" i="3"/>
  <c r="G60" i="3"/>
  <c r="N59" i="3"/>
  <c r="M59" i="3"/>
  <c r="N58" i="3"/>
  <c r="M58" i="3"/>
  <c r="H58" i="3"/>
  <c r="N57" i="3"/>
  <c r="M57" i="3"/>
  <c r="N56" i="3"/>
  <c r="M56" i="3"/>
  <c r="H56" i="3"/>
  <c r="N55" i="3"/>
  <c r="M55" i="3"/>
  <c r="N54" i="3"/>
  <c r="M54" i="3"/>
  <c r="H54" i="3"/>
  <c r="N53" i="3"/>
  <c r="M53" i="3"/>
  <c r="N52" i="3"/>
  <c r="M52" i="3"/>
  <c r="H52" i="3"/>
  <c r="N51" i="3"/>
  <c r="M51" i="3"/>
  <c r="I51" i="3"/>
  <c r="I58" i="3" s="1"/>
  <c r="H51" i="3"/>
  <c r="H57" i="3" s="1"/>
  <c r="N49" i="3"/>
  <c r="M49" i="3"/>
  <c r="N48" i="3"/>
  <c r="M48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I41" i="3"/>
  <c r="G41" i="3"/>
  <c r="N40" i="3"/>
  <c r="M40" i="3"/>
  <c r="I40" i="3"/>
  <c r="G40" i="3"/>
  <c r="N39" i="3"/>
  <c r="M39" i="3"/>
  <c r="I39" i="3"/>
  <c r="G39" i="3"/>
  <c r="N38" i="3"/>
  <c r="M38" i="3"/>
  <c r="I38" i="3"/>
  <c r="G38" i="3"/>
  <c r="N37" i="3"/>
  <c r="M37" i="3"/>
  <c r="I37" i="3"/>
  <c r="G37" i="3"/>
  <c r="N36" i="3"/>
  <c r="M36" i="3"/>
  <c r="I36" i="3"/>
  <c r="G36" i="3"/>
  <c r="N35" i="3"/>
  <c r="M35" i="3"/>
  <c r="I35" i="3"/>
  <c r="G35" i="3"/>
  <c r="N34" i="3"/>
  <c r="M34" i="3"/>
  <c r="H34" i="3"/>
  <c r="H35" i="3" s="1"/>
  <c r="M33" i="3"/>
  <c r="N32" i="3"/>
  <c r="M32" i="3"/>
  <c r="G32" i="3"/>
  <c r="N31" i="3"/>
  <c r="M31" i="3"/>
  <c r="G31" i="3"/>
  <c r="N30" i="3"/>
  <c r="M30" i="3"/>
  <c r="G30" i="3"/>
  <c r="N29" i="3"/>
  <c r="M29" i="3"/>
  <c r="G29" i="3"/>
  <c r="N28" i="3"/>
  <c r="M28" i="3"/>
  <c r="G28" i="3"/>
  <c r="N27" i="3"/>
  <c r="M27" i="3"/>
  <c r="G27" i="3"/>
  <c r="N26" i="3"/>
  <c r="M26" i="3"/>
  <c r="H26" i="3"/>
  <c r="G26" i="3"/>
  <c r="N25" i="3"/>
  <c r="M25" i="3"/>
  <c r="I25" i="3"/>
  <c r="I32" i="3" s="1"/>
  <c r="H25" i="3"/>
  <c r="H29" i="3" s="1"/>
  <c r="E24" i="3"/>
  <c r="N23" i="3"/>
  <c r="M23" i="3"/>
  <c r="N22" i="3"/>
  <c r="M22" i="3"/>
  <c r="N21" i="3"/>
  <c r="M21" i="3"/>
  <c r="N20" i="3"/>
  <c r="M20" i="3"/>
  <c r="N19" i="3"/>
  <c r="M19" i="3"/>
  <c r="N18" i="3"/>
  <c r="M18" i="3"/>
  <c r="N17" i="3"/>
  <c r="M17" i="3"/>
  <c r="N16" i="3"/>
  <c r="M16" i="3"/>
  <c r="N367" i="2"/>
  <c r="M367" i="2"/>
  <c r="N366" i="2"/>
  <c r="M366" i="2"/>
  <c r="N365" i="2"/>
  <c r="M365" i="2"/>
  <c r="N364" i="2"/>
  <c r="M364" i="2"/>
  <c r="N363" i="2"/>
  <c r="M363" i="2"/>
  <c r="N362" i="2"/>
  <c r="M362" i="2"/>
  <c r="N361" i="2"/>
  <c r="M361" i="2"/>
  <c r="N360" i="2"/>
  <c r="M360" i="2"/>
  <c r="N359" i="2"/>
  <c r="M359" i="2"/>
  <c r="N358" i="2"/>
  <c r="M358" i="2"/>
  <c r="N357" i="2"/>
  <c r="M357" i="2"/>
  <c r="N356" i="2"/>
  <c r="M356" i="2"/>
  <c r="N355" i="2"/>
  <c r="M355" i="2"/>
  <c r="N354" i="2"/>
  <c r="M354" i="2"/>
  <c r="N353" i="2"/>
  <c r="M353" i="2"/>
  <c r="N352" i="2"/>
  <c r="M352" i="2"/>
  <c r="N351" i="2"/>
  <c r="M351" i="2"/>
  <c r="N350" i="2"/>
  <c r="M350" i="2"/>
  <c r="N349" i="2"/>
  <c r="M349" i="2"/>
  <c r="N348" i="2"/>
  <c r="M348" i="2"/>
  <c r="N347" i="2"/>
  <c r="M347" i="2"/>
  <c r="N346" i="2"/>
  <c r="M346" i="2"/>
  <c r="N345" i="2"/>
  <c r="M345" i="2"/>
  <c r="N344" i="2"/>
  <c r="M344" i="2"/>
  <c r="N343" i="2"/>
  <c r="M343" i="2"/>
  <c r="N342" i="2"/>
  <c r="M342" i="2"/>
  <c r="N341" i="2"/>
  <c r="M341" i="2"/>
  <c r="N340" i="2"/>
  <c r="M340" i="2"/>
  <c r="N339" i="2"/>
  <c r="M339" i="2"/>
  <c r="N338" i="2"/>
  <c r="M338" i="2"/>
  <c r="N337" i="2"/>
  <c r="M337" i="2"/>
  <c r="N336" i="2"/>
  <c r="M336" i="2"/>
  <c r="N335" i="2"/>
  <c r="M335" i="2"/>
  <c r="N334" i="2"/>
  <c r="M334" i="2"/>
  <c r="N333" i="2"/>
  <c r="M333" i="2"/>
  <c r="N332" i="2"/>
  <c r="M332" i="2"/>
  <c r="N331" i="2"/>
  <c r="M331" i="2"/>
  <c r="N330" i="2"/>
  <c r="M330" i="2"/>
  <c r="N329" i="2"/>
  <c r="M329" i="2"/>
  <c r="N328" i="2"/>
  <c r="M328" i="2"/>
  <c r="N327" i="2"/>
  <c r="M327" i="2"/>
  <c r="N326" i="2"/>
  <c r="M326" i="2"/>
  <c r="N325" i="2"/>
  <c r="M325" i="2"/>
  <c r="N324" i="2"/>
  <c r="M324" i="2"/>
  <c r="N323" i="2"/>
  <c r="M323" i="2"/>
  <c r="N322" i="2"/>
  <c r="M322" i="2"/>
  <c r="N321" i="2"/>
  <c r="M321" i="2"/>
  <c r="N320" i="2"/>
  <c r="M320" i="2"/>
  <c r="N319" i="2"/>
  <c r="M319" i="2"/>
  <c r="N318" i="2"/>
  <c r="M318" i="2"/>
  <c r="N317" i="2"/>
  <c r="M317" i="2"/>
  <c r="N316" i="2"/>
  <c r="M316" i="2"/>
  <c r="N315" i="2"/>
  <c r="M315" i="2"/>
  <c r="N314" i="2"/>
  <c r="M314" i="2"/>
  <c r="N313" i="2"/>
  <c r="M313" i="2"/>
  <c r="N312" i="2"/>
  <c r="M312" i="2"/>
  <c r="N311" i="2"/>
  <c r="M311" i="2"/>
  <c r="N310" i="2"/>
  <c r="M310" i="2"/>
  <c r="N309" i="2"/>
  <c r="M309" i="2"/>
  <c r="N308" i="2"/>
  <c r="M308" i="2"/>
  <c r="N307" i="2"/>
  <c r="M307" i="2"/>
  <c r="N306" i="2"/>
  <c r="M306" i="2"/>
  <c r="N305" i="2"/>
  <c r="M305" i="2"/>
  <c r="N304" i="2"/>
  <c r="M304" i="2"/>
  <c r="N303" i="2"/>
  <c r="M303" i="2"/>
  <c r="N302" i="2"/>
  <c r="M302" i="2"/>
  <c r="N301" i="2"/>
  <c r="M301" i="2"/>
  <c r="N300" i="2"/>
  <c r="M300" i="2"/>
  <c r="N299" i="2"/>
  <c r="M299" i="2"/>
  <c r="N298" i="2"/>
  <c r="M298" i="2"/>
  <c r="N297" i="2"/>
  <c r="M297" i="2"/>
  <c r="N296" i="2"/>
  <c r="M296" i="2"/>
  <c r="N295" i="2"/>
  <c r="M295" i="2"/>
  <c r="N294" i="2"/>
  <c r="M294" i="2"/>
  <c r="N293" i="2"/>
  <c r="M293" i="2"/>
  <c r="N292" i="2"/>
  <c r="M292" i="2"/>
  <c r="N291" i="2"/>
  <c r="M291" i="2"/>
  <c r="N290" i="2"/>
  <c r="M290" i="2"/>
  <c r="N289" i="2"/>
  <c r="M289" i="2"/>
  <c r="N288" i="2"/>
  <c r="M288" i="2"/>
  <c r="N287" i="2"/>
  <c r="M287" i="2"/>
  <c r="N286" i="2"/>
  <c r="M286" i="2"/>
  <c r="N285" i="2"/>
  <c r="M285" i="2"/>
  <c r="N284" i="2"/>
  <c r="M284" i="2"/>
  <c r="N283" i="2"/>
  <c r="M283" i="2"/>
  <c r="N282" i="2"/>
  <c r="M282" i="2"/>
  <c r="N281" i="2"/>
  <c r="M281" i="2"/>
  <c r="N280" i="2"/>
  <c r="M280" i="2"/>
  <c r="N279" i="2"/>
  <c r="M279" i="2"/>
  <c r="N278" i="2"/>
  <c r="M278" i="2"/>
  <c r="N277" i="2"/>
  <c r="M277" i="2"/>
  <c r="N276" i="2"/>
  <c r="M276" i="2"/>
  <c r="N275" i="2"/>
  <c r="M275" i="2"/>
  <c r="N274" i="2"/>
  <c r="M274" i="2"/>
  <c r="N273" i="2"/>
  <c r="M273" i="2"/>
  <c r="N272" i="2"/>
  <c r="M272" i="2"/>
  <c r="N267" i="2"/>
  <c r="M267" i="2"/>
  <c r="N266" i="2"/>
  <c r="M266" i="2"/>
  <c r="N265" i="2"/>
  <c r="M265" i="2"/>
  <c r="N264" i="2"/>
  <c r="M264" i="2"/>
  <c r="N263" i="2"/>
  <c r="M263" i="2"/>
  <c r="N262" i="2"/>
  <c r="M262" i="2"/>
  <c r="N261" i="2"/>
  <c r="M261" i="2"/>
  <c r="N260" i="2"/>
  <c r="M260" i="2"/>
  <c r="N259" i="2"/>
  <c r="M259" i="2"/>
  <c r="N258" i="2"/>
  <c r="M258" i="2"/>
  <c r="N257" i="2"/>
  <c r="M257" i="2"/>
  <c r="N256" i="2"/>
  <c r="M256" i="2"/>
  <c r="N255" i="2"/>
  <c r="M255" i="2"/>
  <c r="N254" i="2"/>
  <c r="M254" i="2"/>
  <c r="N253" i="2"/>
  <c r="M253" i="2"/>
  <c r="N252" i="2"/>
  <c r="M252" i="2"/>
  <c r="N251" i="2"/>
  <c r="M251" i="2"/>
  <c r="N250" i="2"/>
  <c r="M250" i="2"/>
  <c r="N249" i="2"/>
  <c r="M249" i="2"/>
  <c r="N248" i="2"/>
  <c r="M248" i="2"/>
  <c r="N247" i="2"/>
  <c r="M247" i="2"/>
  <c r="N246" i="2"/>
  <c r="M246" i="2"/>
  <c r="N245" i="2"/>
  <c r="M245" i="2"/>
  <c r="N244" i="2"/>
  <c r="M244" i="2"/>
  <c r="N243" i="2"/>
  <c r="M243" i="2"/>
  <c r="N242" i="2"/>
  <c r="M242" i="2"/>
  <c r="N241" i="2"/>
  <c r="M241" i="2"/>
  <c r="N240" i="2"/>
  <c r="M240" i="2"/>
  <c r="N239" i="2"/>
  <c r="M239" i="2"/>
  <c r="N238" i="2"/>
  <c r="M238" i="2"/>
  <c r="N237" i="2"/>
  <c r="M237" i="2"/>
  <c r="N236" i="2"/>
  <c r="M236" i="2"/>
  <c r="N235" i="2"/>
  <c r="M235" i="2"/>
  <c r="N234" i="2"/>
  <c r="M234" i="2"/>
  <c r="N233" i="2"/>
  <c r="M233" i="2"/>
  <c r="N232" i="2"/>
  <c r="M232" i="2"/>
  <c r="N231" i="2"/>
  <c r="M231" i="2"/>
  <c r="N230" i="2"/>
  <c r="M230" i="2"/>
  <c r="N229" i="2"/>
  <c r="M229" i="2"/>
  <c r="N228" i="2"/>
  <c r="M228" i="2"/>
  <c r="N227" i="2"/>
  <c r="M227" i="2"/>
  <c r="N226" i="2"/>
  <c r="M226" i="2"/>
  <c r="N225" i="2"/>
  <c r="M225" i="2"/>
  <c r="N224" i="2"/>
  <c r="M224" i="2"/>
  <c r="N223" i="2"/>
  <c r="M223" i="2"/>
  <c r="N222" i="2"/>
  <c r="M222" i="2"/>
  <c r="N221" i="2"/>
  <c r="M221" i="2"/>
  <c r="N220" i="2"/>
  <c r="M220" i="2"/>
  <c r="N219" i="2"/>
  <c r="M219" i="2"/>
  <c r="N218" i="2"/>
  <c r="M218" i="2"/>
  <c r="N217" i="2"/>
  <c r="M217" i="2"/>
  <c r="N216" i="2"/>
  <c r="M216" i="2"/>
  <c r="N215" i="2"/>
  <c r="M215" i="2"/>
  <c r="N214" i="2"/>
  <c r="M214" i="2"/>
  <c r="N213" i="2"/>
  <c r="M213" i="2"/>
  <c r="N212" i="2"/>
  <c r="M212" i="2"/>
  <c r="N211" i="2"/>
  <c r="M211" i="2"/>
  <c r="N210" i="2"/>
  <c r="M210" i="2"/>
  <c r="N209" i="2"/>
  <c r="M209" i="2"/>
  <c r="N208" i="2"/>
  <c r="M208" i="2"/>
  <c r="N207" i="2"/>
  <c r="M207" i="2"/>
  <c r="N206" i="2"/>
  <c r="M206" i="2"/>
  <c r="N205" i="2"/>
  <c r="M205" i="2"/>
  <c r="N204" i="2"/>
  <c r="M204" i="2"/>
  <c r="N203" i="2"/>
  <c r="M203" i="2"/>
  <c r="H203" i="2"/>
  <c r="G203" i="2"/>
  <c r="N202" i="2"/>
  <c r="M202" i="2"/>
  <c r="H202" i="2"/>
  <c r="G202" i="2"/>
  <c r="N201" i="2"/>
  <c r="M201" i="2"/>
  <c r="H201" i="2"/>
  <c r="G201" i="2"/>
  <c r="N200" i="2"/>
  <c r="M200" i="2"/>
  <c r="H200" i="2"/>
  <c r="G200" i="2"/>
  <c r="N199" i="2"/>
  <c r="M199" i="2"/>
  <c r="H199" i="2"/>
  <c r="G199" i="2"/>
  <c r="N198" i="2"/>
  <c r="M198" i="2"/>
  <c r="H198" i="2"/>
  <c r="G198" i="2"/>
  <c r="N197" i="2"/>
  <c r="M197" i="2"/>
  <c r="H197" i="2"/>
  <c r="G197" i="2"/>
  <c r="N196" i="2"/>
  <c r="M196" i="2"/>
  <c r="N195" i="2"/>
  <c r="M195" i="2"/>
  <c r="N194" i="2"/>
  <c r="M194" i="2"/>
  <c r="N193" i="2"/>
  <c r="M193" i="2"/>
  <c r="N192" i="2"/>
  <c r="M192" i="2"/>
  <c r="N191" i="2"/>
  <c r="M191" i="2"/>
  <c r="N190" i="2"/>
  <c r="M190" i="2"/>
  <c r="N189" i="2"/>
  <c r="M189" i="2"/>
  <c r="N188" i="2"/>
  <c r="M188" i="2"/>
  <c r="N187" i="2"/>
  <c r="M187" i="2"/>
  <c r="N186" i="2"/>
  <c r="M186" i="2"/>
  <c r="N185" i="2"/>
  <c r="M185" i="2"/>
  <c r="N184" i="2"/>
  <c r="M184" i="2"/>
  <c r="N183" i="2"/>
  <c r="M183" i="2"/>
  <c r="N182" i="2"/>
  <c r="M182" i="2"/>
  <c r="N181" i="2"/>
  <c r="M181" i="2"/>
  <c r="N180" i="2"/>
  <c r="M180" i="2"/>
  <c r="N179" i="2"/>
  <c r="M179" i="2"/>
  <c r="N178" i="2"/>
  <c r="M178" i="2"/>
  <c r="N177" i="2"/>
  <c r="M177" i="2"/>
  <c r="N176" i="2"/>
  <c r="M176" i="2"/>
  <c r="N175" i="2"/>
  <c r="M175" i="2"/>
  <c r="N174" i="2"/>
  <c r="M174" i="2"/>
  <c r="N173" i="2"/>
  <c r="M173" i="2"/>
  <c r="N172" i="2"/>
  <c r="M172" i="2"/>
  <c r="N171" i="2"/>
  <c r="M171" i="2"/>
  <c r="N170" i="2"/>
  <c r="M170" i="2"/>
  <c r="N169" i="2"/>
  <c r="M169" i="2"/>
  <c r="N168" i="2"/>
  <c r="M168" i="2"/>
  <c r="N167" i="2"/>
  <c r="M167" i="2"/>
  <c r="N166" i="2"/>
  <c r="M166" i="2"/>
  <c r="N165" i="2"/>
  <c r="M165" i="2"/>
  <c r="N164" i="2"/>
  <c r="M164" i="2"/>
  <c r="N163" i="2"/>
  <c r="M163" i="2"/>
  <c r="N162" i="2"/>
  <c r="M162" i="2"/>
  <c r="N161" i="2"/>
  <c r="M161" i="2"/>
  <c r="N160" i="2"/>
  <c r="M160" i="2"/>
  <c r="N159" i="2"/>
  <c r="M159" i="2"/>
  <c r="N158" i="2"/>
  <c r="M158" i="2"/>
  <c r="N157" i="2"/>
  <c r="M157" i="2"/>
  <c r="N156" i="2"/>
  <c r="M156" i="2"/>
  <c r="N155" i="2"/>
  <c r="M155" i="2"/>
  <c r="N154" i="2"/>
  <c r="M154" i="2"/>
  <c r="N153" i="2"/>
  <c r="M153" i="2"/>
  <c r="N152" i="2"/>
  <c r="M152" i="2"/>
  <c r="N151" i="2"/>
  <c r="M151" i="2"/>
  <c r="N150" i="2"/>
  <c r="M150" i="2"/>
  <c r="N149" i="2"/>
  <c r="M149" i="2"/>
  <c r="N148" i="2"/>
  <c r="M148" i="2"/>
  <c r="N147" i="2"/>
  <c r="M147" i="2"/>
  <c r="N146" i="2"/>
  <c r="M146" i="2"/>
  <c r="N145" i="2"/>
  <c r="M145" i="2"/>
  <c r="N144" i="2"/>
  <c r="M144" i="2"/>
  <c r="N143" i="2"/>
  <c r="M143" i="2"/>
  <c r="N142" i="2"/>
  <c r="M142" i="2"/>
  <c r="N141" i="2"/>
  <c r="M141" i="2"/>
  <c r="N140" i="2"/>
  <c r="M140" i="2"/>
  <c r="N139" i="2"/>
  <c r="M139" i="2"/>
  <c r="N138" i="2"/>
  <c r="M138" i="2"/>
  <c r="N137" i="2"/>
  <c r="M137" i="2"/>
  <c r="N136" i="2"/>
  <c r="M136" i="2"/>
  <c r="N135" i="2"/>
  <c r="M135" i="2"/>
  <c r="N134" i="2"/>
  <c r="M134" i="2"/>
  <c r="N133" i="2"/>
  <c r="M133" i="2"/>
  <c r="N132" i="2"/>
  <c r="M132" i="2"/>
  <c r="N131" i="2"/>
  <c r="M131" i="2"/>
  <c r="H131" i="2"/>
  <c r="G131" i="2"/>
  <c r="N130" i="2"/>
  <c r="M130" i="2"/>
  <c r="H130" i="2"/>
  <c r="G130" i="2"/>
  <c r="N129" i="2"/>
  <c r="M129" i="2"/>
  <c r="H129" i="2"/>
  <c r="G129" i="2"/>
  <c r="N128" i="2"/>
  <c r="M128" i="2"/>
  <c r="H128" i="2"/>
  <c r="G128" i="2"/>
  <c r="N127" i="2"/>
  <c r="M127" i="2"/>
  <c r="H127" i="2"/>
  <c r="G127" i="2"/>
  <c r="N126" i="2"/>
  <c r="M126" i="2"/>
  <c r="H126" i="2"/>
  <c r="G126" i="2"/>
  <c r="N125" i="2"/>
  <c r="M125" i="2"/>
  <c r="H125" i="2"/>
  <c r="G125" i="2"/>
  <c r="N124" i="2"/>
  <c r="M124" i="2"/>
  <c r="N123" i="2"/>
  <c r="M123" i="2"/>
  <c r="N122" i="2"/>
  <c r="M122" i="2"/>
  <c r="N121" i="2"/>
  <c r="M121" i="2"/>
  <c r="N120" i="2"/>
  <c r="M120" i="2"/>
  <c r="N119" i="2"/>
  <c r="M119" i="2"/>
  <c r="N118" i="2"/>
  <c r="M118" i="2"/>
  <c r="N117" i="2"/>
  <c r="M117" i="2"/>
  <c r="N116" i="2"/>
  <c r="M116" i="2"/>
  <c r="N114" i="2"/>
  <c r="M114" i="2"/>
  <c r="I114" i="2"/>
  <c r="G114" i="2"/>
  <c r="N113" i="2"/>
  <c r="M113" i="2"/>
  <c r="I113" i="2"/>
  <c r="G113" i="2"/>
  <c r="N112" i="2"/>
  <c r="M112" i="2"/>
  <c r="I112" i="2"/>
  <c r="G112" i="2"/>
  <c r="N111" i="2"/>
  <c r="M111" i="2"/>
  <c r="I111" i="2"/>
  <c r="G111" i="2"/>
  <c r="N110" i="2"/>
  <c r="M110" i="2"/>
  <c r="I110" i="2"/>
  <c r="G110" i="2"/>
  <c r="N109" i="2"/>
  <c r="M109" i="2"/>
  <c r="I109" i="2"/>
  <c r="G109" i="2"/>
  <c r="N108" i="2"/>
  <c r="M108" i="2"/>
  <c r="I108" i="2"/>
  <c r="G108" i="2"/>
  <c r="N107" i="2"/>
  <c r="M107" i="2"/>
  <c r="N106" i="2"/>
  <c r="M106" i="2"/>
  <c r="I106" i="2"/>
  <c r="H106" i="2"/>
  <c r="G106" i="2"/>
  <c r="N105" i="2"/>
  <c r="M105" i="2"/>
  <c r="I105" i="2"/>
  <c r="H105" i="2"/>
  <c r="G105" i="2"/>
  <c r="N104" i="2"/>
  <c r="M104" i="2"/>
  <c r="I104" i="2"/>
  <c r="H104" i="2"/>
  <c r="G104" i="2"/>
  <c r="N103" i="2"/>
  <c r="M103" i="2"/>
  <c r="I103" i="2"/>
  <c r="H103" i="2"/>
  <c r="G103" i="2"/>
  <c r="N102" i="2"/>
  <c r="M102" i="2"/>
  <c r="I102" i="2"/>
  <c r="H102" i="2"/>
  <c r="G102" i="2"/>
  <c r="N101" i="2"/>
  <c r="M101" i="2"/>
  <c r="I101" i="2"/>
  <c r="H101" i="2"/>
  <c r="G101" i="2"/>
  <c r="N100" i="2"/>
  <c r="M100" i="2"/>
  <c r="I100" i="2"/>
  <c r="H100" i="2"/>
  <c r="G100" i="2"/>
  <c r="N99" i="2"/>
  <c r="M99" i="2"/>
  <c r="N98" i="2"/>
  <c r="M98" i="2"/>
  <c r="I98" i="2"/>
  <c r="H98" i="2"/>
  <c r="G98" i="2"/>
  <c r="N97" i="2"/>
  <c r="M97" i="2"/>
  <c r="I97" i="2"/>
  <c r="H97" i="2"/>
  <c r="G97" i="2"/>
  <c r="N96" i="2"/>
  <c r="M96" i="2"/>
  <c r="I96" i="2"/>
  <c r="H96" i="2"/>
  <c r="G96" i="2"/>
  <c r="N95" i="2"/>
  <c r="M95" i="2"/>
  <c r="I95" i="2"/>
  <c r="H95" i="2"/>
  <c r="G95" i="2"/>
  <c r="N94" i="2"/>
  <c r="M94" i="2"/>
  <c r="I94" i="2"/>
  <c r="H94" i="2"/>
  <c r="G94" i="2"/>
  <c r="N93" i="2"/>
  <c r="M93" i="2"/>
  <c r="I93" i="2"/>
  <c r="H93" i="2"/>
  <c r="G93" i="2"/>
  <c r="N92" i="2"/>
  <c r="M92" i="2"/>
  <c r="I92" i="2"/>
  <c r="H92" i="2"/>
  <c r="G92" i="2"/>
  <c r="N91" i="2"/>
  <c r="M91" i="2"/>
  <c r="N90" i="2"/>
  <c r="M90" i="2"/>
  <c r="I90" i="2"/>
  <c r="H90" i="2"/>
  <c r="G90" i="2"/>
  <c r="N89" i="2"/>
  <c r="M89" i="2"/>
  <c r="I89" i="2"/>
  <c r="H89" i="2"/>
  <c r="G89" i="2"/>
  <c r="N88" i="2"/>
  <c r="M88" i="2"/>
  <c r="I88" i="2"/>
  <c r="H88" i="2"/>
  <c r="G88" i="2"/>
  <c r="N87" i="2"/>
  <c r="M87" i="2"/>
  <c r="I87" i="2"/>
  <c r="H87" i="2"/>
  <c r="G87" i="2"/>
  <c r="N86" i="2"/>
  <c r="M86" i="2"/>
  <c r="I86" i="2"/>
  <c r="H86" i="2"/>
  <c r="G86" i="2"/>
  <c r="N85" i="2"/>
  <c r="M85" i="2"/>
  <c r="I85" i="2"/>
  <c r="H85" i="2"/>
  <c r="G85" i="2"/>
  <c r="N84" i="2"/>
  <c r="M84" i="2"/>
  <c r="I84" i="2"/>
  <c r="H84" i="2"/>
  <c r="G84" i="2"/>
  <c r="N83" i="2"/>
  <c r="M83" i="2"/>
  <c r="N82" i="2"/>
  <c r="M82" i="2"/>
  <c r="I82" i="2"/>
  <c r="H82" i="2"/>
  <c r="G82" i="2"/>
  <c r="N81" i="2"/>
  <c r="M81" i="2"/>
  <c r="I81" i="2"/>
  <c r="H81" i="2"/>
  <c r="G81" i="2"/>
  <c r="N80" i="2"/>
  <c r="M80" i="2"/>
  <c r="I80" i="2"/>
  <c r="H80" i="2"/>
  <c r="G80" i="2"/>
  <c r="N79" i="2"/>
  <c r="M79" i="2"/>
  <c r="I79" i="2"/>
  <c r="H79" i="2"/>
  <c r="G79" i="2"/>
  <c r="N78" i="2"/>
  <c r="M78" i="2"/>
  <c r="I78" i="2"/>
  <c r="H78" i="2"/>
  <c r="G78" i="2"/>
  <c r="N77" i="2"/>
  <c r="M77" i="2"/>
  <c r="I77" i="2"/>
  <c r="H77" i="2"/>
  <c r="G77" i="2"/>
  <c r="N76" i="2"/>
  <c r="M76" i="2"/>
  <c r="I76" i="2"/>
  <c r="H76" i="2"/>
  <c r="G76" i="2"/>
  <c r="N75" i="2"/>
  <c r="M75" i="2"/>
  <c r="N74" i="2"/>
  <c r="M74" i="2"/>
  <c r="I74" i="2"/>
  <c r="H74" i="2"/>
  <c r="G74" i="2"/>
  <c r="N73" i="2"/>
  <c r="M73" i="2"/>
  <c r="I73" i="2"/>
  <c r="H73" i="2"/>
  <c r="G73" i="2"/>
  <c r="N72" i="2"/>
  <c r="M72" i="2"/>
  <c r="I72" i="2"/>
  <c r="H72" i="2"/>
  <c r="G72" i="2"/>
  <c r="N71" i="2"/>
  <c r="M71" i="2"/>
  <c r="I71" i="2"/>
  <c r="H71" i="2"/>
  <c r="G71" i="2"/>
  <c r="N70" i="2"/>
  <c r="M70" i="2"/>
  <c r="I70" i="2"/>
  <c r="H70" i="2"/>
  <c r="G70" i="2"/>
  <c r="N69" i="2"/>
  <c r="M69" i="2"/>
  <c r="I69" i="2"/>
  <c r="H69" i="2"/>
  <c r="G69" i="2"/>
  <c r="N68" i="2"/>
  <c r="M68" i="2"/>
  <c r="I68" i="2"/>
  <c r="H68" i="2"/>
  <c r="G68" i="2"/>
  <c r="N67" i="2"/>
  <c r="M67" i="2"/>
  <c r="N66" i="2"/>
  <c r="M66" i="2"/>
  <c r="I66" i="2"/>
  <c r="H66" i="2"/>
  <c r="G66" i="2"/>
  <c r="N65" i="2"/>
  <c r="M65" i="2"/>
  <c r="I65" i="2"/>
  <c r="H65" i="2"/>
  <c r="G65" i="2"/>
  <c r="N64" i="2"/>
  <c r="M64" i="2"/>
  <c r="I64" i="2"/>
  <c r="H64" i="2"/>
  <c r="G64" i="2"/>
  <c r="N63" i="2"/>
  <c r="M63" i="2"/>
  <c r="I63" i="2"/>
  <c r="H63" i="2"/>
  <c r="G63" i="2"/>
  <c r="N62" i="2"/>
  <c r="M62" i="2"/>
  <c r="I62" i="2"/>
  <c r="H62" i="2"/>
  <c r="G62" i="2"/>
  <c r="N61" i="2"/>
  <c r="M61" i="2"/>
  <c r="I61" i="2"/>
  <c r="H61" i="2"/>
  <c r="G61" i="2"/>
  <c r="N60" i="2"/>
  <c r="M60" i="2"/>
  <c r="I60" i="2"/>
  <c r="H60" i="2"/>
  <c r="G60" i="2"/>
  <c r="N59" i="2"/>
  <c r="M59" i="2"/>
  <c r="N58" i="2"/>
  <c r="M58" i="2"/>
  <c r="I58" i="2"/>
  <c r="N57" i="2"/>
  <c r="M57" i="2"/>
  <c r="N56" i="2"/>
  <c r="M56" i="2"/>
  <c r="I56" i="2"/>
  <c r="N55" i="2"/>
  <c r="M55" i="2"/>
  <c r="N54" i="2"/>
  <c r="M54" i="2"/>
  <c r="I54" i="2"/>
  <c r="N53" i="2"/>
  <c r="M53" i="2"/>
  <c r="N52" i="2"/>
  <c r="M52" i="2"/>
  <c r="I52" i="2"/>
  <c r="N51" i="2"/>
  <c r="M51" i="2"/>
  <c r="I51" i="2"/>
  <c r="I57" i="2" s="1"/>
  <c r="H51" i="2"/>
  <c r="H55" i="2" s="1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I41" i="2"/>
  <c r="G41" i="2"/>
  <c r="N40" i="2"/>
  <c r="M40" i="2"/>
  <c r="I40" i="2"/>
  <c r="G40" i="2"/>
  <c r="N39" i="2"/>
  <c r="M39" i="2"/>
  <c r="I39" i="2"/>
  <c r="G39" i="2"/>
  <c r="N38" i="2"/>
  <c r="M38" i="2"/>
  <c r="I38" i="2"/>
  <c r="G38" i="2"/>
  <c r="N37" i="2"/>
  <c r="M37" i="2"/>
  <c r="I37" i="2"/>
  <c r="H37" i="2"/>
  <c r="G37" i="2"/>
  <c r="N36" i="2"/>
  <c r="M36" i="2"/>
  <c r="I36" i="2"/>
  <c r="G36" i="2"/>
  <c r="N35" i="2"/>
  <c r="M35" i="2"/>
  <c r="I35" i="2"/>
  <c r="G35" i="2"/>
  <c r="N34" i="2"/>
  <c r="M34" i="2"/>
  <c r="H34" i="2"/>
  <c r="H35" i="2" s="1"/>
  <c r="M33" i="2"/>
  <c r="N32" i="2"/>
  <c r="M32" i="2"/>
  <c r="G32" i="2"/>
  <c r="N31" i="2"/>
  <c r="M31" i="2"/>
  <c r="H31" i="2"/>
  <c r="G31" i="2"/>
  <c r="N30" i="2"/>
  <c r="M30" i="2"/>
  <c r="G30" i="2"/>
  <c r="N29" i="2"/>
  <c r="M29" i="2"/>
  <c r="G29" i="2"/>
  <c r="N28" i="2"/>
  <c r="M28" i="2"/>
  <c r="G28" i="2"/>
  <c r="N27" i="2"/>
  <c r="M27" i="2"/>
  <c r="G27" i="2"/>
  <c r="N26" i="2"/>
  <c r="M26" i="2"/>
  <c r="H26" i="2"/>
  <c r="G26" i="2"/>
  <c r="N25" i="2"/>
  <c r="M25" i="2"/>
  <c r="I25" i="2"/>
  <c r="I32" i="2" s="1"/>
  <c r="H25" i="2"/>
  <c r="H29" i="2" s="1"/>
  <c r="E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H203" i="1"/>
  <c r="G203" i="1"/>
  <c r="N202" i="1"/>
  <c r="M202" i="1"/>
  <c r="H202" i="1"/>
  <c r="G202" i="1"/>
  <c r="N201" i="1"/>
  <c r="M201" i="1"/>
  <c r="H201" i="1"/>
  <c r="G201" i="1"/>
  <c r="N200" i="1"/>
  <c r="M200" i="1"/>
  <c r="H200" i="1"/>
  <c r="G200" i="1"/>
  <c r="N199" i="1"/>
  <c r="M199" i="1"/>
  <c r="H199" i="1"/>
  <c r="G199" i="1"/>
  <c r="N198" i="1"/>
  <c r="M198" i="1"/>
  <c r="H198" i="1"/>
  <c r="G198" i="1"/>
  <c r="N197" i="1"/>
  <c r="M197" i="1"/>
  <c r="H197" i="1"/>
  <c r="G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H131" i="1"/>
  <c r="G131" i="1"/>
  <c r="N130" i="1"/>
  <c r="M130" i="1"/>
  <c r="H130" i="1"/>
  <c r="G130" i="1"/>
  <c r="N129" i="1"/>
  <c r="M129" i="1"/>
  <c r="H129" i="1"/>
  <c r="G129" i="1"/>
  <c r="N128" i="1"/>
  <c r="M128" i="1"/>
  <c r="H128" i="1"/>
  <c r="G128" i="1"/>
  <c r="N127" i="1"/>
  <c r="M127" i="1"/>
  <c r="H127" i="1"/>
  <c r="G127" i="1"/>
  <c r="N126" i="1"/>
  <c r="M126" i="1"/>
  <c r="H126" i="1"/>
  <c r="G126" i="1"/>
  <c r="N125" i="1"/>
  <c r="M125" i="1"/>
  <c r="H125" i="1"/>
  <c r="G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M114" i="1"/>
  <c r="I114" i="1"/>
  <c r="G114" i="1"/>
  <c r="M113" i="1"/>
  <c r="I113" i="1"/>
  <c r="G113" i="1"/>
  <c r="M112" i="1"/>
  <c r="I112" i="1"/>
  <c r="G112" i="1"/>
  <c r="M111" i="1"/>
  <c r="I111" i="1"/>
  <c r="G111" i="1"/>
  <c r="M110" i="1"/>
  <c r="I110" i="1"/>
  <c r="G110" i="1"/>
  <c r="M109" i="1"/>
  <c r="I109" i="1"/>
  <c r="G109" i="1"/>
  <c r="M108" i="1"/>
  <c r="I108" i="1"/>
  <c r="G108" i="1"/>
  <c r="M107" i="1"/>
  <c r="N106" i="1"/>
  <c r="M106" i="1"/>
  <c r="I106" i="1"/>
  <c r="H106" i="1"/>
  <c r="G106" i="1"/>
  <c r="N105" i="1"/>
  <c r="M105" i="1"/>
  <c r="I105" i="1"/>
  <c r="H105" i="1"/>
  <c r="G105" i="1"/>
  <c r="N104" i="1"/>
  <c r="M104" i="1"/>
  <c r="I104" i="1"/>
  <c r="H104" i="1"/>
  <c r="G104" i="1"/>
  <c r="N103" i="1"/>
  <c r="M103" i="1"/>
  <c r="I103" i="1"/>
  <c r="H103" i="1"/>
  <c r="G103" i="1"/>
  <c r="N102" i="1"/>
  <c r="M102" i="1"/>
  <c r="I102" i="1"/>
  <c r="H102" i="1"/>
  <c r="G102" i="1"/>
  <c r="N101" i="1"/>
  <c r="M101" i="1"/>
  <c r="I101" i="1"/>
  <c r="H101" i="1"/>
  <c r="G101" i="1"/>
  <c r="N100" i="1"/>
  <c r="M100" i="1"/>
  <c r="I100" i="1"/>
  <c r="H100" i="1"/>
  <c r="G100" i="1"/>
  <c r="N99" i="1"/>
  <c r="M99" i="1"/>
  <c r="N98" i="1"/>
  <c r="M98" i="1"/>
  <c r="I98" i="1"/>
  <c r="H98" i="1"/>
  <c r="G98" i="1"/>
  <c r="M97" i="1"/>
  <c r="I97" i="1"/>
  <c r="H97" i="1"/>
  <c r="G97" i="1"/>
  <c r="N96" i="1"/>
  <c r="M96" i="1"/>
  <c r="I96" i="1"/>
  <c r="H96" i="1"/>
  <c r="G96" i="1"/>
  <c r="N95" i="1"/>
  <c r="M95" i="1"/>
  <c r="I95" i="1"/>
  <c r="H95" i="1"/>
  <c r="G95" i="1"/>
  <c r="N94" i="1"/>
  <c r="M94" i="1"/>
  <c r="I94" i="1"/>
  <c r="H94" i="1"/>
  <c r="G94" i="1"/>
  <c r="N93" i="1"/>
  <c r="M93" i="1"/>
  <c r="I93" i="1"/>
  <c r="H93" i="1"/>
  <c r="G93" i="1"/>
  <c r="N92" i="1"/>
  <c r="M92" i="1"/>
  <c r="I92" i="1"/>
  <c r="H92" i="1"/>
  <c r="G92" i="1"/>
  <c r="N91" i="1"/>
  <c r="M91" i="1"/>
  <c r="N90" i="1"/>
  <c r="M90" i="1"/>
  <c r="I90" i="1"/>
  <c r="H90" i="1"/>
  <c r="G90" i="1"/>
  <c r="N89" i="1"/>
  <c r="M89" i="1"/>
  <c r="I89" i="1"/>
  <c r="H89" i="1"/>
  <c r="G89" i="1"/>
  <c r="N88" i="1"/>
  <c r="M88" i="1"/>
  <c r="I88" i="1"/>
  <c r="H88" i="1"/>
  <c r="G88" i="1"/>
  <c r="N87" i="1"/>
  <c r="M87" i="1"/>
  <c r="I87" i="1"/>
  <c r="H87" i="1"/>
  <c r="G87" i="1"/>
  <c r="N86" i="1"/>
  <c r="M86" i="1"/>
  <c r="I86" i="1"/>
  <c r="H86" i="1"/>
  <c r="G86" i="1"/>
  <c r="N85" i="1"/>
  <c r="M85" i="1"/>
  <c r="I85" i="1"/>
  <c r="H85" i="1"/>
  <c r="G85" i="1"/>
  <c r="N84" i="1"/>
  <c r="M84" i="1"/>
  <c r="I84" i="1"/>
  <c r="H84" i="1"/>
  <c r="G84" i="1"/>
  <c r="N83" i="1"/>
  <c r="M83" i="1"/>
  <c r="N82" i="1"/>
  <c r="M82" i="1"/>
  <c r="I82" i="1"/>
  <c r="H82" i="1"/>
  <c r="G82" i="1"/>
  <c r="N81" i="1"/>
  <c r="M81" i="1"/>
  <c r="I81" i="1"/>
  <c r="H81" i="1"/>
  <c r="G81" i="1"/>
  <c r="N80" i="1"/>
  <c r="M80" i="1"/>
  <c r="I80" i="1"/>
  <c r="H80" i="1"/>
  <c r="G80" i="1"/>
  <c r="N79" i="1"/>
  <c r="M79" i="1"/>
  <c r="I79" i="1"/>
  <c r="H79" i="1"/>
  <c r="G79" i="1"/>
  <c r="N78" i="1"/>
  <c r="M78" i="1"/>
  <c r="I78" i="1"/>
  <c r="H78" i="1"/>
  <c r="G78" i="1"/>
  <c r="N77" i="1"/>
  <c r="M77" i="1"/>
  <c r="I77" i="1"/>
  <c r="H77" i="1"/>
  <c r="G77" i="1"/>
  <c r="N76" i="1"/>
  <c r="M76" i="1"/>
  <c r="I76" i="1"/>
  <c r="H76" i="1"/>
  <c r="G76" i="1"/>
  <c r="N75" i="1"/>
  <c r="M75" i="1"/>
  <c r="N74" i="1"/>
  <c r="M74" i="1"/>
  <c r="I74" i="1"/>
  <c r="H74" i="1"/>
  <c r="G74" i="1"/>
  <c r="N73" i="1"/>
  <c r="M73" i="1"/>
  <c r="I73" i="1"/>
  <c r="H73" i="1"/>
  <c r="G73" i="1"/>
  <c r="N72" i="1"/>
  <c r="M72" i="1"/>
  <c r="I72" i="1"/>
  <c r="H72" i="1"/>
  <c r="G72" i="1"/>
  <c r="N71" i="1"/>
  <c r="M71" i="1"/>
  <c r="I71" i="1"/>
  <c r="H71" i="1"/>
  <c r="G71" i="1"/>
  <c r="N70" i="1"/>
  <c r="M70" i="1"/>
  <c r="I70" i="1"/>
  <c r="H70" i="1"/>
  <c r="G70" i="1"/>
  <c r="N69" i="1"/>
  <c r="M69" i="1"/>
  <c r="I69" i="1"/>
  <c r="H69" i="1"/>
  <c r="G69" i="1"/>
  <c r="N68" i="1"/>
  <c r="M68" i="1"/>
  <c r="I68" i="1"/>
  <c r="H68" i="1"/>
  <c r="G68" i="1"/>
  <c r="N67" i="1"/>
  <c r="M67" i="1"/>
  <c r="N66" i="1"/>
  <c r="M66" i="1"/>
  <c r="I66" i="1"/>
  <c r="H66" i="1"/>
  <c r="G66" i="1"/>
  <c r="N65" i="1"/>
  <c r="M65" i="1"/>
  <c r="I65" i="1"/>
  <c r="H65" i="1"/>
  <c r="G65" i="1"/>
  <c r="N64" i="1"/>
  <c r="M64" i="1"/>
  <c r="I64" i="1"/>
  <c r="H64" i="1"/>
  <c r="G64" i="1"/>
  <c r="N63" i="1"/>
  <c r="M63" i="1"/>
  <c r="I63" i="1"/>
  <c r="H63" i="1"/>
  <c r="G63" i="1"/>
  <c r="N62" i="1"/>
  <c r="M62" i="1"/>
  <c r="I62" i="1"/>
  <c r="H62" i="1"/>
  <c r="G62" i="1"/>
  <c r="N61" i="1"/>
  <c r="M61" i="1"/>
  <c r="I61" i="1"/>
  <c r="H61" i="1"/>
  <c r="G61" i="1"/>
  <c r="N60" i="1"/>
  <c r="M60" i="1"/>
  <c r="I60" i="1"/>
  <c r="H60" i="1"/>
  <c r="G60" i="1"/>
  <c r="N59" i="1"/>
  <c r="M59" i="1"/>
  <c r="N58" i="1"/>
  <c r="M58" i="1"/>
  <c r="H58" i="1"/>
  <c r="N57" i="1"/>
  <c r="M57" i="1"/>
  <c r="N56" i="1"/>
  <c r="M56" i="1"/>
  <c r="H56" i="1"/>
  <c r="N55" i="1"/>
  <c r="M55" i="1"/>
  <c r="N54" i="1"/>
  <c r="M54" i="1"/>
  <c r="H54" i="1"/>
  <c r="N53" i="1"/>
  <c r="M53" i="1"/>
  <c r="N52" i="1"/>
  <c r="M52" i="1"/>
  <c r="H52" i="1"/>
  <c r="N51" i="1"/>
  <c r="M51" i="1"/>
  <c r="I51" i="1"/>
  <c r="I53" i="1" s="1"/>
  <c r="H51" i="1"/>
  <c r="H57" i="1" s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M41" i="1"/>
  <c r="I41" i="1"/>
  <c r="G41" i="1"/>
  <c r="M40" i="1"/>
  <c r="I40" i="1"/>
  <c r="G40" i="1"/>
  <c r="M39" i="1"/>
  <c r="I39" i="1"/>
  <c r="G39" i="1"/>
  <c r="M38" i="1"/>
  <c r="I38" i="1"/>
  <c r="G38" i="1"/>
  <c r="M37" i="1"/>
  <c r="I37" i="1"/>
  <c r="G37" i="1"/>
  <c r="M36" i="1"/>
  <c r="I36" i="1"/>
  <c r="G36" i="1"/>
  <c r="M35" i="1"/>
  <c r="I35" i="1"/>
  <c r="G35" i="1"/>
  <c r="M34" i="1"/>
  <c r="H34" i="1"/>
  <c r="H38" i="1" s="1"/>
  <c r="M33" i="1"/>
  <c r="N32" i="1"/>
  <c r="M32" i="1"/>
  <c r="G32" i="1"/>
  <c r="N31" i="1"/>
  <c r="M31" i="1"/>
  <c r="G31" i="1"/>
  <c r="N30" i="1"/>
  <c r="M30" i="1"/>
  <c r="H30" i="1"/>
  <c r="G30" i="1"/>
  <c r="N29" i="1"/>
  <c r="M29" i="1"/>
  <c r="H29" i="1"/>
  <c r="G29" i="1"/>
  <c r="N28" i="1"/>
  <c r="M28" i="1"/>
  <c r="H28" i="1"/>
  <c r="G28" i="1"/>
  <c r="N27" i="1"/>
  <c r="M27" i="1"/>
  <c r="H27" i="1"/>
  <c r="G27" i="1"/>
  <c r="N26" i="1"/>
  <c r="M26" i="1"/>
  <c r="H26" i="1"/>
  <c r="G26" i="1"/>
  <c r="N25" i="1"/>
  <c r="M25" i="1"/>
  <c r="I25" i="1"/>
  <c r="I32" i="1" s="1"/>
  <c r="H25" i="1"/>
  <c r="H32" i="1" s="1"/>
  <c r="E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I54" i="4" l="1"/>
  <c r="I52" i="4"/>
  <c r="I58" i="4"/>
  <c r="I56" i="4"/>
  <c r="H40" i="4"/>
  <c r="I29" i="4"/>
  <c r="H41" i="4"/>
  <c r="I30" i="4"/>
  <c r="H40" i="3"/>
  <c r="I29" i="3"/>
  <c r="H40" i="1"/>
  <c r="H35" i="1"/>
  <c r="H41" i="1"/>
  <c r="I29" i="1"/>
  <c r="I31" i="1"/>
  <c r="H36" i="1"/>
  <c r="I27" i="2"/>
  <c r="I29" i="2"/>
  <c r="H40" i="2"/>
  <c r="I26" i="2"/>
  <c r="I28" i="2"/>
  <c r="I30" i="2"/>
  <c r="I26" i="4"/>
  <c r="H31" i="4"/>
  <c r="H37" i="4"/>
  <c r="H53" i="4"/>
  <c r="H55" i="4"/>
  <c r="H28" i="4"/>
  <c r="I31" i="4"/>
  <c r="I53" i="4"/>
  <c r="I55" i="4"/>
  <c r="I28" i="4"/>
  <c r="H39" i="4"/>
  <c r="H30" i="4"/>
  <c r="H36" i="4"/>
  <c r="I27" i="4"/>
  <c r="H32" i="4"/>
  <c r="H38" i="4"/>
  <c r="I26" i="3"/>
  <c r="H31" i="3"/>
  <c r="H37" i="3"/>
  <c r="H53" i="3"/>
  <c r="H55" i="3"/>
  <c r="H28" i="3"/>
  <c r="I31" i="3"/>
  <c r="I53" i="3"/>
  <c r="I55" i="3"/>
  <c r="I57" i="3"/>
  <c r="I28" i="3"/>
  <c r="H39" i="3"/>
  <c r="H30" i="3"/>
  <c r="H36" i="3"/>
  <c r="H27" i="3"/>
  <c r="I30" i="3"/>
  <c r="H41" i="3"/>
  <c r="I27" i="3"/>
  <c r="H32" i="3"/>
  <c r="H38" i="3"/>
  <c r="I52" i="3"/>
  <c r="I54" i="3"/>
  <c r="I56" i="3"/>
  <c r="H28" i="2"/>
  <c r="I31" i="2"/>
  <c r="I53" i="2"/>
  <c r="I55" i="2"/>
  <c r="H57" i="2"/>
  <c r="H39" i="2"/>
  <c r="H30" i="2"/>
  <c r="H36" i="2"/>
  <c r="H27" i="2"/>
  <c r="H41" i="2"/>
  <c r="H52" i="2"/>
  <c r="H54" i="2"/>
  <c r="H56" i="2"/>
  <c r="H58" i="2"/>
  <c r="H53" i="2"/>
  <c r="H32" i="2"/>
  <c r="H38" i="2"/>
  <c r="I26" i="1"/>
  <c r="H31" i="1"/>
  <c r="H37" i="1"/>
  <c r="H53" i="1"/>
  <c r="H55" i="1"/>
  <c r="I55" i="1"/>
  <c r="I28" i="1"/>
  <c r="H39" i="1"/>
  <c r="I30" i="1"/>
  <c r="I57" i="1"/>
  <c r="I27" i="1"/>
  <c r="I52" i="1"/>
  <c r="I54" i="1"/>
  <c r="I56" i="1"/>
  <c r="I58" i="1"/>
</calcChain>
</file>

<file path=xl/sharedStrings.xml><?xml version="1.0" encoding="utf-8"?>
<sst xmlns="http://schemas.openxmlformats.org/spreadsheetml/2006/main" count="6099" uniqueCount="317">
  <si>
    <t>TỔNG CÔNG TY CÔNG NGHIỆP CÔNG NGHỆ CAO VIETTEL</t>
  </si>
  <si>
    <t>Mã dự án:</t>
  </si>
  <si>
    <t>KHỐI 2 - TRUNG TÂM NGHIÊN CỨU THIẾT BỊ VÔ TUYẾN BĂNG RỘNG</t>
  </si>
  <si>
    <t>Tài liệu HDĐK:</t>
  </si>
  <si>
    <t xml:space="preserve">Mã sản phẩm: </t>
  </si>
  <si>
    <t>PHIẾU ĐO KIỂM</t>
  </si>
  <si>
    <t>Mã mẫu:</t>
  </si>
  <si>
    <t>32T32R</t>
  </si>
  <si>
    <t>Thông tin về máy đo, dụng cụ đo</t>
  </si>
  <si>
    <t>VSA:</t>
  </si>
  <si>
    <t>N9020A</t>
  </si>
  <si>
    <t>S/N:</t>
  </si>
  <si>
    <t>Hạn kiểm định:</t>
  </si>
  <si>
    <t>VSG:</t>
  </si>
  <si>
    <t>N5182B</t>
  </si>
  <si>
    <t>MY57300543</t>
  </si>
  <si>
    <t>BBU:</t>
  </si>
  <si>
    <t>Type:</t>
  </si>
  <si>
    <t>Xeon D</t>
  </si>
  <si>
    <t>FW Version:</t>
  </si>
  <si>
    <t>RRU:</t>
  </si>
  <si>
    <t>ID. No.:</t>
  </si>
  <si>
    <t>2.12.10</t>
  </si>
  <si>
    <t>FREQ (MHz)</t>
  </si>
  <si>
    <t>2550</t>
  </si>
  <si>
    <t>100</t>
  </si>
  <si>
    <t>FPGA Version:</t>
  </si>
  <si>
    <t>Thông tin điều kiện thực hiện</t>
  </si>
  <si>
    <t>Địa điểm:</t>
  </si>
  <si>
    <t>Phòng Lab EnodeB, tầng 13, Tòa nhà Viettel Hòa Lạc</t>
  </si>
  <si>
    <t xml:space="preserve">Môi trường: </t>
  </si>
  <si>
    <t>Phòng LAB</t>
  </si>
  <si>
    <t>Nhiệt độ:</t>
  </si>
  <si>
    <t>Độ ẩm:</t>
  </si>
  <si>
    <t>Thời gian:</t>
  </si>
  <si>
    <t>Từ:</t>
  </si>
  <si>
    <t>Đến:</t>
  </si>
  <si>
    <t>Tổng thời gian:</t>
  </si>
  <si>
    <t>STT</t>
  </si>
  <si>
    <t>THAM SỐ ĐO ĐẠC</t>
  </si>
  <si>
    <t>ĐƠN VỊ</t>
  </si>
  <si>
    <t>GIÁ TRỊ YÊU CẦU</t>
  </si>
  <si>
    <t>GIÁ TRỊ ĐO</t>
  </si>
  <si>
    <t>TIÊU CHUẨN THAM CHIẾU</t>
  </si>
  <si>
    <t>ĐÁNH GIÁ</t>
  </si>
  <si>
    <t>GHI CHÚ</t>
  </si>
  <si>
    <t>NR-TM</t>
  </si>
  <si>
    <t>SPECS</t>
  </si>
  <si>
    <t>MIN</t>
  </si>
  <si>
    <t>MAX</t>
  </si>
  <si>
    <t>I</t>
  </si>
  <si>
    <t xml:space="preserve">Conducted Transmitter Characteristics </t>
  </si>
  <si>
    <t>dBm</t>
  </si>
  <si>
    <t>TM1.1</t>
  </si>
  <si>
    <t>40</t>
  </si>
  <si>
    <t>37.3</t>
  </si>
  <si>
    <t>42.7</t>
  </si>
  <si>
    <t>PORT1</t>
  </si>
  <si>
    <t>TS 38.141 / Chapter 6.2: Base station output power</t>
  </si>
  <si>
    <t>PORT2</t>
  </si>
  <si>
    <t>PORT3</t>
  </si>
  <si>
    <t>PORT4</t>
  </si>
  <si>
    <t>PORT5</t>
  </si>
  <si>
    <t>PORT6</t>
  </si>
  <si>
    <t>PORT7</t>
  </si>
  <si>
    <t>PORT8</t>
  </si>
  <si>
    <t>Output Power Dynamic</t>
  </si>
  <si>
    <t>1.2</t>
  </si>
  <si>
    <t>dB</t>
  </si>
  <si>
    <t>23.9</t>
  </si>
  <si>
    <t>TS 38.141 / Chapter 6.3.3: Total power dynamic range / 30 kHz SCS</t>
  </si>
  <si>
    <t>TX Transmittion ON/OFF Power</t>
  </si>
  <si>
    <t>1.3</t>
  </si>
  <si>
    <t>dBm/ MHz</t>
  </si>
  <si>
    <t>-82.5</t>
  </si>
  <si>
    <t>TS 38.141 / Chapter 6.4.1: Transmitter OFF power/ 6.4.1.3</t>
  </si>
  <si>
    <t>1.4</t>
  </si>
  <si>
    <t>Transmitter transient period</t>
  </si>
  <si>
    <t>us</t>
  </si>
  <si>
    <t>10</t>
  </si>
  <si>
    <t>0</t>
  </si>
  <si>
    <t>TS 38.141 / Chapter 6.4.2: Transmitter transient period/ 6.4.2.2</t>
  </si>
  <si>
    <t>Transmitted signal quality</t>
  </si>
  <si>
    <t>1.5</t>
  </si>
  <si>
    <t>Frequency error</t>
  </si>
  <si>
    <t>Hz</t>
  </si>
  <si>
    <t xml:space="preserve">TM2.0, 
TM2.0a,
TM3.1, TM3.1a, 
TM3.2,
TM3.3  </t>
  </si>
  <si>
    <t>TS 38.141 / Chapter 6.5.1: Frequency error/ Table 6.5.1.2-1</t>
  </si>
  <si>
    <t>1.6</t>
  </si>
  <si>
    <t>1.6.1</t>
  </si>
  <si>
    <t>%</t>
  </si>
  <si>
    <t>TM3.3</t>
  </si>
  <si>
    <t>18.5</t>
  </si>
  <si>
    <t>TS 38.141 / Chapter 6.5.2: Modulation quality/ Table 6.5.2.2-1</t>
  </si>
  <si>
    <t>1.6.2</t>
  </si>
  <si>
    <t>TM3.2</t>
  </si>
  <si>
    <t>13.5</t>
  </si>
  <si>
    <t>1.6.3</t>
  </si>
  <si>
    <t>TM2.0</t>
  </si>
  <si>
    <t>9</t>
  </si>
  <si>
    <t>TM3.1</t>
  </si>
  <si>
    <t>1.6.4</t>
  </si>
  <si>
    <t>TM2.0a</t>
  </si>
  <si>
    <t>4.5</t>
  </si>
  <si>
    <t>1.7</t>
  </si>
  <si>
    <t>ns</t>
  </si>
  <si>
    <t>90</t>
  </si>
  <si>
    <t>TS 38.141 / Chapter 6.5.3: Time alignment error/ 6.5.3.2</t>
  </si>
  <si>
    <t>Unwanted emissions</t>
  </si>
  <si>
    <t>1.8</t>
  </si>
  <si>
    <t>MHz</t>
  </si>
  <si>
    <t>TM1.1, 
TM1.2</t>
  </si>
  <si>
    <t>98.28</t>
  </si>
  <si>
    <t>90.00</t>
  </si>
  <si>
    <t>TS 38.141 / Chapter 6.6.2: Occupied bandwidth</t>
  </si>
  <si>
    <t>1.9</t>
  </si>
  <si>
    <t>dBc</t>
  </si>
  <si>
    <t>43.8</t>
  </si>
  <si>
    <t>60.0</t>
  </si>
  <si>
    <t>TS 38.141 / Chapter 6.6.3: Adjacent Channel Leakage Power Ratio</t>
  </si>
  <si>
    <t>1.10</t>
  </si>
  <si>
    <t xml:space="preserve">0 MHz ≤ Δf &lt; 5 MHz: 
RBW 100 kHz
&lt;
</t>
  </si>
  <si>
    <t>TS 38.141 / Chapter 6.6.4: Operating band unwanted emissions/Table 6.6.4.2.2.1-2</t>
  </si>
  <si>
    <t xml:space="preserve">5 MHz ≤ Δf ≤ min (10 MHz, Δfmax):
RBW 100 kHz 
&lt; -12.2 dBm
</t>
  </si>
  <si>
    <t>10 MHz ≤ Δf Δfmax: RBW 1 MHz
&lt; -15 dBm</t>
  </si>
  <si>
    <t>1.11</t>
  </si>
  <si>
    <t>9 kHz - 150 kHz:  &lt; -36 dBm, 
RBW 1 kHz</t>
  </si>
  <si>
    <t>TS 38.141 / Chapter 6.6.5: Transmitter spurious emissions/Table 6.6.5.2.1-2</t>
  </si>
  <si>
    <t xml:space="preserve">
150 kHz - 30 MHz: &lt; -36 dBm, 
RBW 10 kHz</t>
  </si>
  <si>
    <t xml:space="preserve">30 MHz - 1 GHz: &lt; -36 dBm, 
RBW 100 kHz
</t>
  </si>
  <si>
    <t xml:space="preserve">
1 GHz - 12.75 GHz: &lt; -30 dBm, 
RBW 1 MHz</t>
  </si>
  <si>
    <t xml:space="preserve">
12.75 GHz -  5th Harmonic: &lt; -30 dBm, RBW 1 MHz</t>
  </si>
  <si>
    <t>1.12</t>
  </si>
  <si>
    <t>Transmitter intermodulation</t>
  </si>
  <si>
    <t>TS 38.141 / Chapter 6.7: Transmitter intermodulation/ 6.7.3.1</t>
  </si>
  <si>
    <t>II</t>
  </si>
  <si>
    <t>Conducted Receiver characteristics</t>
  </si>
  <si>
    <t>2.1</t>
  </si>
  <si>
    <t>Reference sensitivity level</t>
  </si>
  <si>
    <t>-94.9</t>
  </si>
  <si>
    <t>TS 38.141 / Chapter 7.2: Reference sensitivity level / Table7.2.2-1</t>
  </si>
  <si>
    <t>2.2</t>
  </si>
  <si>
    <t>-69.1</t>
  </si>
  <si>
    <t>TS 38.141-1 / Chapter 7.3: Dynamic Range / Table7.3.5-1</t>
  </si>
  <si>
    <t>2.3</t>
  </si>
  <si>
    <t>-52</t>
  </si>
  <si>
    <t>TS 38.141-1 / Chapter 7.4.1: Adjacent Chanel Selectivity / Table7.4.5-1</t>
  </si>
  <si>
    <t>2.4</t>
  </si>
  <si>
    <t>In-band blocking</t>
  </si>
  <si>
    <t>-43</t>
  </si>
  <si>
    <t>TS 38.141-1 / Chapter 7.2: Reference sensitivity level / Table7.2.2-1</t>
  </si>
  <si>
    <t>2.5</t>
  </si>
  <si>
    <t>Narrow-band blocking</t>
  </si>
  <si>
    <t>-49</t>
  </si>
  <si>
    <t>TS 38.141-1 / Chapter 7.4.2: In-band blocking / Table7.4.2.5-1</t>
  </si>
  <si>
    <t>2.6</t>
  </si>
  <si>
    <t>Out-of-band blocking</t>
  </si>
  <si>
    <t>-15</t>
  </si>
  <si>
    <t>TS 38.141-1 / Chapter 7.5: Out-of-band blocking / Table7.5.5.1-1</t>
  </si>
  <si>
    <t>2.7</t>
  </si>
  <si>
    <t>Receiver spurious emissions</t>
  </si>
  <si>
    <t>TS 38.141-1 / Chapter 7.6: Receiver spurious emissions / Table7.6.5-1</t>
  </si>
  <si>
    <t>2.8</t>
  </si>
  <si>
    <t>General receiver intermodulation</t>
  </si>
  <si>
    <t>TS 38.141-1 / Chapter 7.7.1: General receiver intermodulation / Table7.7.1.5-1</t>
  </si>
  <si>
    <t>2.9</t>
  </si>
  <si>
    <t>Narrowband receiver intermodulation</t>
  </si>
  <si>
    <t>TS 38.141-1 / Chapter 7.7.2: Narrowband receiver intermodulation / Table7.7.2.5-1</t>
  </si>
  <si>
    <t>2.10</t>
  </si>
  <si>
    <t>In-channel selectivity</t>
  </si>
  <si>
    <t>-71.4</t>
  </si>
  <si>
    <t>TS 38.141-1 / Chapter 7.8: Reference sensitivity leve / Table7.8.5-1</t>
  </si>
  <si>
    <t>Ngày...../....../.........</t>
  </si>
  <si>
    <t>NGƯỜI THỰC HIỆN</t>
  </si>
  <si>
    <t>NGƯỜI GIÁM SÁT</t>
  </si>
  <si>
    <t>PORT9</t>
  </si>
  <si>
    <t>PORT10</t>
  </si>
  <si>
    <t>PORT11</t>
  </si>
  <si>
    <t>PORT12</t>
  </si>
  <si>
    <t>PORT13</t>
  </si>
  <si>
    <t>PORT14</t>
  </si>
  <si>
    <t>PORT15</t>
  </si>
  <si>
    <t>PORT16</t>
  </si>
  <si>
    <t>PORT17</t>
  </si>
  <si>
    <t>PORT18</t>
  </si>
  <si>
    <t>PORT19</t>
  </si>
  <si>
    <t>PORT20</t>
  </si>
  <si>
    <t>PORT21</t>
  </si>
  <si>
    <t>PORT22</t>
  </si>
  <si>
    <t>PORT23</t>
  </si>
  <si>
    <t>PORT24</t>
  </si>
  <si>
    <t>PORT25</t>
  </si>
  <si>
    <t>PORT26</t>
  </si>
  <si>
    <t>PORT27</t>
  </si>
  <si>
    <t>PORT28</t>
  </si>
  <si>
    <t>PORT29</t>
  </si>
  <si>
    <t>PORT30</t>
  </si>
  <si>
    <t>PORT31</t>
  </si>
  <si>
    <t>PORT32</t>
  </si>
  <si>
    <t>Wanted Signal</t>
  </si>
  <si>
    <t>Interfering Signal</t>
  </si>
  <si>
    <t>Type</t>
  </si>
  <si>
    <t>Power (dBm)</t>
  </si>
  <si>
    <t>AWGN</t>
  </si>
  <si>
    <t>-64.2</t>
  </si>
  <si>
    <t>20 MHz DFT-s-OFDM NR signal, 15 kHz SCS, 100 RBs</t>
  </si>
  <si>
    <t>20 MHz DFT-s-OFDM NR signal, 15 kHz SCS, 1 RBs</t>
  </si>
  <si>
    <t>CW carrier</t>
  </si>
  <si>
    <t>DFT-s-OFDM NR signal, 30 kHz SCS, 50 RBs</t>
  </si>
  <si>
    <t>-90.8</t>
  </si>
  <si>
    <t>-90.9</t>
  </si>
  <si>
    <t>-90.10</t>
  </si>
  <si>
    <t>-90.11</t>
  </si>
  <si>
    <t>-90.12</t>
  </si>
  <si>
    <t>-90.13</t>
  </si>
  <si>
    <t>-90.14</t>
  </si>
  <si>
    <t>-90.15</t>
  </si>
  <si>
    <t xml:space="preserve">CW
20 MHz DFT-s-OFDM NR signal
</t>
  </si>
  <si>
    <t xml:space="preserve">CW
20 MHz DFT-s-OFDM NR signal, 1 RB
</t>
  </si>
  <si>
    <t>BW (MHz)</t>
  </si>
  <si>
    <t>FRC-FR1-A1-5</t>
  </si>
  <si>
    <t>FRC-FR1-A2-5</t>
  </si>
  <si>
    <r>
      <t xml:space="preserve">30 MHz - 1 GHz: </t>
    </r>
    <r>
      <rPr>
        <sz val="12"/>
        <color rgb="FF000000"/>
        <rFont val="Calibri"/>
        <family val="2"/>
      </rPr>
      <t>&lt;</t>
    </r>
    <r>
      <rPr>
        <sz val="12"/>
        <color rgb="FF000000"/>
        <rFont val="Times New Roman"/>
        <family val="1"/>
        <charset val="163"/>
      </rPr>
      <t>-57dBm, RBW 100 kHz</t>
    </r>
  </si>
  <si>
    <t>1 GHz - 12.75 GHz: &lt;-47 dBm, RBW 1 Mhz</t>
  </si>
  <si>
    <t xml:space="preserve">
12.75 GHz - 5th Harmonic: &lt;-47 dBm, RBW 1 MHz</t>
  </si>
  <si>
    <t>NONE</t>
  </si>
  <si>
    <t>SUPERMICRO195</t>
  </si>
  <si>
    <t>Base station output power</t>
  </si>
  <si>
    <t>Total power dynamic range</t>
  </si>
  <si>
    <t>Modulation quality</t>
  </si>
  <si>
    <t>PORT</t>
  </si>
  <si>
    <t>CLAUSE</t>
  </si>
  <si>
    <t>SPEC</t>
  </si>
  <si>
    <t>MEAS</t>
  </si>
  <si>
    <t>Time</t>
  </si>
  <si>
    <t>PASS/FAIL</t>
  </si>
  <si>
    <t>Yeu cau voi file report ket qua</t>
  </si>
  <si>
    <t>PASS</t>
  </si>
  <si>
    <t>- Xoa bo dau + trong truong CLAUSE</t>
  </si>
  <si>
    <t>- Doi ten TM1.1 thanh TM1.1 tuong ung voi cac TM con laij</t>
  </si>
  <si>
    <t>- Ten trong CLAUSE khong them truong NRTM</t>
  </si>
  <si>
    <t>NRTM</t>
  </si>
  <si>
    <t>Occupied bandwidth</t>
  </si>
  <si>
    <t>Adjacent channel leakage power</t>
  </si>
  <si>
    <t>TM1.1
TM1.2</t>
  </si>
  <si>
    <t>Operating band Unwanted emissions</t>
  </si>
  <si>
    <t>TM3.1a</t>
  </si>
  <si>
    <t>TM2.0
TM2.0a
TM3.1
TM3.1a</t>
  </si>
  <si>
    <t>TM2.0a
TM3.1a</t>
  </si>
  <si>
    <t>TM1.2</t>
  </si>
  <si>
    <t>FAIL</t>
  </si>
  <si>
    <t>31</t>
  </si>
  <si>
    <t>3.4.10</t>
  </si>
  <si>
    <t>Transmitter OFF power</t>
  </si>
  <si>
    <t>Time alignment error</t>
  </si>
  <si>
    <t>THÔNG LƯỢNG</t>
  </si>
  <si>
    <t>IMD Adjacent channel leakage power</t>
  </si>
  <si>
    <t>IMD Operating band Unwanted emissions</t>
  </si>
  <si>
    <t>NOTE</t>
  </si>
  <si>
    <t>OBUE2</t>
  </si>
  <si>
    <t>Transmitter spurious emission</t>
  </si>
  <si>
    <t>IMD Transmitter spurious emission</t>
  </si>
  <si>
    <t>ThoughPut</t>
  </si>
  <si>
    <t>- Voi bai do IMD them truong thong tin nhu OBUE va SPUR</t>
  </si>
  <si>
    <t>- Voi bai do OBUE, SPUR them truong thong tin OBUE1,OBUE2,OBUE3,OBUE4 va SPUR1,SPUR2,SPUR3,SPUR4,SPUR5</t>
  </si>
  <si>
    <t>- Voi bai do IMD, ghi truong IMD Ad…, IMD Oper…, IMD Spur…</t>
  </si>
  <si>
    <t>Dynamic range</t>
  </si>
  <si>
    <t>Adjacent chanel selectivity</t>
  </si>
  <si>
    <t>SPUR5</t>
  </si>
  <si>
    <t>TM2.0a TM3.1a</t>
  </si>
  <si>
    <t>Modulation quality TM2.0</t>
  </si>
  <si>
    <t>Modulation quality TM2.0a</t>
  </si>
  <si>
    <t>Modulation quality TM3.1</t>
  </si>
  <si>
    <t>Modulation quality TM3.2</t>
  </si>
  <si>
    <t>Modulation quality TM3.3</t>
  </si>
  <si>
    <t>Modulation quality TM3.1a</t>
  </si>
  <si>
    <t>Frequency error TM2.0</t>
  </si>
  <si>
    <t>Frequency error TM2.0a</t>
  </si>
  <si>
    <t>Frequency error TM3.1</t>
  </si>
  <si>
    <t>Frequency error TM3.2</t>
  </si>
  <si>
    <t>Frequency error TM3.3</t>
  </si>
  <si>
    <t>Frequency error TM3.1a</t>
  </si>
  <si>
    <t>Adjacent channel leakage power TM1.1</t>
  </si>
  <si>
    <t>Adjacent channel leakage power TM1.2</t>
  </si>
  <si>
    <t>12 MHz ≤ Δf Δfmax: RBW 1 MHz
&lt; -15 dBm</t>
  </si>
  <si>
    <t>11 MHz ≤ Δf Δfmax: RBW 1 MHz
&lt; -15 dBm</t>
  </si>
  <si>
    <t>7 MHz ≤ Δf ≤ min (10 MHz, Δfmax): RBW 100 kHz 
&lt; -12.2 dBm</t>
  </si>
  <si>
    <t>6 MHz ≤ Δf ≤ min (10 MHz, Δfmax): RBW 100 kHz 
&lt; -12.2 dBm</t>
  </si>
  <si>
    <t>5 MHz ≤ Δf ≤ min (10 MHz, Δfmax): RBW 100 kHz 
&lt; -12.2 dBm</t>
  </si>
  <si>
    <t xml:space="preserve">0 MHz ≤ Δf &lt; 5 MHz: 
RBW 100 kHz
&lt;
</t>
  </si>
  <si>
    <t>TM1.1 TM1.2</t>
  </si>
  <si>
    <t>For MIMO transmission, at each carrier frequency, TAE shall not exceed 65 ns.</t>
  </si>
  <si>
    <t>For MIMO transmission, at each carrier frequency, TAE shall not exceed 90 ns</t>
  </si>
  <si>
    <t>256 QAM</t>
  </si>
  <si>
    <t>64 QAM</t>
  </si>
  <si>
    <t>16 QAM</t>
  </si>
  <si>
    <t>QPSK</t>
  </si>
  <si>
    <t>±0.05 ppm</t>
  </si>
  <si>
    <t>±(0.05 ppm + 12 Hz)</t>
  </si>
  <si>
    <t>TM2.0 TM2.0a TM3.1 TM3.1a</t>
  </si>
  <si>
    <t>Table 6.3.3.5-1: BS total power dynamic range
100MHz/30 kHz SCS: Total power dynamic range ≥ 23.9 dB
(NR TM: TM2.0a TM3.1a)</t>
  </si>
  <si>
    <t>6.3.3.2 Minimum requirement for BS type 1-C and BS type 1-H
100MHz/30 kHz SCS: Total power dynamic range ≥ 24.3 dB</t>
  </si>
  <si>
    <t>TS 38141.1 Chapter 6.2
Table 6.2.5-1: Test requirement for conducted BS output power
Normal conditions: 3.0 GHz &lt; f ≤ 6.0 GHz: ± 3.0 dB
Extreme conditions: 3.0 GHz &lt; f ≤ 6.0 GHz: ± 3.5 dB
(NR TM: TM1.1)</t>
  </si>
  <si>
    <t xml:space="preserve">In normal conditions, Pmax,c,TABC shall remain within +2 dB and -2 dB of the rated carrier output power Prated,c,TABC for each TAB connector as declared by the manufacturer.
In extreme conditions, Pmax,c,TABC shall remain within +2.5 dB and -2.5 dB of the rated carrier output power Prated,c,TABC for each TAB connector as declared by the manufacturer.
</t>
  </si>
  <si>
    <t>Bandwidth</t>
  </si>
  <si>
    <t>Frequency</t>
  </si>
  <si>
    <t>Wide Area</t>
  </si>
  <si>
    <t>Base station Class</t>
  </si>
  <si>
    <t>1-H</t>
  </si>
  <si>
    <t>Base station Type</t>
  </si>
  <si>
    <t>PASS
FAIL</t>
  </si>
  <si>
    <t>QCVN128
Test requirements</t>
  </si>
  <si>
    <t>TS38.141-1
Test requirements</t>
  </si>
  <si>
    <t>TS38.104 
Test requirements</t>
  </si>
  <si>
    <t>Unit</t>
  </si>
  <si>
    <t>Test Model</t>
  </si>
  <si>
    <t>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</si>
</sst>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sz val="12"/>
      <color rgb="FF000000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i/>
      <sz val="12"/>
      <color theme="1"/>
      <name val="Times New Roman"/>
      <family val="1"/>
      <charset val="163"/>
    </font>
    <font>
      <b/>
      <sz val="12"/>
      <name val="Times New Roman"/>
      <family val="1"/>
      <charset val="163"/>
    </font>
    <font>
      <sz val="12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i/>
      <sz val="12"/>
      <color rgb="FF000000"/>
      <name val="Times New Roman"/>
      <family val="1"/>
      <charset val="163"/>
    </font>
    <font>
      <b/>
      <i/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Times New Roman"/>
      <family val="1"/>
      <charset val="163"/>
    </font>
    <font>
      <sz val="12"/>
      <color rgb="FF000000"/>
      <name val="Calibri"/>
      <family val="2"/>
    </font>
    <font>
      <i/>
      <sz val="11"/>
      <color theme="1"/>
      <name val="Times New Roman"/>
      <family val="1"/>
      <charset val="163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/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49" fontId="4" fillId="0" borderId="7" xfId="0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vertical="center"/>
    </xf>
    <xf numFmtId="49" fontId="6" fillId="0" borderId="7" xfId="0" quotePrefix="1" applyNumberFormat="1" applyFont="1" applyBorder="1" applyAlignment="1">
      <alignment horizontal="left" vertical="center" wrapText="1"/>
    </xf>
    <xf numFmtId="0" fontId="7" fillId="0" borderId="7" xfId="0" quotePrefix="1" applyFont="1" applyBorder="1" applyAlignment="1">
      <alignment horizontal="center" vertical="center" wrapText="1"/>
    </xf>
    <xf numFmtId="0" fontId="8" fillId="0" borderId="7" xfId="0" quotePrefix="1" applyFont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vertical="center"/>
    </xf>
    <xf numFmtId="49" fontId="3" fillId="2" borderId="5" xfId="0" applyNumberFormat="1" applyFont="1" applyFill="1" applyBorder="1" applyAlignment="1">
      <alignment vertical="center"/>
    </xf>
    <xf numFmtId="49" fontId="9" fillId="2" borderId="5" xfId="0" applyNumberFormat="1" applyFont="1" applyFill="1" applyBorder="1" applyAlignment="1">
      <alignment horizontal="center" vertical="center" wrapText="1"/>
    </xf>
    <xf numFmtId="49" fontId="9" fillId="2" borderId="5" xfId="0" applyNumberFormat="1" applyFont="1" applyFill="1" applyBorder="1" applyAlignment="1">
      <alignment horizontal="right" vertical="center"/>
    </xf>
    <xf numFmtId="49" fontId="9" fillId="2" borderId="5" xfId="0" applyNumberFormat="1" applyFont="1" applyFill="1" applyBorder="1" applyAlignment="1">
      <alignment vertical="center" wrapText="1"/>
    </xf>
    <xf numFmtId="49" fontId="10" fillId="2" borderId="5" xfId="0" applyNumberFormat="1" applyFont="1" applyFill="1" applyBorder="1" applyAlignment="1">
      <alignment vertical="center"/>
    </xf>
    <xf numFmtId="0" fontId="9" fillId="2" borderId="5" xfId="0" applyFont="1" applyFill="1" applyBorder="1" applyAlignment="1">
      <alignment vertical="center" wrapText="1"/>
    </xf>
    <xf numFmtId="49" fontId="9" fillId="2" borderId="5" xfId="0" applyNumberFormat="1" applyFont="1" applyFill="1" applyBorder="1" applyAlignment="1">
      <alignment horizontal="right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49" fontId="9" fillId="0" borderId="4" xfId="0" applyNumberFormat="1" applyFont="1" applyBorder="1" applyAlignment="1">
      <alignment vertical="center"/>
    </xf>
    <xf numFmtId="49" fontId="9" fillId="0" borderId="5" xfId="0" applyNumberFormat="1" applyFont="1" applyBorder="1" applyAlignment="1">
      <alignment vertical="center"/>
    </xf>
    <xf numFmtId="49" fontId="9" fillId="0" borderId="5" xfId="0" applyNumberFormat="1" applyFont="1" applyBorder="1" applyAlignment="1">
      <alignment vertical="center" wrapText="1"/>
    </xf>
    <xf numFmtId="49" fontId="1" fillId="2" borderId="5" xfId="0" applyNumberFormat="1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49" fontId="1" fillId="2" borderId="15" xfId="0" applyNumberFormat="1" applyFont="1" applyFill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left" vertical="center"/>
    </xf>
    <xf numFmtId="49" fontId="9" fillId="0" borderId="5" xfId="0" applyNumberFormat="1" applyFont="1" applyBorder="1" applyAlignment="1">
      <alignment horizontal="left" vertical="center"/>
    </xf>
    <xf numFmtId="49" fontId="3" fillId="2" borderId="5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/>
    </xf>
    <xf numFmtId="49" fontId="11" fillId="2" borderId="7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49" fontId="8" fillId="0" borderId="2" xfId="0" applyNumberFormat="1" applyFont="1" applyBorder="1" applyAlignment="1">
      <alignment vertical="center" wrapText="1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49" fontId="8" fillId="0" borderId="0" xfId="0" applyNumberFormat="1" applyFont="1" applyAlignment="1">
      <alignment vertical="center" wrapText="1"/>
    </xf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 wrapText="1"/>
    </xf>
    <xf numFmtId="49" fontId="2" fillId="0" borderId="0" xfId="0" applyNumberFormat="1" applyFont="1"/>
    <xf numFmtId="0" fontId="2" fillId="0" borderId="0" xfId="0" applyFont="1" applyAlignment="1">
      <alignment horizontal="center"/>
    </xf>
    <xf numFmtId="49" fontId="1" fillId="2" borderId="7" xfId="0" applyNumberFormat="1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 wrapText="1"/>
    </xf>
    <xf numFmtId="49" fontId="13" fillId="0" borderId="7" xfId="0" applyNumberFormat="1" applyFont="1" applyBorder="1" applyAlignment="1">
      <alignment horizontal="left" vertical="center" wrapText="1"/>
    </xf>
    <xf numFmtId="49" fontId="17" fillId="0" borderId="7" xfId="0" applyNumberFormat="1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center" vertical="center" wrapText="1"/>
    </xf>
    <xf numFmtId="49" fontId="19" fillId="0" borderId="7" xfId="0" applyNumberFormat="1" applyFont="1" applyBorder="1" applyAlignment="1">
      <alignment horizontal="left" wrapText="1"/>
    </xf>
    <xf numFmtId="49" fontId="17" fillId="0" borderId="7" xfId="0" applyNumberFormat="1" applyFont="1" applyBorder="1" applyAlignment="1">
      <alignment vertical="center"/>
    </xf>
    <xf numFmtId="49" fontId="16" fillId="0" borderId="7" xfId="0" applyNumberFormat="1" applyFont="1" applyBorder="1" applyAlignment="1">
      <alignment vertical="center"/>
    </xf>
    <xf numFmtId="49" fontId="21" fillId="0" borderId="7" xfId="0" quotePrefix="1" applyNumberFormat="1" applyFont="1" applyBorder="1" applyAlignment="1">
      <alignment horizontal="left" vertical="center" wrapText="1"/>
    </xf>
    <xf numFmtId="0" fontId="22" fillId="0" borderId="7" xfId="0" quotePrefix="1" applyFont="1" applyBorder="1" applyAlignment="1">
      <alignment horizontal="center" vertical="center" wrapText="1"/>
    </xf>
    <xf numFmtId="0" fontId="23" fillId="0" borderId="7" xfId="0" quotePrefix="1" applyFont="1" applyBorder="1" applyAlignment="1">
      <alignment horizontal="center" vertical="center" wrapText="1"/>
    </xf>
    <xf numFmtId="21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49" fontId="0" fillId="0" borderId="0" xfId="0" applyNumberFormat="1"/>
    <xf numFmtId="0" fontId="2" fillId="0" borderId="0" xfId="0" applyNumberFormat="1" applyFont="1"/>
    <xf numFmtId="49" fontId="1" fillId="2" borderId="7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15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1" fillId="2" borderId="12" xfId="0" applyNumberFormat="1" applyFont="1" applyFill="1" applyBorder="1" applyAlignment="1">
      <alignment vertical="center"/>
    </xf>
    <xf numFmtId="49" fontId="1" fillId="2" borderId="11" xfId="0" applyNumberFormat="1" applyFont="1" applyFill="1" applyBorder="1" applyAlignment="1">
      <alignment vertical="center"/>
    </xf>
    <xf numFmtId="49" fontId="1" fillId="2" borderId="10" xfId="0" applyNumberFormat="1" applyFont="1" applyFill="1" applyBorder="1" applyAlignment="1">
      <alignment vertical="center"/>
    </xf>
    <xf numFmtId="49" fontId="1" fillId="2" borderId="9" xfId="0" applyNumberFormat="1" applyFont="1" applyFill="1" applyBorder="1" applyAlignment="1">
      <alignment vertical="center"/>
    </xf>
    <xf numFmtId="49" fontId="1" fillId="2" borderId="0" xfId="0" applyNumberFormat="1" applyFont="1" applyFill="1" applyAlignment="1">
      <alignment vertical="center"/>
    </xf>
    <xf numFmtId="49" fontId="1" fillId="2" borderId="8" xfId="0" applyNumberFormat="1" applyFont="1" applyFill="1" applyBorder="1" applyAlignment="1">
      <alignment vertical="center"/>
    </xf>
    <xf numFmtId="0" fontId="0" fillId="0" borderId="7" xfId="0" applyBorder="1"/>
    <xf numFmtId="49" fontId="1" fillId="2" borderId="7" xfId="0" applyNumberFormat="1" applyFont="1" applyFill="1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vertical="top" wrapText="1"/>
    </xf>
    <xf numFmtId="0" fontId="0" fillId="0" borderId="7" xfId="0" applyBorder="1" applyAlignment="1">
      <alignment wrapText="1"/>
    </xf>
    <xf numFmtId="0" fontId="25" fillId="0" borderId="7" xfId="0" applyFont="1" applyBorder="1" applyAlignment="1">
      <alignment vertical="center" wrapText="1"/>
    </xf>
    <xf numFmtId="0" fontId="25" fillId="0" borderId="7" xfId="0" applyFont="1" applyBorder="1" applyAlignment="1">
      <alignment wrapText="1"/>
    </xf>
    <xf numFmtId="10" fontId="26" fillId="0" borderId="7" xfId="0" applyNumberFormat="1" applyFont="1" applyBorder="1" applyAlignment="1">
      <alignment horizontal="left" vertical="center" wrapText="1"/>
    </xf>
    <xf numFmtId="0" fontId="0" fillId="0" borderId="4" xfId="0" applyBorder="1"/>
    <xf numFmtId="9" fontId="26" fillId="0" borderId="7" xfId="0" applyNumberFormat="1" applyFont="1" applyBorder="1" applyAlignment="1">
      <alignment horizontal="left" vertical="center" wrapText="1"/>
    </xf>
    <xf numFmtId="0" fontId="25" fillId="0" borderId="0" xfId="0" applyFont="1"/>
    <xf numFmtId="0" fontId="0" fillId="0" borderId="13" xfId="0" applyBorder="1"/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1" fillId="2" borderId="7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 wrapText="1"/>
    </xf>
    <xf numFmtId="49" fontId="1" fillId="2" borderId="15" xfId="0" applyNumberFormat="1" applyFont="1" applyFill="1" applyBorder="1" applyAlignment="1">
      <alignment horizontal="center" vertical="center" wrapText="1"/>
    </xf>
    <xf numFmtId="49" fontId="1" fillId="2" borderId="14" xfId="0" applyNumberFormat="1" applyFont="1" applyFill="1" applyBorder="1" applyAlignment="1">
      <alignment horizontal="center" vertical="center" wrapText="1"/>
    </xf>
    <xf numFmtId="49" fontId="9" fillId="2" borderId="7" xfId="0" applyNumberFormat="1" applyFont="1" applyFill="1" applyBorder="1" applyAlignment="1">
      <alignment horizontal="center" vertical="center" wrapText="1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5" fillId="2" borderId="0" xfId="0" applyNumberFormat="1" applyFont="1" applyFill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/>
    </xf>
    <xf numFmtId="49" fontId="1" fillId="2" borderId="3" xfId="0" applyNumberFormat="1" applyFont="1" applyFill="1" applyBorder="1" applyAlignment="1">
      <alignment horizontal="left" vertical="center"/>
    </xf>
    <xf numFmtId="49" fontId="1" fillId="2" borderId="8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49" fontId="1" fillId="2" borderId="9" xfId="0" applyNumberFormat="1" applyFont="1" applyFill="1" applyBorder="1" applyAlignment="1">
      <alignment horizontal="left" vertical="center"/>
    </xf>
    <xf numFmtId="49" fontId="1" fillId="2" borderId="10" xfId="0" applyNumberFormat="1" applyFont="1" applyFill="1" applyBorder="1" applyAlignment="1">
      <alignment horizontal="left" vertical="center"/>
    </xf>
    <xf numFmtId="49" fontId="1" fillId="2" borderId="11" xfId="0" applyNumberFormat="1" applyFont="1" applyFill="1" applyBorder="1" applyAlignment="1">
      <alignment horizontal="left" vertical="center"/>
    </xf>
    <xf numFmtId="49" fontId="1" fillId="2" borderId="12" xfId="0" applyNumberFormat="1" applyFont="1" applyFill="1" applyBorder="1" applyAlignment="1">
      <alignment horizontal="left" vertical="center"/>
    </xf>
    <xf numFmtId="49" fontId="1" fillId="2" borderId="13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9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49" fontId="7" fillId="0" borderId="11" xfId="0" applyNumberFormat="1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9" fillId="2" borderId="13" xfId="0" applyNumberFormat="1" applyFont="1" applyFill="1" applyBorder="1" applyAlignment="1">
      <alignment horizontal="center" vertical="center" wrapText="1"/>
    </xf>
    <xf numFmtId="49" fontId="9" fillId="2" borderId="15" xfId="0" applyNumberFormat="1" applyFont="1" applyFill="1" applyBorder="1" applyAlignment="1">
      <alignment horizontal="center" vertical="center" wrapText="1"/>
    </xf>
    <xf numFmtId="49" fontId="9" fillId="2" borderId="14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14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49" fontId="3" fillId="2" borderId="11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49" fontId="1" fillId="2" borderId="9" xfId="0" applyNumberFormat="1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center" vertical="center" wrapText="1"/>
    </xf>
    <xf numFmtId="49" fontId="1" fillId="2" borderId="12" xfId="0" applyNumberFormat="1" applyFont="1" applyFill="1" applyBorder="1" applyAlignment="1">
      <alignment horizontal="center" vertical="center" wrapText="1"/>
    </xf>
    <xf numFmtId="49" fontId="1" fillId="2" borderId="1" xfId="0" quotePrefix="1" applyNumberFormat="1" applyFont="1" applyFill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lef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5" xfId="0" applyNumberFormat="1" applyFont="1" applyBorder="1" applyAlignment="1">
      <alignment horizontal="left" vertical="center" wrapText="1"/>
    </xf>
    <xf numFmtId="49" fontId="1" fillId="0" borderId="6" xfId="0" applyNumberFormat="1" applyFont="1" applyBorder="1" applyAlignment="1">
      <alignment horizontal="left" vertical="center" wrapText="1"/>
    </xf>
    <xf numFmtId="49" fontId="2" fillId="0" borderId="4" xfId="0" quotePrefix="1" applyNumberFormat="1" applyFont="1" applyBorder="1" applyAlignment="1">
      <alignment horizontal="left" vertical="center" wrapText="1"/>
    </xf>
    <xf numFmtId="49" fontId="2" fillId="0" borderId="5" xfId="0" quotePrefix="1" applyNumberFormat="1" applyFont="1" applyBorder="1" applyAlignment="1">
      <alignment horizontal="left" vertical="center" wrapText="1"/>
    </xf>
    <xf numFmtId="49" fontId="2" fillId="0" borderId="6" xfId="0" quotePrefix="1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8" xfId="0" applyNumberFormat="1" applyFont="1" applyBorder="1" applyAlignment="1">
      <alignment vertical="top" wrapText="1"/>
    </xf>
    <xf numFmtId="49" fontId="1" fillId="0" borderId="0" xfId="0" applyNumberFormat="1" applyFont="1" applyAlignment="1">
      <alignment vertical="top" wrapText="1"/>
    </xf>
    <xf numFmtId="49" fontId="1" fillId="0" borderId="9" xfId="0" applyNumberFormat="1" applyFont="1" applyBorder="1" applyAlignment="1">
      <alignment vertical="top" wrapText="1"/>
    </xf>
    <xf numFmtId="49" fontId="1" fillId="0" borderId="10" xfId="0" applyNumberFormat="1" applyFont="1" applyBorder="1" applyAlignment="1">
      <alignment vertical="top" wrapText="1"/>
    </xf>
    <xf numFmtId="49" fontId="1" fillId="0" borderId="11" xfId="0" applyNumberFormat="1" applyFont="1" applyBorder="1" applyAlignment="1">
      <alignment vertical="top" wrapText="1"/>
    </xf>
    <xf numFmtId="49" fontId="1" fillId="0" borderId="12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left" vertical="center" wrapText="1"/>
    </xf>
    <xf numFmtId="49" fontId="18" fillId="0" borderId="7" xfId="0" applyNumberFormat="1" applyFont="1" applyBorder="1" applyAlignment="1">
      <alignment horizontal="left" vertical="center" wrapText="1"/>
    </xf>
    <xf numFmtId="0" fontId="5" fillId="0" borderId="7" xfId="0" applyNumberFormat="1" applyFont="1" applyBorder="1" applyAlignment="1">
      <alignment horizontal="left" vertical="center" wrapText="1"/>
    </xf>
    <xf numFmtId="49" fontId="15" fillId="0" borderId="7" xfId="0" applyNumberFormat="1" applyFont="1" applyBorder="1" applyAlignment="1">
      <alignment horizontal="left" vertical="center" wrapText="1"/>
    </xf>
    <xf numFmtId="49" fontId="16" fillId="0" borderId="7" xfId="0" applyNumberFormat="1" applyFont="1" applyBorder="1" applyAlignment="1">
      <alignment horizontal="left" vertical="center" wrapText="1"/>
    </xf>
    <xf numFmtId="49" fontId="17" fillId="0" borderId="4" xfId="0" applyNumberFormat="1" applyFont="1" applyBorder="1" applyAlignment="1">
      <alignment horizontal="left" vertical="center" wrapText="1"/>
    </xf>
    <xf numFmtId="49" fontId="17" fillId="0" borderId="5" xfId="0" applyNumberFormat="1" applyFont="1" applyBorder="1" applyAlignment="1">
      <alignment horizontal="left" vertical="center" wrapText="1"/>
    </xf>
    <xf numFmtId="49" fontId="17" fillId="0" borderId="6" xfId="0" applyNumberFormat="1" applyFont="1" applyBorder="1" applyAlignment="1">
      <alignment horizontal="left" vertical="center" wrapText="1"/>
    </xf>
    <xf numFmtId="49" fontId="20" fillId="0" borderId="4" xfId="0" applyNumberFormat="1" applyFont="1" applyBorder="1" applyAlignment="1">
      <alignment horizontal="left" vertical="center" wrapText="1"/>
    </xf>
    <xf numFmtId="49" fontId="20" fillId="0" borderId="5" xfId="0" applyNumberFormat="1" applyFont="1" applyBorder="1" applyAlignment="1">
      <alignment horizontal="left" vertical="center" wrapText="1"/>
    </xf>
    <xf numFmtId="49" fontId="20" fillId="0" borderId="6" xfId="0" applyNumberFormat="1" applyFont="1" applyBorder="1" applyAlignment="1">
      <alignment horizontal="left" vertical="center" wrapText="1"/>
    </xf>
    <xf numFmtId="49" fontId="18" fillId="0" borderId="4" xfId="0" quotePrefix="1" applyNumberFormat="1" applyFont="1" applyBorder="1" applyAlignment="1">
      <alignment horizontal="left" vertical="center" wrapText="1"/>
    </xf>
    <xf numFmtId="49" fontId="18" fillId="0" borderId="5" xfId="0" quotePrefix="1" applyNumberFormat="1" applyFont="1" applyBorder="1" applyAlignment="1">
      <alignment horizontal="left" vertical="center" wrapText="1"/>
    </xf>
    <xf numFmtId="49" fontId="18" fillId="0" borderId="6" xfId="0" quotePrefix="1" applyNumberFormat="1" applyFont="1" applyBorder="1" applyAlignment="1">
      <alignment horizontal="left" vertical="center" wrapText="1"/>
    </xf>
    <xf numFmtId="0" fontId="18" fillId="0" borderId="7" xfId="0" applyNumberFormat="1" applyFont="1" applyBorder="1" applyAlignment="1">
      <alignment horizontal="left" vertical="center" wrapText="1"/>
    </xf>
    <xf numFmtId="0" fontId="24" fillId="0" borderId="7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</cellXfs>
  <cellStyles count="1">
    <cellStyle name="Normal" xfId="0" builtinId="0"/>
  </cellStyles>
  <dxfs count="30"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53146</xdr:colOff>
      <xdr:row>0</xdr:row>
      <xdr:rowOff>43208</xdr:rowOff>
    </xdr:from>
    <xdr:to>
      <xdr:col>3</xdr:col>
      <xdr:colOff>1346992</xdr:colOff>
      <xdr:row>3</xdr:row>
      <xdr:rowOff>196712</xdr:rowOff>
    </xdr:to>
    <xdr:pic>
      <xdr:nvPicPr>
        <xdr:cNvPr id="2" name="Picture 1" descr="Viettel_Logo2">
          <a:extLst>
            <a:ext uri="{FF2B5EF4-FFF2-40B4-BE49-F238E27FC236}">
              <a16:creationId xmlns:a16="http://schemas.microsoft.com/office/drawing/2014/main" id="{FE766A5E-5C66-4071-9B09-9EBC7E19B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6" y="43208"/>
          <a:ext cx="3008346" cy="1153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179294</xdr:colOff>
      <xdr:row>133</xdr:row>
      <xdr:rowOff>136337</xdr:rowOff>
    </xdr:from>
    <xdr:to>
      <xdr:col>8</xdr:col>
      <xdr:colOff>528286</xdr:colOff>
      <xdr:row>136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F2E5FC-B801-4966-99BA-3368AAD32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0819" y="27444512"/>
          <a:ext cx="2177792" cy="514538"/>
        </a:xfrm>
        <a:prstGeom prst="rect">
          <a:avLst/>
        </a:prstGeom>
      </xdr:spPr>
    </xdr:pic>
    <xdr:clientData/>
  </xdr:twoCellAnchor>
  <xdr:oneCellAnchor>
    <xdr:from>
      <xdr:col>6</xdr:col>
      <xdr:colOff>179294</xdr:colOff>
      <xdr:row>205</xdr:row>
      <xdr:rowOff>136337</xdr:rowOff>
    </xdr:from>
    <xdr:ext cx="2177792" cy="524063"/>
    <xdr:pic>
      <xdr:nvPicPr>
        <xdr:cNvPr id="4" name="Picture 3">
          <a:extLst>
            <a:ext uri="{FF2B5EF4-FFF2-40B4-BE49-F238E27FC236}">
              <a16:creationId xmlns:a16="http://schemas.microsoft.com/office/drawing/2014/main" id="{147941F9-4A28-43D0-9F9B-9AB545A8A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0819" y="41846312"/>
          <a:ext cx="2177792" cy="52406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53146</xdr:colOff>
      <xdr:row>0</xdr:row>
      <xdr:rowOff>43208</xdr:rowOff>
    </xdr:from>
    <xdr:to>
      <xdr:col>3</xdr:col>
      <xdr:colOff>1346992</xdr:colOff>
      <xdr:row>3</xdr:row>
      <xdr:rowOff>196712</xdr:rowOff>
    </xdr:to>
    <xdr:pic>
      <xdr:nvPicPr>
        <xdr:cNvPr id="5" name="Picture 4" descr="Viettel_Logo2">
          <a:extLst>
            <a:ext uri="{FF2B5EF4-FFF2-40B4-BE49-F238E27FC236}">
              <a16:creationId xmlns:a16="http://schemas.microsoft.com/office/drawing/2014/main" id="{381AA60C-4399-4138-A2D2-C45E378CD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6" y="43208"/>
          <a:ext cx="3008346" cy="1153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159415</xdr:colOff>
      <xdr:row>134</xdr:row>
      <xdr:rowOff>30319</xdr:rowOff>
    </xdr:from>
    <xdr:to>
      <xdr:col>8</xdr:col>
      <xdr:colOff>464820</xdr:colOff>
      <xdr:row>135</xdr:row>
      <xdr:rowOff>173361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1F1E402-9A5F-4EF8-A6BB-EC82B61E1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195" y="27279439"/>
          <a:ext cx="1905605" cy="341162"/>
        </a:xfrm>
        <a:prstGeom prst="rect">
          <a:avLst/>
        </a:prstGeom>
      </xdr:spPr>
    </xdr:pic>
    <xdr:clientData/>
  </xdr:twoCellAnchor>
  <xdr:oneCellAnchor>
    <xdr:from>
      <xdr:col>6</xdr:col>
      <xdr:colOff>171674</xdr:colOff>
      <xdr:row>205</xdr:row>
      <xdr:rowOff>189677</xdr:rowOff>
    </xdr:from>
    <xdr:ext cx="1745029" cy="419923"/>
    <xdr:pic>
      <xdr:nvPicPr>
        <xdr:cNvPr id="7" name="Picture 6">
          <a:extLst>
            <a:ext uri="{FF2B5EF4-FFF2-40B4-BE49-F238E27FC236}">
              <a16:creationId xmlns:a16="http://schemas.microsoft.com/office/drawing/2014/main" id="{3D616BA5-C473-4B9E-A2F9-06B16217E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8454" y="41505317"/>
          <a:ext cx="1745029" cy="41992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53146</xdr:colOff>
      <xdr:row>0</xdr:row>
      <xdr:rowOff>43208</xdr:rowOff>
    </xdr:from>
    <xdr:to>
      <xdr:col>3</xdr:col>
      <xdr:colOff>1346992</xdr:colOff>
      <xdr:row>3</xdr:row>
      <xdr:rowOff>196712</xdr:rowOff>
    </xdr:to>
    <xdr:pic>
      <xdr:nvPicPr>
        <xdr:cNvPr id="5" name="Picture 4" descr="Viettel_Logo2">
          <a:extLst>
            <a:ext uri="{FF2B5EF4-FFF2-40B4-BE49-F238E27FC236}">
              <a16:creationId xmlns:a16="http://schemas.microsoft.com/office/drawing/2014/main" id="{F9334D42-29F9-48DE-9EC4-31189DFB2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6" y="43208"/>
          <a:ext cx="3008346" cy="1153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179294</xdr:colOff>
      <xdr:row>133</xdr:row>
      <xdr:rowOff>136337</xdr:rowOff>
    </xdr:from>
    <xdr:to>
      <xdr:col>8</xdr:col>
      <xdr:colOff>528286</xdr:colOff>
      <xdr:row>136</xdr:row>
      <xdr:rowOff>50800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43547A3-81ED-4F59-B60D-C4CC11F85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0819" y="27444512"/>
          <a:ext cx="2177792" cy="514538"/>
        </a:xfrm>
        <a:prstGeom prst="rect">
          <a:avLst/>
        </a:prstGeom>
      </xdr:spPr>
    </xdr:pic>
    <xdr:clientData/>
  </xdr:twoCellAnchor>
  <xdr:oneCellAnchor>
    <xdr:from>
      <xdr:col>6</xdr:col>
      <xdr:colOff>179294</xdr:colOff>
      <xdr:row>205</xdr:row>
      <xdr:rowOff>136337</xdr:rowOff>
    </xdr:from>
    <xdr:ext cx="2177792" cy="524063"/>
    <xdr:pic>
      <xdr:nvPicPr>
        <xdr:cNvPr id="7" name="Picture 6">
          <a:extLst>
            <a:ext uri="{FF2B5EF4-FFF2-40B4-BE49-F238E27FC236}">
              <a16:creationId xmlns:a16="http://schemas.microsoft.com/office/drawing/2014/main" id="{0B011B15-3F4E-4BBD-92CB-0DA6371C8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0819" y="41846312"/>
          <a:ext cx="2177792" cy="52406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53146</xdr:colOff>
      <xdr:row>0</xdr:row>
      <xdr:rowOff>43208</xdr:rowOff>
    </xdr:from>
    <xdr:to>
      <xdr:col>3</xdr:col>
      <xdr:colOff>1346992</xdr:colOff>
      <xdr:row>3</xdr:row>
      <xdr:rowOff>196712</xdr:rowOff>
    </xdr:to>
    <xdr:pic>
      <xdr:nvPicPr>
        <xdr:cNvPr id="2" name="Picture 1" descr="Viettel_Logo2">
          <a:extLst>
            <a:ext uri="{FF2B5EF4-FFF2-40B4-BE49-F238E27FC236}">
              <a16:creationId xmlns:a16="http://schemas.microsoft.com/office/drawing/2014/main" id="{487D4272-D872-4A20-975A-ABC125EAE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6" y="43208"/>
          <a:ext cx="3008346" cy="1153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179294</xdr:colOff>
      <xdr:row>133</xdr:row>
      <xdr:rowOff>136337</xdr:rowOff>
    </xdr:from>
    <xdr:to>
      <xdr:col>8</xdr:col>
      <xdr:colOff>528286</xdr:colOff>
      <xdr:row>136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72D0A4-83A3-4774-9BEC-4FBD1565C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0819" y="27444512"/>
          <a:ext cx="2177792" cy="514538"/>
        </a:xfrm>
        <a:prstGeom prst="rect">
          <a:avLst/>
        </a:prstGeom>
      </xdr:spPr>
    </xdr:pic>
    <xdr:clientData/>
  </xdr:twoCellAnchor>
  <xdr:oneCellAnchor>
    <xdr:from>
      <xdr:col>6</xdr:col>
      <xdr:colOff>179294</xdr:colOff>
      <xdr:row>205</xdr:row>
      <xdr:rowOff>136337</xdr:rowOff>
    </xdr:from>
    <xdr:ext cx="2177792" cy="524063"/>
    <xdr:pic>
      <xdr:nvPicPr>
        <xdr:cNvPr id="4" name="Picture 3">
          <a:extLst>
            <a:ext uri="{FF2B5EF4-FFF2-40B4-BE49-F238E27FC236}">
              <a16:creationId xmlns:a16="http://schemas.microsoft.com/office/drawing/2014/main" id="{A6D8BF5F-892C-4976-9A50-5C36F5A1C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0819" y="41846312"/>
          <a:ext cx="2177792" cy="52406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236444</xdr:colOff>
      <xdr:row>18</xdr:row>
      <xdr:rowOff>437784</xdr:rowOff>
    </xdr:from>
    <xdr:ext cx="1506631" cy="355966"/>
    <xdr:pic>
      <xdr:nvPicPr>
        <xdr:cNvPr id="2" name="Picture 1">
          <a:extLst>
            <a:ext uri="{FF2B5EF4-FFF2-40B4-BE49-F238E27FC236}">
              <a16:creationId xmlns:a16="http://schemas.microsoft.com/office/drawing/2014/main" id="{083A0DDA-BCD3-40FA-BD4B-CCD111193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4444" y="3478164"/>
          <a:ext cx="1506631" cy="355966"/>
        </a:xfrm>
        <a:prstGeom prst="rect">
          <a:avLst/>
        </a:prstGeom>
      </xdr:spPr>
    </xdr:pic>
    <xdr:clientData/>
  </xdr:oneCellAnchor>
  <xdr:oneCellAnchor>
    <xdr:from>
      <xdr:col>6</xdr:col>
      <xdr:colOff>245969</xdr:colOff>
      <xdr:row>18</xdr:row>
      <xdr:rowOff>447309</xdr:rowOff>
    </xdr:from>
    <xdr:ext cx="1506631" cy="355966"/>
    <xdr:pic>
      <xdr:nvPicPr>
        <xdr:cNvPr id="3" name="Picture 2">
          <a:extLst>
            <a:ext uri="{FF2B5EF4-FFF2-40B4-BE49-F238E27FC236}">
              <a16:creationId xmlns:a16="http://schemas.microsoft.com/office/drawing/2014/main" id="{DF5FE040-1314-4D6D-BB3C-A7851C488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3569" y="3472449"/>
          <a:ext cx="1506631" cy="355966"/>
        </a:xfrm>
        <a:prstGeom prst="rect">
          <a:avLst/>
        </a:prstGeom>
      </xdr:spPr>
    </xdr:pic>
    <xdr:clientData/>
  </xdr:oneCellAnchor>
  <xdr:oneCellAnchor>
    <xdr:from>
      <xdr:col>7</xdr:col>
      <xdr:colOff>245969</xdr:colOff>
      <xdr:row>18</xdr:row>
      <xdr:rowOff>447309</xdr:rowOff>
    </xdr:from>
    <xdr:ext cx="1506631" cy="355966"/>
    <xdr:pic>
      <xdr:nvPicPr>
        <xdr:cNvPr id="4" name="Picture 3">
          <a:extLst>
            <a:ext uri="{FF2B5EF4-FFF2-40B4-BE49-F238E27FC236}">
              <a16:creationId xmlns:a16="http://schemas.microsoft.com/office/drawing/2014/main" id="{B1ADF9C9-AC69-423B-9275-64C5AC129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3169" y="3472449"/>
          <a:ext cx="1506631" cy="355966"/>
        </a:xfrm>
        <a:prstGeom prst="rect">
          <a:avLst/>
        </a:prstGeom>
      </xdr:spPr>
    </xdr:pic>
    <xdr:clientData/>
  </xdr:oneCellAnchor>
  <xdr:oneCellAnchor>
    <xdr:from>
      <xdr:col>5</xdr:col>
      <xdr:colOff>226919</xdr:colOff>
      <xdr:row>22</xdr:row>
      <xdr:rowOff>380634</xdr:rowOff>
    </xdr:from>
    <xdr:ext cx="1506631" cy="355966"/>
    <xdr:pic>
      <xdr:nvPicPr>
        <xdr:cNvPr id="5" name="Picture 4">
          <a:extLst>
            <a:ext uri="{FF2B5EF4-FFF2-40B4-BE49-F238E27FC236}">
              <a16:creationId xmlns:a16="http://schemas.microsoft.com/office/drawing/2014/main" id="{3AF60020-6138-445E-BAE8-551996C66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4919" y="4205874"/>
          <a:ext cx="1506631" cy="355966"/>
        </a:xfrm>
        <a:prstGeom prst="rect">
          <a:avLst/>
        </a:prstGeom>
      </xdr:spPr>
    </xdr:pic>
    <xdr:clientData/>
  </xdr:oneCellAnchor>
  <xdr:oneCellAnchor>
    <xdr:from>
      <xdr:col>6</xdr:col>
      <xdr:colOff>255494</xdr:colOff>
      <xdr:row>22</xdr:row>
      <xdr:rowOff>380634</xdr:rowOff>
    </xdr:from>
    <xdr:ext cx="1506631" cy="355966"/>
    <xdr:pic>
      <xdr:nvPicPr>
        <xdr:cNvPr id="6" name="Picture 5">
          <a:extLst>
            <a:ext uri="{FF2B5EF4-FFF2-40B4-BE49-F238E27FC236}">
              <a16:creationId xmlns:a16="http://schemas.microsoft.com/office/drawing/2014/main" id="{D658B3CF-0CCF-4383-A6AA-51438CD9B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3094" y="4205874"/>
          <a:ext cx="1506631" cy="355966"/>
        </a:xfrm>
        <a:prstGeom prst="rect">
          <a:avLst/>
        </a:prstGeom>
      </xdr:spPr>
    </xdr:pic>
    <xdr:clientData/>
  </xdr:oneCellAnchor>
  <xdr:oneCellAnchor>
    <xdr:from>
      <xdr:col>7</xdr:col>
      <xdr:colOff>236444</xdr:colOff>
      <xdr:row>22</xdr:row>
      <xdr:rowOff>399684</xdr:rowOff>
    </xdr:from>
    <xdr:ext cx="1506631" cy="355966"/>
    <xdr:pic>
      <xdr:nvPicPr>
        <xdr:cNvPr id="7" name="Picture 6">
          <a:extLst>
            <a:ext uri="{FF2B5EF4-FFF2-40B4-BE49-F238E27FC236}">
              <a16:creationId xmlns:a16="http://schemas.microsoft.com/office/drawing/2014/main" id="{0A1853EB-F979-476B-B278-4678506B9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3644" y="4209684"/>
          <a:ext cx="1506631" cy="35596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ocuments/Received%20Files/MRU32TR_XXX_OptionYY_templat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ocuments/Received%20Files/MRU32T32R_Report_Template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1-CH8"/>
      <sheetName val="CH9-CH16"/>
      <sheetName val="CH17-CH24"/>
      <sheetName val="CH25-CH32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lutsion"/>
      <sheetName val="CH1-CH8"/>
      <sheetName val="CH9-CH16"/>
      <sheetName val="CH17-CH24"/>
      <sheetName val="CH25-CH32"/>
      <sheetName val="TXRESULT"/>
      <sheetName val="RXRESULT"/>
    </sheetNames>
    <sheetDataSet>
      <sheetData sheetId="0"/>
      <sheetData sheetId="1">
        <row r="16">
          <cell r="K16">
            <v>39.9</v>
          </cell>
        </row>
        <row r="17">
          <cell r="K17">
            <v>40.1</v>
          </cell>
        </row>
        <row r="18">
          <cell r="K18">
            <v>40.200000000000003</v>
          </cell>
        </row>
        <row r="19">
          <cell r="K19">
            <v>39.799999999999997</v>
          </cell>
        </row>
        <row r="20">
          <cell r="K20">
            <v>40.200000000000003</v>
          </cell>
        </row>
        <row r="21">
          <cell r="K21">
            <v>40.1</v>
          </cell>
        </row>
        <row r="22">
          <cell r="K22">
            <v>40</v>
          </cell>
        </row>
        <row r="23">
          <cell r="K23">
            <v>39.9</v>
          </cell>
        </row>
      </sheetData>
      <sheetData sheetId="2">
        <row r="16">
          <cell r="K16">
            <v>39.799999999999997</v>
          </cell>
        </row>
        <row r="17">
          <cell r="K17">
            <v>39.799999999999997</v>
          </cell>
        </row>
        <row r="18">
          <cell r="K18">
            <v>39.700000000000003</v>
          </cell>
        </row>
        <row r="19">
          <cell r="K19">
            <v>39.700000000000003</v>
          </cell>
        </row>
        <row r="20">
          <cell r="K20">
            <v>39.9</v>
          </cell>
        </row>
        <row r="21">
          <cell r="K21">
            <v>39.6</v>
          </cell>
        </row>
        <row r="22">
          <cell r="K22">
            <v>39.700000000000003</v>
          </cell>
        </row>
        <row r="23">
          <cell r="K23">
            <v>40.700000000000003</v>
          </cell>
        </row>
      </sheetData>
      <sheetData sheetId="3">
        <row r="16">
          <cell r="K16">
            <v>40.4</v>
          </cell>
        </row>
        <row r="17">
          <cell r="K17">
            <v>40.200000000000003</v>
          </cell>
        </row>
        <row r="18">
          <cell r="K18">
            <v>39.9</v>
          </cell>
        </row>
        <row r="19">
          <cell r="K19">
            <v>41.1</v>
          </cell>
        </row>
        <row r="20">
          <cell r="K20">
            <v>40.200000000000003</v>
          </cell>
        </row>
        <row r="21">
          <cell r="K21">
            <v>40.5</v>
          </cell>
        </row>
        <row r="22">
          <cell r="K22">
            <v>40.4</v>
          </cell>
        </row>
        <row r="23">
          <cell r="K23">
            <v>40.299999999999997</v>
          </cell>
        </row>
      </sheetData>
      <sheetData sheetId="4">
        <row r="16">
          <cell r="K16">
            <v>39.700000000000003</v>
          </cell>
        </row>
        <row r="17">
          <cell r="K17">
            <v>40</v>
          </cell>
        </row>
        <row r="18">
          <cell r="K18">
            <v>39.700000000000003</v>
          </cell>
        </row>
        <row r="19">
          <cell r="K19">
            <v>39.799999999999997</v>
          </cell>
        </row>
        <row r="20">
          <cell r="K20">
            <v>40.200000000000003</v>
          </cell>
        </row>
        <row r="21">
          <cell r="K21">
            <v>40.4</v>
          </cell>
        </row>
        <row r="22">
          <cell r="K22">
            <v>40.4</v>
          </cell>
        </row>
        <row r="23">
          <cell r="K23">
            <v>40.1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7"/>
  <sheetViews>
    <sheetView tabSelected="1" view="pageBreakPreview" topLeftCell="A10" zoomScaleNormal="100" zoomScaleSheetLayoutView="100" workbookViewId="0">
      <selection activeCell="N272" sqref="N272"/>
    </sheetView>
  </sheetViews>
  <sheetFormatPr defaultColWidth="9.109375" defaultRowHeight="15.6" x14ac:dyDescent="0.3"/>
  <cols>
    <col min="1" max="1" width="8.88671875" style="56" customWidth="1"/>
    <col min="2" max="2" width="7.5546875" style="56" customWidth="1"/>
    <col min="3" max="3" width="9.33203125" style="56" customWidth="1"/>
    <col min="4" max="4" width="21" style="56" customWidth="1"/>
    <col min="5" max="5" width="13" style="56" customWidth="1"/>
    <col min="6" max="6" width="9" style="56" customWidth="1"/>
    <col min="7" max="9" width="13.6640625" style="56" customWidth="1"/>
    <col min="10" max="10" width="7.6640625" style="56" bestFit="1" customWidth="1"/>
    <col min="11" max="11" width="10.44140625" style="3" customWidth="1"/>
    <col min="12" max="12" width="24.44140625" style="56" customWidth="1"/>
    <col min="13" max="13" width="12.44140625" style="3" customWidth="1"/>
    <col min="14" max="14" width="12.33203125" style="57" customWidth="1"/>
    <col min="15" max="15" width="9.77734375" style="3" bestFit="1" customWidth="1"/>
    <col min="16" max="16" width="10.88671875" style="3" bestFit="1" customWidth="1"/>
    <col min="17" max="16384" width="9.109375" style="3"/>
  </cols>
  <sheetData>
    <row r="1" spans="1:15" x14ac:dyDescent="0.3">
      <c r="A1" s="204"/>
      <c r="B1" s="205"/>
      <c r="C1" s="205"/>
      <c r="D1" s="206"/>
      <c r="E1" s="213" t="s">
        <v>0</v>
      </c>
      <c r="F1" s="214"/>
      <c r="G1" s="214"/>
      <c r="H1" s="214"/>
      <c r="I1" s="214"/>
      <c r="J1" s="214"/>
      <c r="K1" s="214"/>
      <c r="L1" s="215"/>
      <c r="M1" s="1" t="s">
        <v>1</v>
      </c>
      <c r="N1" s="2"/>
    </row>
    <row r="2" spans="1:15" ht="31.2" x14ac:dyDescent="0.3">
      <c r="A2" s="207"/>
      <c r="B2" s="208"/>
      <c r="C2" s="208"/>
      <c r="D2" s="209"/>
      <c r="E2" s="216" t="s">
        <v>2</v>
      </c>
      <c r="F2" s="217"/>
      <c r="G2" s="217"/>
      <c r="H2" s="217"/>
      <c r="I2" s="217"/>
      <c r="J2" s="217"/>
      <c r="K2" s="217"/>
      <c r="L2" s="218"/>
      <c r="M2" s="1" t="s">
        <v>3</v>
      </c>
      <c r="N2" s="4"/>
    </row>
    <row r="3" spans="1:15" ht="31.2" x14ac:dyDescent="0.3">
      <c r="A3" s="207"/>
      <c r="B3" s="208"/>
      <c r="C3" s="208"/>
      <c r="D3" s="209"/>
      <c r="E3" s="216"/>
      <c r="F3" s="217"/>
      <c r="G3" s="217"/>
      <c r="H3" s="217"/>
      <c r="I3" s="217"/>
      <c r="J3" s="217"/>
      <c r="K3" s="217"/>
      <c r="L3" s="218"/>
      <c r="M3" s="1" t="s">
        <v>4</v>
      </c>
      <c r="N3" s="4"/>
    </row>
    <row r="4" spans="1:15" ht="22.5" customHeight="1" x14ac:dyDescent="0.3">
      <c r="A4" s="210"/>
      <c r="B4" s="211"/>
      <c r="C4" s="211"/>
      <c r="D4" s="212"/>
      <c r="E4" s="216" t="s">
        <v>5</v>
      </c>
      <c r="F4" s="217"/>
      <c r="G4" s="217"/>
      <c r="H4" s="217"/>
      <c r="I4" s="217"/>
      <c r="J4" s="217"/>
      <c r="K4" s="217"/>
      <c r="L4" s="218"/>
      <c r="M4" s="1" t="s">
        <v>6</v>
      </c>
      <c r="N4" s="5" t="s">
        <v>7</v>
      </c>
    </row>
    <row r="5" spans="1:15" x14ac:dyDescent="0.3">
      <c r="A5" s="193" t="s">
        <v>8</v>
      </c>
      <c r="B5" s="193"/>
      <c r="C5" s="193"/>
      <c r="D5" s="193"/>
      <c r="E5" s="6" t="s">
        <v>9</v>
      </c>
      <c r="F5" s="219" t="s">
        <v>10</v>
      </c>
      <c r="G5" s="219"/>
      <c r="H5" s="219"/>
      <c r="I5" s="6" t="s">
        <v>11</v>
      </c>
      <c r="J5" s="219"/>
      <c r="K5" s="219"/>
      <c r="L5" s="6" t="s">
        <v>12</v>
      </c>
      <c r="M5" s="7">
        <v>2023</v>
      </c>
      <c r="N5" s="2"/>
    </row>
    <row r="6" spans="1:15" x14ac:dyDescent="0.3">
      <c r="A6" s="193"/>
      <c r="B6" s="193"/>
      <c r="C6" s="193"/>
      <c r="D6" s="193"/>
      <c r="E6" s="6" t="s">
        <v>13</v>
      </c>
      <c r="F6" s="219" t="s">
        <v>14</v>
      </c>
      <c r="G6" s="219"/>
      <c r="H6" s="219"/>
      <c r="I6" s="6" t="s">
        <v>11</v>
      </c>
      <c r="J6" s="219" t="s">
        <v>15</v>
      </c>
      <c r="K6" s="219"/>
      <c r="L6" s="6" t="s">
        <v>12</v>
      </c>
      <c r="M6" s="7">
        <v>2023</v>
      </c>
      <c r="N6" s="2"/>
    </row>
    <row r="7" spans="1:15" ht="15.6" customHeight="1" x14ac:dyDescent="0.3">
      <c r="A7" s="193"/>
      <c r="B7" s="193"/>
      <c r="C7" s="193"/>
      <c r="D7" s="193"/>
      <c r="E7" s="6" t="s">
        <v>16</v>
      </c>
      <c r="F7" s="220" t="s">
        <v>226</v>
      </c>
      <c r="G7" s="220"/>
      <c r="H7" s="220"/>
      <c r="I7" s="6" t="s">
        <v>17</v>
      </c>
      <c r="J7" s="219" t="s">
        <v>18</v>
      </c>
      <c r="K7" s="219"/>
      <c r="L7" s="6" t="s">
        <v>19</v>
      </c>
      <c r="M7" s="7"/>
      <c r="N7" s="2"/>
    </row>
    <row r="8" spans="1:15" x14ac:dyDescent="0.3">
      <c r="A8" s="193"/>
      <c r="B8" s="193"/>
      <c r="C8" s="193"/>
      <c r="D8" s="193"/>
      <c r="E8" s="6" t="s">
        <v>20</v>
      </c>
      <c r="F8" s="219" t="s">
        <v>7</v>
      </c>
      <c r="G8" s="219"/>
      <c r="H8" s="219"/>
      <c r="I8" s="6" t="s">
        <v>21</v>
      </c>
      <c r="J8" s="219" t="s">
        <v>251</v>
      </c>
      <c r="K8" s="219"/>
      <c r="L8" s="6" t="s">
        <v>19</v>
      </c>
      <c r="M8" s="7" t="s">
        <v>252</v>
      </c>
      <c r="N8" s="2"/>
    </row>
    <row r="9" spans="1:15" x14ac:dyDescent="0.3">
      <c r="A9" s="193"/>
      <c r="B9" s="193"/>
      <c r="C9" s="193"/>
      <c r="D9" s="193"/>
      <c r="E9" s="60" t="s">
        <v>23</v>
      </c>
      <c r="F9" s="219" t="s">
        <v>24</v>
      </c>
      <c r="G9" s="219"/>
      <c r="H9" s="219"/>
      <c r="I9" s="6" t="s">
        <v>219</v>
      </c>
      <c r="J9" s="219" t="s">
        <v>25</v>
      </c>
      <c r="K9" s="219"/>
      <c r="L9" s="6" t="s">
        <v>26</v>
      </c>
      <c r="M9" s="7"/>
      <c r="N9" s="2"/>
    </row>
    <row r="10" spans="1:15" x14ac:dyDescent="0.3">
      <c r="A10" s="193" t="s">
        <v>27</v>
      </c>
      <c r="B10" s="193"/>
      <c r="C10" s="193"/>
      <c r="D10" s="193"/>
      <c r="E10" s="8" t="s">
        <v>28</v>
      </c>
      <c r="F10" s="194" t="s">
        <v>29</v>
      </c>
      <c r="G10" s="194"/>
      <c r="H10" s="194"/>
      <c r="I10" s="194"/>
      <c r="J10" s="194"/>
      <c r="K10" s="194"/>
      <c r="L10" s="194"/>
      <c r="M10" s="194"/>
      <c r="N10" s="194"/>
    </row>
    <row r="11" spans="1:15" x14ac:dyDescent="0.3">
      <c r="A11" s="193"/>
      <c r="B11" s="193"/>
      <c r="C11" s="193"/>
      <c r="D11" s="193"/>
      <c r="E11" s="8" t="s">
        <v>30</v>
      </c>
      <c r="F11" s="194" t="s">
        <v>31</v>
      </c>
      <c r="G11" s="194"/>
      <c r="H11" s="194"/>
      <c r="I11" s="195" t="s">
        <v>32</v>
      </c>
      <c r="J11" s="196"/>
      <c r="K11" s="197"/>
      <c r="L11" s="6" t="s">
        <v>33</v>
      </c>
      <c r="M11" s="9"/>
      <c r="N11" s="2"/>
    </row>
    <row r="12" spans="1:15" x14ac:dyDescent="0.3">
      <c r="A12" s="193"/>
      <c r="B12" s="193"/>
      <c r="C12" s="193"/>
      <c r="D12" s="193"/>
      <c r="E12" s="10" t="s">
        <v>34</v>
      </c>
      <c r="F12" s="198" t="s">
        <v>35</v>
      </c>
      <c r="G12" s="199"/>
      <c r="H12" s="200"/>
      <c r="I12" s="201" t="s">
        <v>36</v>
      </c>
      <c r="J12" s="202"/>
      <c r="K12" s="203"/>
      <c r="L12" s="11" t="s">
        <v>37</v>
      </c>
      <c r="M12" s="12"/>
      <c r="N12" s="13"/>
    </row>
    <row r="13" spans="1:15" x14ac:dyDescent="0.3">
      <c r="A13" s="148" t="s">
        <v>38</v>
      </c>
      <c r="B13" s="151" t="s">
        <v>39</v>
      </c>
      <c r="C13" s="152"/>
      <c r="D13" s="153"/>
      <c r="E13" s="148" t="s">
        <v>40</v>
      </c>
      <c r="F13" s="160" t="s">
        <v>41</v>
      </c>
      <c r="G13" s="161"/>
      <c r="H13" s="161"/>
      <c r="I13" s="162"/>
      <c r="J13" s="151" t="s">
        <v>42</v>
      </c>
      <c r="K13" s="153"/>
      <c r="L13" s="148" t="s">
        <v>43</v>
      </c>
      <c r="M13" s="133" t="s">
        <v>44</v>
      </c>
      <c r="N13" s="133" t="s">
        <v>45</v>
      </c>
    </row>
    <row r="14" spans="1:15" x14ac:dyDescent="0.3">
      <c r="A14" s="150"/>
      <c r="B14" s="157"/>
      <c r="C14" s="158"/>
      <c r="D14" s="159"/>
      <c r="E14" s="150"/>
      <c r="F14" s="14" t="s">
        <v>46</v>
      </c>
      <c r="G14" s="14" t="s">
        <v>47</v>
      </c>
      <c r="H14" s="14" t="s">
        <v>48</v>
      </c>
      <c r="I14" s="14" t="s">
        <v>49</v>
      </c>
      <c r="J14" s="157"/>
      <c r="K14" s="159"/>
      <c r="L14" s="150"/>
      <c r="M14" s="135"/>
      <c r="N14" s="135"/>
    </row>
    <row r="15" spans="1:15" ht="16.2" x14ac:dyDescent="0.3">
      <c r="A15" s="14" t="s">
        <v>50</v>
      </c>
      <c r="B15" s="15" t="s">
        <v>51</v>
      </c>
      <c r="C15" s="16"/>
      <c r="D15" s="16"/>
      <c r="E15" s="16"/>
      <c r="F15" s="16"/>
      <c r="G15" s="17"/>
      <c r="H15" s="18"/>
      <c r="I15" s="19"/>
      <c r="J15" s="20"/>
      <c r="K15" s="21"/>
      <c r="L15" s="22"/>
      <c r="M15" s="23"/>
      <c r="N15" s="24"/>
    </row>
    <row r="16" spans="1:15" x14ac:dyDescent="0.3">
      <c r="A16" s="115">
        <v>1.1000000000000001</v>
      </c>
      <c r="B16" s="174" t="s">
        <v>227</v>
      </c>
      <c r="C16" s="175"/>
      <c r="D16" s="176"/>
      <c r="E16" s="132" t="s">
        <v>52</v>
      </c>
      <c r="F16" s="164" t="s">
        <v>53</v>
      </c>
      <c r="G16" s="25" t="s">
        <v>54</v>
      </c>
      <c r="H16" s="25" t="s">
        <v>55</v>
      </c>
      <c r="I16" s="25" t="s">
        <v>56</v>
      </c>
      <c r="J16" s="25" t="s">
        <v>57</v>
      </c>
      <c r="K16" s="26">
        <f>VLOOKUP($B$16&amp;J16&amp;$F$16,TXRESULT!$A$1:$J$1004,6,FALSE)</f>
        <v>40.1</v>
      </c>
      <c r="L16" s="145" t="s">
        <v>58</v>
      </c>
      <c r="M16" s="27" t="str">
        <f>IF(ISBLANK(K16),"",IF(AND(K16*1&gt;H16*1,K16*1&lt;I16*1),"PASS","FAIL"))</f>
        <v>PASS</v>
      </c>
      <c r="N16" s="27" t="str">
        <f>IF(ISBLANK(K16),"CHUADO","")</f>
        <v/>
      </c>
      <c r="O16" s="56"/>
    </row>
    <row r="17" spans="1:15" x14ac:dyDescent="0.3">
      <c r="A17" s="116"/>
      <c r="B17" s="177"/>
      <c r="C17" s="178"/>
      <c r="D17" s="179"/>
      <c r="E17" s="119"/>
      <c r="F17" s="165"/>
      <c r="G17" s="25" t="s">
        <v>54</v>
      </c>
      <c r="H17" s="25" t="s">
        <v>55</v>
      </c>
      <c r="I17" s="25" t="s">
        <v>56</v>
      </c>
      <c r="J17" s="25" t="s">
        <v>59</v>
      </c>
      <c r="K17" s="26">
        <f>VLOOKUP($B$16&amp;J17&amp;$F$16,TXRESULT!$A$1:$J$1004,6,FALSE)</f>
        <v>40.299999999999997</v>
      </c>
      <c r="L17" s="146"/>
      <c r="M17" s="27" t="str">
        <f t="shared" ref="M17:M23" si="0">IF(ISBLANK(K17),"",IF(AND(K17*1&gt;H17*1,K17*1&lt;I17*1),"PASS","FAIL"))</f>
        <v>PASS</v>
      </c>
      <c r="N17" s="27" t="str">
        <f t="shared" ref="N17:N80" si="1">IF(ISBLANK(K17),"CHUADO","")</f>
        <v/>
      </c>
    </row>
    <row r="18" spans="1:15" x14ac:dyDescent="0.3">
      <c r="A18" s="116"/>
      <c r="B18" s="177"/>
      <c r="C18" s="178"/>
      <c r="D18" s="179"/>
      <c r="E18" s="119"/>
      <c r="F18" s="165"/>
      <c r="G18" s="25" t="s">
        <v>54</v>
      </c>
      <c r="H18" s="25" t="s">
        <v>55</v>
      </c>
      <c r="I18" s="25" t="s">
        <v>56</v>
      </c>
      <c r="J18" s="25" t="s">
        <v>60</v>
      </c>
      <c r="K18" s="26">
        <f>VLOOKUP($B$16&amp;J18&amp;$F$16,TXRESULT!$A$1:$J$1004,6,FALSE)</f>
        <v>40.1</v>
      </c>
      <c r="L18" s="146"/>
      <c r="M18" s="27" t="str">
        <f t="shared" si="0"/>
        <v>PASS</v>
      </c>
      <c r="N18" s="27" t="str">
        <f t="shared" si="1"/>
        <v/>
      </c>
    </row>
    <row r="19" spans="1:15" x14ac:dyDescent="0.3">
      <c r="A19" s="116"/>
      <c r="B19" s="177"/>
      <c r="C19" s="178"/>
      <c r="D19" s="179"/>
      <c r="E19" s="119"/>
      <c r="F19" s="165"/>
      <c r="G19" s="25" t="s">
        <v>54</v>
      </c>
      <c r="H19" s="25" t="s">
        <v>55</v>
      </c>
      <c r="I19" s="25" t="s">
        <v>56</v>
      </c>
      <c r="J19" s="25" t="s">
        <v>61</v>
      </c>
      <c r="K19" s="26">
        <f>VLOOKUP($B$16&amp;J19&amp;$F$16,TXRESULT!$A$1:$J$1004,6,FALSE)</f>
        <v>40.1</v>
      </c>
      <c r="L19" s="146"/>
      <c r="M19" s="27" t="str">
        <f t="shared" si="0"/>
        <v>PASS</v>
      </c>
      <c r="N19" s="27" t="str">
        <f t="shared" si="1"/>
        <v/>
      </c>
    </row>
    <row r="20" spans="1:15" x14ac:dyDescent="0.3">
      <c r="A20" s="116"/>
      <c r="B20" s="177"/>
      <c r="C20" s="178"/>
      <c r="D20" s="179"/>
      <c r="E20" s="119"/>
      <c r="F20" s="165"/>
      <c r="G20" s="25" t="s">
        <v>54</v>
      </c>
      <c r="H20" s="25" t="s">
        <v>55</v>
      </c>
      <c r="I20" s="25" t="s">
        <v>56</v>
      </c>
      <c r="J20" s="25" t="s">
        <v>62</v>
      </c>
      <c r="K20" s="26">
        <f>VLOOKUP($B$16&amp;J20&amp;$F$16,TXRESULT!$A$1:$J$1004,6,FALSE)</f>
        <v>39.6</v>
      </c>
      <c r="L20" s="146"/>
      <c r="M20" s="27" t="str">
        <f t="shared" si="0"/>
        <v>PASS</v>
      </c>
      <c r="N20" s="27" t="str">
        <f t="shared" si="1"/>
        <v/>
      </c>
    </row>
    <row r="21" spans="1:15" x14ac:dyDescent="0.3">
      <c r="A21" s="116"/>
      <c r="B21" s="177"/>
      <c r="C21" s="178"/>
      <c r="D21" s="179"/>
      <c r="E21" s="119"/>
      <c r="F21" s="165"/>
      <c r="G21" s="25" t="s">
        <v>54</v>
      </c>
      <c r="H21" s="25" t="s">
        <v>55</v>
      </c>
      <c r="I21" s="25" t="s">
        <v>56</v>
      </c>
      <c r="J21" s="25" t="s">
        <v>63</v>
      </c>
      <c r="K21" s="26">
        <f>VLOOKUP($B$16&amp;J21&amp;$F$16,TXRESULT!$A$1:$J$1004,6,FALSE)</f>
        <v>39.9</v>
      </c>
      <c r="L21" s="146"/>
      <c r="M21" s="27" t="str">
        <f t="shared" si="0"/>
        <v>PASS</v>
      </c>
      <c r="N21" s="27" t="str">
        <f t="shared" si="1"/>
        <v/>
      </c>
    </row>
    <row r="22" spans="1:15" x14ac:dyDescent="0.3">
      <c r="A22" s="116"/>
      <c r="B22" s="177"/>
      <c r="C22" s="178"/>
      <c r="D22" s="179"/>
      <c r="E22" s="119"/>
      <c r="F22" s="165"/>
      <c r="G22" s="25" t="s">
        <v>54</v>
      </c>
      <c r="H22" s="25" t="s">
        <v>55</v>
      </c>
      <c r="I22" s="25" t="s">
        <v>56</v>
      </c>
      <c r="J22" s="25" t="s">
        <v>64</v>
      </c>
      <c r="K22" s="26">
        <f>VLOOKUP($B$16&amp;J22&amp;$F$16,TXRESULT!$A$1:$J$1004,6,FALSE)</f>
        <v>39.9</v>
      </c>
      <c r="L22" s="146"/>
      <c r="M22" s="27" t="str">
        <f t="shared" si="0"/>
        <v>PASS</v>
      </c>
      <c r="N22" s="27" t="str">
        <f t="shared" si="1"/>
        <v/>
      </c>
    </row>
    <row r="23" spans="1:15" x14ac:dyDescent="0.3">
      <c r="A23" s="117"/>
      <c r="B23" s="180"/>
      <c r="C23" s="181"/>
      <c r="D23" s="182"/>
      <c r="E23" s="120"/>
      <c r="F23" s="166"/>
      <c r="G23" s="25" t="s">
        <v>54</v>
      </c>
      <c r="H23" s="25" t="s">
        <v>55</v>
      </c>
      <c r="I23" s="25" t="s">
        <v>56</v>
      </c>
      <c r="J23" s="25" t="s">
        <v>65</v>
      </c>
      <c r="K23" s="26">
        <f>VLOOKUP($B$16&amp;J23&amp;$F$16,TXRESULT!$A$1:$J$1004,6,FALSE)</f>
        <v>39.799999999999997</v>
      </c>
      <c r="L23" s="147"/>
      <c r="M23" s="27" t="str">
        <f t="shared" si="0"/>
        <v>PASS</v>
      </c>
      <c r="N23" s="27" t="str">
        <f t="shared" si="1"/>
        <v/>
      </c>
    </row>
    <row r="24" spans="1:15" x14ac:dyDescent="0.3">
      <c r="A24" s="28"/>
      <c r="B24" s="29" t="s">
        <v>66</v>
      </c>
      <c r="C24" s="30"/>
      <c r="D24" s="31"/>
      <c r="E24" s="32" t="str">
        <f>IF(OR(K24="",AND(H24="",I24="")),"",IF(OR(AND(K24&lt;&gt;"",I24&lt;&gt;"",K24&gt;I24),AND(K24&lt;&gt;"",H24&lt;&gt;"",K24&lt;H24)),"FAIL","PASS"))</f>
        <v/>
      </c>
      <c r="F24" s="32"/>
      <c r="G24" s="32"/>
      <c r="H24" s="32"/>
      <c r="I24" s="32"/>
      <c r="J24" s="32"/>
      <c r="K24" s="33"/>
      <c r="L24" s="32"/>
      <c r="M24" s="27"/>
      <c r="N24" s="27"/>
    </row>
    <row r="25" spans="1:15" x14ac:dyDescent="0.3">
      <c r="A25" s="115" t="s">
        <v>67</v>
      </c>
      <c r="B25" s="174" t="s">
        <v>228</v>
      </c>
      <c r="C25" s="175"/>
      <c r="D25" s="176"/>
      <c r="E25" s="132" t="s">
        <v>68</v>
      </c>
      <c r="F25" s="164" t="s">
        <v>269</v>
      </c>
      <c r="G25" s="25" t="s">
        <v>69</v>
      </c>
      <c r="H25" s="25" t="str">
        <f>G25</f>
        <v>23.9</v>
      </c>
      <c r="I25" s="25" t="str">
        <f>IF(ISBLANK('[1]CH1-CH8'!G11),"",('[1]CH1-CH8'!G11))</f>
        <v/>
      </c>
      <c r="J25" s="25" t="s">
        <v>57</v>
      </c>
      <c r="K25" s="26">
        <f>VLOOKUP($B$25&amp;J25&amp;$F$25,TXRESULT!$A$1:$J$1004,6,FALSE)</f>
        <v>26.2</v>
      </c>
      <c r="L25" s="145" t="s">
        <v>70</v>
      </c>
      <c r="M25" s="27" t="str">
        <f>IF(ISBLANK(K25),"",IF(AND(K25*1&gt;H25*1),"PASS","FAIL"))</f>
        <v>PASS</v>
      </c>
      <c r="N25" s="27" t="str">
        <f t="shared" si="1"/>
        <v/>
      </c>
      <c r="O25" s="56"/>
    </row>
    <row r="26" spans="1:15" x14ac:dyDescent="0.3">
      <c r="A26" s="116"/>
      <c r="B26" s="177"/>
      <c r="C26" s="178"/>
      <c r="D26" s="179"/>
      <c r="E26" s="119"/>
      <c r="F26" s="165"/>
      <c r="G26" s="25" t="str">
        <f>G25</f>
        <v>23.9</v>
      </c>
      <c r="H26" s="25" t="str">
        <f>H25</f>
        <v>23.9</v>
      </c>
      <c r="I26" s="25" t="str">
        <f>I25</f>
        <v/>
      </c>
      <c r="J26" s="25" t="s">
        <v>59</v>
      </c>
      <c r="K26" s="26">
        <f>VLOOKUP($B$25&amp;J26&amp;$F$25,TXRESULT!$A$1:$J$1004,6,FALSE)</f>
        <v>26</v>
      </c>
      <c r="L26" s="146"/>
      <c r="M26" s="27" t="str">
        <f t="shared" ref="M26:M33" si="2">IF(ISBLANK(K26),"",IF(AND(K26*1&gt;H26*1),"PASS","FAIL"))</f>
        <v>PASS</v>
      </c>
      <c r="N26" s="27" t="str">
        <f t="shared" si="1"/>
        <v/>
      </c>
    </row>
    <row r="27" spans="1:15" x14ac:dyDescent="0.3">
      <c r="A27" s="116"/>
      <c r="B27" s="177"/>
      <c r="C27" s="178"/>
      <c r="D27" s="179"/>
      <c r="E27" s="119"/>
      <c r="F27" s="165"/>
      <c r="G27" s="25" t="str">
        <f>G25</f>
        <v>23.9</v>
      </c>
      <c r="H27" s="25" t="str">
        <f>H25</f>
        <v>23.9</v>
      </c>
      <c r="I27" s="25" t="str">
        <f>I25</f>
        <v/>
      </c>
      <c r="J27" s="25" t="s">
        <v>60</v>
      </c>
      <c r="K27" s="26">
        <f>VLOOKUP($B$25&amp;J27&amp;$F$25,TXRESULT!$A$1:$J$1004,6,FALSE)</f>
        <v>26.2</v>
      </c>
      <c r="L27" s="146"/>
      <c r="M27" s="27" t="str">
        <f t="shared" si="2"/>
        <v>PASS</v>
      </c>
      <c r="N27" s="27" t="str">
        <f t="shared" si="1"/>
        <v/>
      </c>
    </row>
    <row r="28" spans="1:15" x14ac:dyDescent="0.3">
      <c r="A28" s="116"/>
      <c r="B28" s="177"/>
      <c r="C28" s="178"/>
      <c r="D28" s="179"/>
      <c r="E28" s="119"/>
      <c r="F28" s="165"/>
      <c r="G28" s="25" t="str">
        <f>G25</f>
        <v>23.9</v>
      </c>
      <c r="H28" s="25" t="str">
        <f>H25</f>
        <v>23.9</v>
      </c>
      <c r="I28" s="25" t="str">
        <f>I25</f>
        <v/>
      </c>
      <c r="J28" s="25" t="s">
        <v>61</v>
      </c>
      <c r="K28" s="26">
        <f>VLOOKUP($B$25&amp;J28&amp;$F$25,TXRESULT!$A$1:$J$1004,6,FALSE)</f>
        <v>26.3</v>
      </c>
      <c r="L28" s="146"/>
      <c r="M28" s="27" t="str">
        <f t="shared" si="2"/>
        <v>PASS</v>
      </c>
      <c r="N28" s="27" t="str">
        <f t="shared" si="1"/>
        <v/>
      </c>
    </row>
    <row r="29" spans="1:15" x14ac:dyDescent="0.3">
      <c r="A29" s="116"/>
      <c r="B29" s="177"/>
      <c r="C29" s="178"/>
      <c r="D29" s="179"/>
      <c r="E29" s="119"/>
      <c r="F29" s="165"/>
      <c r="G29" s="25" t="str">
        <f>G25</f>
        <v>23.9</v>
      </c>
      <c r="H29" s="25" t="str">
        <f>H25</f>
        <v>23.9</v>
      </c>
      <c r="I29" s="25" t="str">
        <f>I25</f>
        <v/>
      </c>
      <c r="J29" s="25" t="s">
        <v>62</v>
      </c>
      <c r="K29" s="26">
        <f>VLOOKUP($B$25&amp;J29&amp;$F$25,TXRESULT!$A$1:$J$1004,6,FALSE)</f>
        <v>26.5</v>
      </c>
      <c r="L29" s="146"/>
      <c r="M29" s="27" t="str">
        <f t="shared" si="2"/>
        <v>PASS</v>
      </c>
      <c r="N29" s="27" t="str">
        <f t="shared" si="1"/>
        <v/>
      </c>
    </row>
    <row r="30" spans="1:15" x14ac:dyDescent="0.3">
      <c r="A30" s="116"/>
      <c r="B30" s="177"/>
      <c r="C30" s="178"/>
      <c r="D30" s="179"/>
      <c r="E30" s="119"/>
      <c r="F30" s="165"/>
      <c r="G30" s="25" t="str">
        <f>G25</f>
        <v>23.9</v>
      </c>
      <c r="H30" s="25" t="str">
        <f>H25</f>
        <v>23.9</v>
      </c>
      <c r="I30" s="25" t="str">
        <f>I25</f>
        <v/>
      </c>
      <c r="J30" s="25" t="s">
        <v>63</v>
      </c>
      <c r="K30" s="26">
        <f>VLOOKUP($B$25&amp;J30&amp;$F$25,TXRESULT!$A$1:$J$1004,6,FALSE)</f>
        <v>25.8</v>
      </c>
      <c r="L30" s="146"/>
      <c r="M30" s="27" t="str">
        <f t="shared" si="2"/>
        <v>PASS</v>
      </c>
      <c r="N30" s="27" t="str">
        <f t="shared" si="1"/>
        <v/>
      </c>
    </row>
    <row r="31" spans="1:15" x14ac:dyDescent="0.3">
      <c r="A31" s="116"/>
      <c r="B31" s="177"/>
      <c r="C31" s="178"/>
      <c r="D31" s="179"/>
      <c r="E31" s="119"/>
      <c r="F31" s="165"/>
      <c r="G31" s="25" t="str">
        <f>G25</f>
        <v>23.9</v>
      </c>
      <c r="H31" s="25" t="str">
        <f>H25</f>
        <v>23.9</v>
      </c>
      <c r="I31" s="25" t="str">
        <f>I25</f>
        <v/>
      </c>
      <c r="J31" s="25" t="s">
        <v>64</v>
      </c>
      <c r="K31" s="26">
        <f>VLOOKUP($B$25&amp;J31&amp;$F$25,TXRESULT!$A$1:$J$1004,6,FALSE)</f>
        <v>26.2</v>
      </c>
      <c r="L31" s="146"/>
      <c r="M31" s="27" t="str">
        <f t="shared" si="2"/>
        <v>PASS</v>
      </c>
      <c r="N31" s="27" t="str">
        <f t="shared" si="1"/>
        <v/>
      </c>
    </row>
    <row r="32" spans="1:15" x14ac:dyDescent="0.3">
      <c r="A32" s="117"/>
      <c r="B32" s="180"/>
      <c r="C32" s="181"/>
      <c r="D32" s="182"/>
      <c r="E32" s="120"/>
      <c r="F32" s="166"/>
      <c r="G32" s="25" t="str">
        <f>G25</f>
        <v>23.9</v>
      </c>
      <c r="H32" s="25" t="str">
        <f>H25</f>
        <v>23.9</v>
      </c>
      <c r="I32" s="25" t="str">
        <f>I25</f>
        <v/>
      </c>
      <c r="J32" s="25" t="s">
        <v>65</v>
      </c>
      <c r="K32" s="26">
        <f>VLOOKUP($B$25&amp;J32&amp;$F$25,TXRESULT!$A$1:$J$1004,6,FALSE)</f>
        <v>25.9</v>
      </c>
      <c r="L32" s="146"/>
      <c r="M32" s="27" t="str">
        <f t="shared" si="2"/>
        <v>PASS</v>
      </c>
      <c r="N32" s="27" t="str">
        <f t="shared" si="1"/>
        <v/>
      </c>
    </row>
    <row r="33" spans="1:14" x14ac:dyDescent="0.3">
      <c r="A33" s="28"/>
      <c r="B33" s="29" t="s">
        <v>71</v>
      </c>
      <c r="C33" s="30"/>
      <c r="D33" s="31"/>
      <c r="E33" s="31"/>
      <c r="F33" s="31"/>
      <c r="G33" s="31"/>
      <c r="H33" s="31"/>
      <c r="I33" s="31"/>
      <c r="J33" s="31"/>
      <c r="K33" s="34"/>
      <c r="L33" s="31"/>
      <c r="M33" s="27" t="str">
        <f t="shared" si="2"/>
        <v/>
      </c>
      <c r="N33" s="27"/>
    </row>
    <row r="34" spans="1:14" x14ac:dyDescent="0.3">
      <c r="A34" s="115" t="s">
        <v>72</v>
      </c>
      <c r="B34" s="174" t="s">
        <v>253</v>
      </c>
      <c r="C34" s="175"/>
      <c r="D34" s="176"/>
      <c r="E34" s="115" t="s">
        <v>73</v>
      </c>
      <c r="F34" s="164" t="s">
        <v>53</v>
      </c>
      <c r="G34" s="25" t="s">
        <v>74</v>
      </c>
      <c r="H34" s="25" t="str">
        <f>IF(ISBLANK('[1]CH1-CH8'!F17),"",('[1]CH1-CH8'!F17))</f>
        <v/>
      </c>
      <c r="I34" s="25" t="s">
        <v>74</v>
      </c>
      <c r="J34" s="25" t="s">
        <v>57</v>
      </c>
      <c r="K34" s="26" t="e">
        <f>VLOOKUP($B$34&amp;J34&amp;$F$34,TXRESULT!$A$1:$J$1004,6,FALSE)</f>
        <v>#N/A</v>
      </c>
      <c r="L34" s="145" t="s">
        <v>75</v>
      </c>
      <c r="M34" s="27" t="e">
        <f>IF(ISBLANK(K34),"",IF(AND(K34*1&lt;I34*1),"PASS","FAIL"))</f>
        <v>#N/A</v>
      </c>
      <c r="N34" s="27" t="str">
        <f t="shared" si="1"/>
        <v/>
      </c>
    </row>
    <row r="35" spans="1:14" x14ac:dyDescent="0.3">
      <c r="A35" s="116"/>
      <c r="B35" s="177"/>
      <c r="C35" s="178"/>
      <c r="D35" s="179"/>
      <c r="E35" s="116"/>
      <c r="F35" s="165"/>
      <c r="G35" s="25" t="str">
        <f>G34</f>
        <v>-82.5</v>
      </c>
      <c r="H35" s="25" t="str">
        <f>H34</f>
        <v/>
      </c>
      <c r="I35" s="25" t="str">
        <f>I34</f>
        <v>-82.5</v>
      </c>
      <c r="J35" s="25" t="s">
        <v>59</v>
      </c>
      <c r="K35" s="26" t="e">
        <f>VLOOKUP($B$34&amp;J35&amp;$F$34,TXRESULT!$A$1:$J$1004,6,FALSE)</f>
        <v>#N/A</v>
      </c>
      <c r="L35" s="146"/>
      <c r="M35" s="27" t="e">
        <f t="shared" ref="M35:M41" si="3">IF(ISBLANK(K35),"",IF(AND(K35*1&lt;I35*1),"PASS","FAIL"))</f>
        <v>#N/A</v>
      </c>
      <c r="N35" s="27" t="str">
        <f t="shared" si="1"/>
        <v/>
      </c>
    </row>
    <row r="36" spans="1:14" x14ac:dyDescent="0.3">
      <c r="A36" s="116"/>
      <c r="B36" s="177"/>
      <c r="C36" s="178"/>
      <c r="D36" s="179"/>
      <c r="E36" s="116"/>
      <c r="F36" s="165"/>
      <c r="G36" s="25" t="str">
        <f>G34</f>
        <v>-82.5</v>
      </c>
      <c r="H36" s="25" t="str">
        <f>H34</f>
        <v/>
      </c>
      <c r="I36" s="25" t="str">
        <f>I34</f>
        <v>-82.5</v>
      </c>
      <c r="J36" s="25" t="s">
        <v>60</v>
      </c>
      <c r="K36" s="26" t="e">
        <f>VLOOKUP($B$34&amp;J36&amp;$F$34,TXRESULT!$A$1:$J$1004,6,FALSE)</f>
        <v>#N/A</v>
      </c>
      <c r="L36" s="146"/>
      <c r="M36" s="27" t="e">
        <f t="shared" si="3"/>
        <v>#N/A</v>
      </c>
      <c r="N36" s="27" t="str">
        <f t="shared" si="1"/>
        <v/>
      </c>
    </row>
    <row r="37" spans="1:14" x14ac:dyDescent="0.3">
      <c r="A37" s="116"/>
      <c r="B37" s="177"/>
      <c r="C37" s="178"/>
      <c r="D37" s="179"/>
      <c r="E37" s="116"/>
      <c r="F37" s="165"/>
      <c r="G37" s="25" t="str">
        <f>G34</f>
        <v>-82.5</v>
      </c>
      <c r="H37" s="25" t="str">
        <f>H34</f>
        <v/>
      </c>
      <c r="I37" s="25" t="str">
        <f>I34</f>
        <v>-82.5</v>
      </c>
      <c r="J37" s="25" t="s">
        <v>61</v>
      </c>
      <c r="K37" s="26" t="e">
        <f>VLOOKUP($B$34&amp;J37&amp;$F$34,TXRESULT!$A$1:$J$1004,6,FALSE)</f>
        <v>#N/A</v>
      </c>
      <c r="L37" s="146"/>
      <c r="M37" s="27" t="e">
        <f t="shared" si="3"/>
        <v>#N/A</v>
      </c>
      <c r="N37" s="27" t="str">
        <f t="shared" si="1"/>
        <v/>
      </c>
    </row>
    <row r="38" spans="1:14" x14ac:dyDescent="0.3">
      <c r="A38" s="116"/>
      <c r="B38" s="177"/>
      <c r="C38" s="178"/>
      <c r="D38" s="179"/>
      <c r="E38" s="116"/>
      <c r="F38" s="165"/>
      <c r="G38" s="25" t="str">
        <f>G34</f>
        <v>-82.5</v>
      </c>
      <c r="H38" s="25" t="str">
        <f>H34</f>
        <v/>
      </c>
      <c r="I38" s="25" t="str">
        <f>I34</f>
        <v>-82.5</v>
      </c>
      <c r="J38" s="25" t="s">
        <v>62</v>
      </c>
      <c r="K38" s="26" t="e">
        <f>VLOOKUP($B$34&amp;J38&amp;$F$34,TXRESULT!$A$1:$J$1004,6,FALSE)</f>
        <v>#N/A</v>
      </c>
      <c r="L38" s="146"/>
      <c r="M38" s="27" t="e">
        <f t="shared" si="3"/>
        <v>#N/A</v>
      </c>
      <c r="N38" s="27" t="str">
        <f t="shared" si="1"/>
        <v/>
      </c>
    </row>
    <row r="39" spans="1:14" x14ac:dyDescent="0.3">
      <c r="A39" s="116"/>
      <c r="B39" s="177"/>
      <c r="C39" s="178"/>
      <c r="D39" s="179"/>
      <c r="E39" s="116"/>
      <c r="F39" s="165"/>
      <c r="G39" s="25" t="str">
        <f>G34</f>
        <v>-82.5</v>
      </c>
      <c r="H39" s="25" t="str">
        <f>H34</f>
        <v/>
      </c>
      <c r="I39" s="25" t="str">
        <f>I34</f>
        <v>-82.5</v>
      </c>
      <c r="J39" s="25" t="s">
        <v>63</v>
      </c>
      <c r="K39" s="26" t="e">
        <f>VLOOKUP($B$34&amp;J39&amp;$F$34,TXRESULT!$A$1:$J$1004,6,FALSE)</f>
        <v>#N/A</v>
      </c>
      <c r="L39" s="146"/>
      <c r="M39" s="27" t="e">
        <f t="shared" si="3"/>
        <v>#N/A</v>
      </c>
      <c r="N39" s="27" t="str">
        <f t="shared" si="1"/>
        <v/>
      </c>
    </row>
    <row r="40" spans="1:14" x14ac:dyDescent="0.3">
      <c r="A40" s="116"/>
      <c r="B40" s="177"/>
      <c r="C40" s="178"/>
      <c r="D40" s="179"/>
      <c r="E40" s="116"/>
      <c r="F40" s="165"/>
      <c r="G40" s="25" t="str">
        <f>G34</f>
        <v>-82.5</v>
      </c>
      <c r="H40" s="25" t="str">
        <f>H34</f>
        <v/>
      </c>
      <c r="I40" s="25" t="str">
        <f>I34</f>
        <v>-82.5</v>
      </c>
      <c r="J40" s="25" t="s">
        <v>64</v>
      </c>
      <c r="K40" s="26" t="e">
        <f>VLOOKUP($B$34&amp;J40&amp;$F$34,TXRESULT!$A$1:$J$1004,6,FALSE)</f>
        <v>#N/A</v>
      </c>
      <c r="L40" s="146"/>
      <c r="M40" s="27" t="e">
        <f t="shared" si="3"/>
        <v>#N/A</v>
      </c>
      <c r="N40" s="27" t="str">
        <f t="shared" si="1"/>
        <v/>
      </c>
    </row>
    <row r="41" spans="1:14" x14ac:dyDescent="0.3">
      <c r="A41" s="117"/>
      <c r="B41" s="180"/>
      <c r="C41" s="181"/>
      <c r="D41" s="182"/>
      <c r="E41" s="117"/>
      <c r="F41" s="166"/>
      <c r="G41" s="25" t="str">
        <f>G34</f>
        <v>-82.5</v>
      </c>
      <c r="H41" s="25" t="str">
        <f>H34</f>
        <v/>
      </c>
      <c r="I41" s="25" t="str">
        <f>I34</f>
        <v>-82.5</v>
      </c>
      <c r="J41" s="25" t="s">
        <v>65</v>
      </c>
      <c r="K41" s="26" t="e">
        <f>VLOOKUP($B$34&amp;J41&amp;$F$34,TXRESULT!$A$1:$J$1004,6,FALSE)</f>
        <v>#N/A</v>
      </c>
      <c r="L41" s="147"/>
      <c r="M41" s="27" t="e">
        <f t="shared" si="3"/>
        <v>#N/A</v>
      </c>
      <c r="N41" s="27" t="str">
        <f t="shared" si="1"/>
        <v/>
      </c>
    </row>
    <row r="42" spans="1:14" x14ac:dyDescent="0.3">
      <c r="A42" s="115" t="s">
        <v>76</v>
      </c>
      <c r="B42" s="174" t="s">
        <v>77</v>
      </c>
      <c r="C42" s="175"/>
      <c r="D42" s="176"/>
      <c r="E42" s="132" t="s">
        <v>78</v>
      </c>
      <c r="F42" s="164" t="s">
        <v>53</v>
      </c>
      <c r="G42" s="25" t="s">
        <v>79</v>
      </c>
      <c r="H42" s="25" t="s">
        <v>80</v>
      </c>
      <c r="I42" s="25" t="s">
        <v>79</v>
      </c>
      <c r="J42" s="25" t="s">
        <v>57</v>
      </c>
      <c r="K42" s="26" t="e">
        <f>VLOOKUP($B$42&amp;J42&amp;$F$42,TXRESULT!$A$1:$J$1004,6,FALSE)</f>
        <v>#N/A</v>
      </c>
      <c r="L42" s="145" t="s">
        <v>81</v>
      </c>
      <c r="M42" s="27" t="e">
        <f>IF(ISBLANK(K42),"",IF(AND(K42*1&gt;H42*1,K42*1&lt;I42*1),"PASS","FAIL"))</f>
        <v>#N/A</v>
      </c>
      <c r="N42" s="27" t="str">
        <f t="shared" si="1"/>
        <v/>
      </c>
    </row>
    <row r="43" spans="1:14" x14ac:dyDescent="0.3">
      <c r="A43" s="116"/>
      <c r="B43" s="177"/>
      <c r="C43" s="178"/>
      <c r="D43" s="179"/>
      <c r="E43" s="119"/>
      <c r="F43" s="165"/>
      <c r="G43" s="25" t="s">
        <v>79</v>
      </c>
      <c r="H43" s="25" t="s">
        <v>80</v>
      </c>
      <c r="I43" s="25" t="s">
        <v>79</v>
      </c>
      <c r="J43" s="25" t="s">
        <v>59</v>
      </c>
      <c r="K43" s="26" t="e">
        <f>VLOOKUP($B$42&amp;J43&amp;$F$42,TXRESULT!$A$1:$J$1004,6,FALSE)</f>
        <v>#N/A</v>
      </c>
      <c r="L43" s="146"/>
      <c r="M43" s="27" t="e">
        <f t="shared" ref="M43:M49" si="4">IF(ISBLANK(K43),"",IF(AND(K43*1&gt;H43*1,K43*1&lt;I43*1),"PASS","FAIL"))</f>
        <v>#N/A</v>
      </c>
      <c r="N43" s="27" t="str">
        <f t="shared" si="1"/>
        <v/>
      </c>
    </row>
    <row r="44" spans="1:14" x14ac:dyDescent="0.3">
      <c r="A44" s="116"/>
      <c r="B44" s="177"/>
      <c r="C44" s="178"/>
      <c r="D44" s="179"/>
      <c r="E44" s="119"/>
      <c r="F44" s="165"/>
      <c r="G44" s="25" t="s">
        <v>79</v>
      </c>
      <c r="H44" s="25" t="s">
        <v>80</v>
      </c>
      <c r="I44" s="25" t="s">
        <v>79</v>
      </c>
      <c r="J44" s="25" t="s">
        <v>60</v>
      </c>
      <c r="K44" s="26" t="e">
        <f>VLOOKUP($B$42&amp;J44&amp;$F$42,TXRESULT!$A$1:$J$1004,6,FALSE)</f>
        <v>#N/A</v>
      </c>
      <c r="L44" s="146"/>
      <c r="M44" s="27" t="e">
        <f t="shared" si="4"/>
        <v>#N/A</v>
      </c>
      <c r="N44" s="27" t="str">
        <f t="shared" si="1"/>
        <v/>
      </c>
    </row>
    <row r="45" spans="1:14" x14ac:dyDescent="0.3">
      <c r="A45" s="116"/>
      <c r="B45" s="177"/>
      <c r="C45" s="178"/>
      <c r="D45" s="179"/>
      <c r="E45" s="119"/>
      <c r="F45" s="165"/>
      <c r="G45" s="25" t="s">
        <v>79</v>
      </c>
      <c r="H45" s="25" t="s">
        <v>80</v>
      </c>
      <c r="I45" s="25" t="s">
        <v>79</v>
      </c>
      <c r="J45" s="25" t="s">
        <v>61</v>
      </c>
      <c r="K45" s="26" t="e">
        <f>VLOOKUP($B$42&amp;J45&amp;$F$42,TXRESULT!$A$1:$J$1004,6,FALSE)</f>
        <v>#N/A</v>
      </c>
      <c r="L45" s="146"/>
      <c r="M45" s="27" t="e">
        <f t="shared" si="4"/>
        <v>#N/A</v>
      </c>
      <c r="N45" s="27" t="str">
        <f t="shared" si="1"/>
        <v/>
      </c>
    </row>
    <row r="46" spans="1:14" x14ac:dyDescent="0.3">
      <c r="A46" s="116"/>
      <c r="B46" s="177"/>
      <c r="C46" s="178"/>
      <c r="D46" s="179"/>
      <c r="E46" s="119"/>
      <c r="F46" s="165"/>
      <c r="G46" s="25" t="s">
        <v>79</v>
      </c>
      <c r="H46" s="25" t="s">
        <v>80</v>
      </c>
      <c r="I46" s="25" t="s">
        <v>79</v>
      </c>
      <c r="J46" s="25" t="s">
        <v>62</v>
      </c>
      <c r="K46" s="26" t="e">
        <f>VLOOKUP($B$42&amp;J46&amp;$F$42,TXRESULT!$A$1:$J$1004,6,FALSE)</f>
        <v>#N/A</v>
      </c>
      <c r="L46" s="146"/>
      <c r="M46" s="27" t="e">
        <f t="shared" si="4"/>
        <v>#N/A</v>
      </c>
      <c r="N46" s="27" t="str">
        <f t="shared" si="1"/>
        <v/>
      </c>
    </row>
    <row r="47" spans="1:14" x14ac:dyDescent="0.3">
      <c r="A47" s="116"/>
      <c r="B47" s="177"/>
      <c r="C47" s="178"/>
      <c r="D47" s="179"/>
      <c r="E47" s="119"/>
      <c r="F47" s="165"/>
      <c r="G47" s="25" t="s">
        <v>79</v>
      </c>
      <c r="H47" s="25" t="s">
        <v>80</v>
      </c>
      <c r="I47" s="25" t="s">
        <v>79</v>
      </c>
      <c r="J47" s="25" t="s">
        <v>63</v>
      </c>
      <c r="K47" s="26" t="e">
        <f>VLOOKUP($B$42&amp;J47&amp;$F$42,TXRESULT!$A$1:$J$1004,6,FALSE)</f>
        <v>#N/A</v>
      </c>
      <c r="L47" s="146"/>
      <c r="M47" s="27" t="e">
        <f t="shared" si="4"/>
        <v>#N/A</v>
      </c>
      <c r="N47" s="27" t="str">
        <f t="shared" si="1"/>
        <v/>
      </c>
    </row>
    <row r="48" spans="1:14" x14ac:dyDescent="0.3">
      <c r="A48" s="116"/>
      <c r="B48" s="177"/>
      <c r="C48" s="178"/>
      <c r="D48" s="179"/>
      <c r="E48" s="119"/>
      <c r="F48" s="165"/>
      <c r="G48" s="25" t="s">
        <v>79</v>
      </c>
      <c r="H48" s="25" t="s">
        <v>80</v>
      </c>
      <c r="I48" s="25" t="s">
        <v>79</v>
      </c>
      <c r="J48" s="25" t="s">
        <v>64</v>
      </c>
      <c r="K48" s="26" t="e">
        <f>VLOOKUP($B$42&amp;J48&amp;$F$42,TXRESULT!$A$1:$J$1004,6,FALSE)</f>
        <v>#N/A</v>
      </c>
      <c r="L48" s="146"/>
      <c r="M48" s="27" t="e">
        <f t="shared" si="4"/>
        <v>#N/A</v>
      </c>
      <c r="N48" s="27" t="str">
        <f t="shared" si="1"/>
        <v/>
      </c>
    </row>
    <row r="49" spans="1:14" x14ac:dyDescent="0.3">
      <c r="A49" s="117"/>
      <c r="B49" s="180"/>
      <c r="C49" s="181"/>
      <c r="D49" s="182"/>
      <c r="E49" s="120"/>
      <c r="F49" s="166"/>
      <c r="G49" s="25" t="s">
        <v>79</v>
      </c>
      <c r="H49" s="25" t="s">
        <v>80</v>
      </c>
      <c r="I49" s="25" t="s">
        <v>79</v>
      </c>
      <c r="J49" s="25" t="s">
        <v>65</v>
      </c>
      <c r="K49" s="26" t="e">
        <f>VLOOKUP($B$42&amp;J49&amp;$F$42,TXRESULT!$A$1:$J$1004,6,FALSE)</f>
        <v>#N/A</v>
      </c>
      <c r="L49" s="147"/>
      <c r="M49" s="27" t="e">
        <f t="shared" si="4"/>
        <v>#N/A</v>
      </c>
      <c r="N49" s="27" t="str">
        <f t="shared" si="1"/>
        <v/>
      </c>
    </row>
    <row r="50" spans="1:14" x14ac:dyDescent="0.3">
      <c r="A50" s="28"/>
      <c r="B50" s="29" t="s">
        <v>82</v>
      </c>
      <c r="C50" s="30"/>
      <c r="D50" s="30"/>
      <c r="E50" s="30"/>
      <c r="F50" s="30"/>
      <c r="G50" s="30"/>
      <c r="H50" s="30"/>
      <c r="I50" s="30"/>
      <c r="J50" s="30"/>
      <c r="K50" s="26"/>
      <c r="L50" s="30"/>
      <c r="M50" s="35"/>
      <c r="N50" s="27"/>
    </row>
    <row r="51" spans="1:14" ht="15.6" customHeight="1" x14ac:dyDescent="0.3">
      <c r="A51" s="115" t="s">
        <v>83</v>
      </c>
      <c r="B51" s="184" t="s">
        <v>84</v>
      </c>
      <c r="C51" s="185"/>
      <c r="D51" s="186"/>
      <c r="E51" s="132" t="s">
        <v>85</v>
      </c>
      <c r="F51" s="164" t="s">
        <v>86</v>
      </c>
      <c r="G51" s="25" t="s">
        <v>80</v>
      </c>
      <c r="H51" s="36">
        <f>-$F$9*1*0.05-12</f>
        <v>-139.5</v>
      </c>
      <c r="I51" s="25">
        <f>$F$9*0.05+12</f>
        <v>139.5</v>
      </c>
      <c r="J51" s="25" t="s">
        <v>57</v>
      </c>
      <c r="K51" s="26">
        <f t="array" ref="K51">MAX(IF((LEFT(TXRESULT!$C$1:$C$1004,15)='CH1-CH8'!$B$51)*(TXRESULT!$B$1:$B$1004='CH1-CH8'!J51),TXRESULT!$F$1:$F$1004,""))</f>
        <v>3.3</v>
      </c>
      <c r="L51" s="145"/>
      <c r="M51" s="27" t="str">
        <f>IF(ISBLANK(K51),"",IF(AND(K51*1&gt;H51*1,K51*1&lt;I51*1),"PASS","FAIL"))</f>
        <v>PASS</v>
      </c>
      <c r="N51" s="27" t="str">
        <f t="shared" si="1"/>
        <v/>
      </c>
    </row>
    <row r="52" spans="1:14" ht="15.6" customHeight="1" x14ac:dyDescent="0.3">
      <c r="A52" s="116"/>
      <c r="B52" s="187"/>
      <c r="C52" s="188"/>
      <c r="D52" s="189"/>
      <c r="E52" s="119"/>
      <c r="F52" s="165"/>
      <c r="G52" s="25" t="s">
        <v>80</v>
      </c>
      <c r="H52" s="36">
        <f>H51</f>
        <v>-139.5</v>
      </c>
      <c r="I52" s="36">
        <f>I51</f>
        <v>139.5</v>
      </c>
      <c r="J52" s="25" t="s">
        <v>59</v>
      </c>
      <c r="K52" s="26">
        <f t="array" ref="K52">MAX(IF((LEFT(TXRESULT!$C$1:$C$1004,15)='CH1-CH8'!$B$51)*(TXRESULT!$B$1:$B$1004='CH1-CH8'!J52),TXRESULT!$F$1:$F$1004,""))</f>
        <v>6.1</v>
      </c>
      <c r="L52" s="146"/>
      <c r="M52" s="27" t="str">
        <f t="shared" ref="M52:M58" si="5">IF(ISBLANK(K52),"",IF(AND(K52*1&gt;H52*1,K52*1&lt;I52*1),"PASS","FAIL"))</f>
        <v>PASS</v>
      </c>
      <c r="N52" s="27" t="str">
        <f t="shared" si="1"/>
        <v/>
      </c>
    </row>
    <row r="53" spans="1:14" ht="15.6" customHeight="1" x14ac:dyDescent="0.3">
      <c r="A53" s="116"/>
      <c r="B53" s="187"/>
      <c r="C53" s="188"/>
      <c r="D53" s="189"/>
      <c r="E53" s="119"/>
      <c r="F53" s="165"/>
      <c r="G53" s="25" t="s">
        <v>80</v>
      </c>
      <c r="H53" s="36">
        <f>H51</f>
        <v>-139.5</v>
      </c>
      <c r="I53" s="36">
        <f>I51</f>
        <v>139.5</v>
      </c>
      <c r="J53" s="25" t="s">
        <v>60</v>
      </c>
      <c r="K53" s="26">
        <f t="array" ref="K53">MAX(IF((LEFT(TXRESULT!$C$1:$C$1004,15)='CH1-CH8'!$B$51)*(TXRESULT!$B$1:$B$1004='CH1-CH8'!J53),TXRESULT!$F$1:$F$1004,""))</f>
        <v>10.5</v>
      </c>
      <c r="L53" s="146"/>
      <c r="M53" s="27" t="str">
        <f t="shared" si="5"/>
        <v>PASS</v>
      </c>
      <c r="N53" s="27" t="str">
        <f t="shared" si="1"/>
        <v/>
      </c>
    </row>
    <row r="54" spans="1:14" ht="15.6" customHeight="1" x14ac:dyDescent="0.3">
      <c r="A54" s="116"/>
      <c r="B54" s="187"/>
      <c r="C54" s="188"/>
      <c r="D54" s="189"/>
      <c r="E54" s="119"/>
      <c r="F54" s="165"/>
      <c r="G54" s="25" t="s">
        <v>80</v>
      </c>
      <c r="H54" s="36">
        <f>H51</f>
        <v>-139.5</v>
      </c>
      <c r="I54" s="36">
        <f>I51</f>
        <v>139.5</v>
      </c>
      <c r="J54" s="25" t="s">
        <v>61</v>
      </c>
      <c r="K54" s="26">
        <f t="array" ref="K54">MAX(IF((LEFT(TXRESULT!$C$1:$C$1004,15)='CH1-CH8'!$B$51)*(TXRESULT!$B$1:$B$1004='CH1-CH8'!J54),TXRESULT!$F$1:$F$1004,""))</f>
        <v>1.2</v>
      </c>
      <c r="L54" s="146"/>
      <c r="M54" s="27" t="str">
        <f t="shared" si="5"/>
        <v>PASS</v>
      </c>
      <c r="N54" s="27" t="str">
        <f t="shared" si="1"/>
        <v/>
      </c>
    </row>
    <row r="55" spans="1:14" ht="15.6" customHeight="1" x14ac:dyDescent="0.3">
      <c r="A55" s="116"/>
      <c r="B55" s="187"/>
      <c r="C55" s="188"/>
      <c r="D55" s="189"/>
      <c r="E55" s="119"/>
      <c r="F55" s="165"/>
      <c r="G55" s="25" t="s">
        <v>80</v>
      </c>
      <c r="H55" s="36">
        <f>H51</f>
        <v>-139.5</v>
      </c>
      <c r="I55" s="36">
        <f>I51</f>
        <v>139.5</v>
      </c>
      <c r="J55" s="25" t="s">
        <v>62</v>
      </c>
      <c r="K55" s="26">
        <f t="array" ref="K55">MAX(IF((LEFT(TXRESULT!$C$1:$C$1004,15)='CH1-CH8'!$B$51)*(TXRESULT!$B$1:$B$1004='CH1-CH8'!J55),TXRESULT!$F$1:$F$1004,""))</f>
        <v>3.4</v>
      </c>
      <c r="L55" s="146"/>
      <c r="M55" s="27" t="str">
        <f t="shared" si="5"/>
        <v>PASS</v>
      </c>
      <c r="N55" s="27" t="str">
        <f t="shared" si="1"/>
        <v/>
      </c>
    </row>
    <row r="56" spans="1:14" ht="15.6" customHeight="1" x14ac:dyDescent="0.3">
      <c r="A56" s="116"/>
      <c r="B56" s="187"/>
      <c r="C56" s="188"/>
      <c r="D56" s="189"/>
      <c r="E56" s="119"/>
      <c r="F56" s="165"/>
      <c r="G56" s="25" t="s">
        <v>80</v>
      </c>
      <c r="H56" s="36">
        <f>H51</f>
        <v>-139.5</v>
      </c>
      <c r="I56" s="36">
        <f>I51</f>
        <v>139.5</v>
      </c>
      <c r="J56" s="25" t="s">
        <v>63</v>
      </c>
      <c r="K56" s="26">
        <f t="array" ref="K56">MAX(IF((LEFT(TXRESULT!$C$1:$C$1004,15)='CH1-CH8'!$B$51)*(TXRESULT!$B$1:$B$1004='CH1-CH8'!J56),TXRESULT!$F$1:$F$1004,""))</f>
        <v>4.9000000000000004</v>
      </c>
      <c r="L56" s="146"/>
      <c r="M56" s="27" t="str">
        <f t="shared" si="5"/>
        <v>PASS</v>
      </c>
      <c r="N56" s="27" t="str">
        <f t="shared" si="1"/>
        <v/>
      </c>
    </row>
    <row r="57" spans="1:14" ht="15.6" customHeight="1" x14ac:dyDescent="0.3">
      <c r="A57" s="116"/>
      <c r="B57" s="187"/>
      <c r="C57" s="188"/>
      <c r="D57" s="189"/>
      <c r="E57" s="119"/>
      <c r="F57" s="165"/>
      <c r="G57" s="25" t="s">
        <v>80</v>
      </c>
      <c r="H57" s="36">
        <f>H51</f>
        <v>-139.5</v>
      </c>
      <c r="I57" s="36">
        <f>I51</f>
        <v>139.5</v>
      </c>
      <c r="J57" s="25" t="s">
        <v>64</v>
      </c>
      <c r="K57" s="26">
        <f t="array" ref="K57">MAX(IF((LEFT(TXRESULT!$C$1:$C$1004,15)='CH1-CH8'!$B$51)*(TXRESULT!$B$1:$B$1004='CH1-CH8'!J57),TXRESULT!$F$1:$F$1004,""))</f>
        <v>8.3000000000000007</v>
      </c>
      <c r="L57" s="146"/>
      <c r="M57" s="27" t="str">
        <f t="shared" si="5"/>
        <v>PASS</v>
      </c>
      <c r="N57" s="27" t="str">
        <f t="shared" si="1"/>
        <v/>
      </c>
    </row>
    <row r="58" spans="1:14" ht="15.6" customHeight="1" x14ac:dyDescent="0.3">
      <c r="A58" s="117"/>
      <c r="B58" s="190"/>
      <c r="C58" s="191"/>
      <c r="D58" s="192"/>
      <c r="E58" s="120"/>
      <c r="F58" s="166"/>
      <c r="G58" s="25" t="s">
        <v>80</v>
      </c>
      <c r="H58" s="36">
        <f>H51</f>
        <v>-139.5</v>
      </c>
      <c r="I58" s="36">
        <f>I51</f>
        <v>139.5</v>
      </c>
      <c r="J58" s="25" t="s">
        <v>65</v>
      </c>
      <c r="K58" s="26">
        <f t="array" ref="K58">MAX(IF((LEFT(TXRESULT!$C$1:$C$1004,15)='CH1-CH8'!$B$51)*(TXRESULT!$B$1:$B$1004='CH1-CH8'!J58),TXRESULT!$F$1:$F$1004,""))</f>
        <v>2.4</v>
      </c>
      <c r="L58" s="146"/>
      <c r="M58" s="27" t="str">
        <f t="shared" si="5"/>
        <v>PASS</v>
      </c>
      <c r="N58" s="27" t="str">
        <f t="shared" si="1"/>
        <v/>
      </c>
    </row>
    <row r="59" spans="1:14" ht="17.25" customHeight="1" x14ac:dyDescent="0.3">
      <c r="A59" s="115" t="s">
        <v>88</v>
      </c>
      <c r="B59" s="115" t="s">
        <v>89</v>
      </c>
      <c r="C59" s="174" t="s">
        <v>229</v>
      </c>
      <c r="D59" s="176"/>
      <c r="E59" s="132" t="s">
        <v>90</v>
      </c>
      <c r="F59" s="164" t="s">
        <v>91</v>
      </c>
      <c r="G59" s="25" t="s">
        <v>92</v>
      </c>
      <c r="H59" s="25" t="s">
        <v>80</v>
      </c>
      <c r="I59" s="25" t="s">
        <v>92</v>
      </c>
      <c r="J59" s="25" t="s">
        <v>57</v>
      </c>
      <c r="K59" s="26">
        <f>VLOOKUP($C$59&amp;" "&amp;$F$59&amp;J59&amp;$F$59,TXRESULT!$A$1:$I$1004,6,FALSE)</f>
        <v>3.1</v>
      </c>
      <c r="L59" s="145" t="s">
        <v>93</v>
      </c>
      <c r="M59" s="27" t="str">
        <f>IF(ISBLANK(K59),"",IF(AND(K59*1&gt;H59*1,K59*1&lt;I59*1),"PASS","FAIL"))</f>
        <v>PASS</v>
      </c>
      <c r="N59" s="27" t="str">
        <f t="shared" si="1"/>
        <v/>
      </c>
    </row>
    <row r="60" spans="1:14" x14ac:dyDescent="0.3">
      <c r="A60" s="116"/>
      <c r="B60" s="116"/>
      <c r="C60" s="177"/>
      <c r="D60" s="179"/>
      <c r="E60" s="119"/>
      <c r="F60" s="165"/>
      <c r="G60" s="25" t="str">
        <f>G59</f>
        <v>18.5</v>
      </c>
      <c r="H60" s="25" t="str">
        <f>H59</f>
        <v>0</v>
      </c>
      <c r="I60" s="25" t="str">
        <f>I59</f>
        <v>18.5</v>
      </c>
      <c r="J60" s="25" t="s">
        <v>59</v>
      </c>
      <c r="K60" s="26">
        <f>VLOOKUP($C$59&amp;" "&amp;$F$59&amp;J60&amp;$F$59,TXRESULT!$A$1:$I$1004,6,FALSE)</f>
        <v>3.2</v>
      </c>
      <c r="L60" s="146"/>
      <c r="M60" s="27" t="str">
        <f t="shared" ref="M60:M73" si="6">IF(ISBLANK(K60),"",IF(AND(K60*1&gt;H60*1,K60*1&lt;I60*1),"PASS","FAIL"))</f>
        <v>PASS</v>
      </c>
      <c r="N60" s="27" t="str">
        <f t="shared" si="1"/>
        <v/>
      </c>
    </row>
    <row r="61" spans="1:14" x14ac:dyDescent="0.3">
      <c r="A61" s="116"/>
      <c r="B61" s="116"/>
      <c r="C61" s="177"/>
      <c r="D61" s="179"/>
      <c r="E61" s="119"/>
      <c r="F61" s="165"/>
      <c r="G61" s="25" t="str">
        <f>G59</f>
        <v>18.5</v>
      </c>
      <c r="H61" s="25" t="str">
        <f>H59</f>
        <v>0</v>
      </c>
      <c r="I61" s="25" t="str">
        <f>I59</f>
        <v>18.5</v>
      </c>
      <c r="J61" s="25" t="s">
        <v>60</v>
      </c>
      <c r="K61" s="26">
        <f>VLOOKUP($C$59&amp;" "&amp;$F$59&amp;J61&amp;$F$59,TXRESULT!$A$1:$I$1004,6,FALSE)</f>
        <v>3.2</v>
      </c>
      <c r="L61" s="146"/>
      <c r="M61" s="27" t="str">
        <f t="shared" si="6"/>
        <v>PASS</v>
      </c>
      <c r="N61" s="27" t="str">
        <f t="shared" si="1"/>
        <v/>
      </c>
    </row>
    <row r="62" spans="1:14" x14ac:dyDescent="0.3">
      <c r="A62" s="116"/>
      <c r="B62" s="116"/>
      <c r="C62" s="177"/>
      <c r="D62" s="179"/>
      <c r="E62" s="119"/>
      <c r="F62" s="165"/>
      <c r="G62" s="25" t="str">
        <f>G59</f>
        <v>18.5</v>
      </c>
      <c r="H62" s="25" t="str">
        <f>H59</f>
        <v>0</v>
      </c>
      <c r="I62" s="25" t="str">
        <f>I59</f>
        <v>18.5</v>
      </c>
      <c r="J62" s="25" t="s">
        <v>61</v>
      </c>
      <c r="K62" s="26">
        <f>VLOOKUP($C$59&amp;" "&amp;$F$59&amp;J62&amp;$F$59,TXRESULT!$A$1:$I$1004,6,FALSE)</f>
        <v>3.1</v>
      </c>
      <c r="L62" s="146"/>
      <c r="M62" s="27" t="str">
        <f t="shared" si="6"/>
        <v>PASS</v>
      </c>
      <c r="N62" s="27" t="str">
        <f t="shared" si="1"/>
        <v/>
      </c>
    </row>
    <row r="63" spans="1:14" x14ac:dyDescent="0.3">
      <c r="A63" s="116"/>
      <c r="B63" s="116"/>
      <c r="C63" s="177"/>
      <c r="D63" s="179"/>
      <c r="E63" s="119"/>
      <c r="F63" s="165"/>
      <c r="G63" s="25" t="str">
        <f>G59</f>
        <v>18.5</v>
      </c>
      <c r="H63" s="25" t="str">
        <f>H59</f>
        <v>0</v>
      </c>
      <c r="I63" s="25" t="str">
        <f>I59</f>
        <v>18.5</v>
      </c>
      <c r="J63" s="25" t="s">
        <v>62</v>
      </c>
      <c r="K63" s="26">
        <f>VLOOKUP($C$59&amp;" "&amp;$F$59&amp;J63&amp;$F$59,TXRESULT!$A$1:$I$1004,6,FALSE)</f>
        <v>3.1</v>
      </c>
      <c r="L63" s="146"/>
      <c r="M63" s="27" t="str">
        <f t="shared" si="6"/>
        <v>PASS</v>
      </c>
      <c r="N63" s="27" t="str">
        <f t="shared" si="1"/>
        <v/>
      </c>
    </row>
    <row r="64" spans="1:14" x14ac:dyDescent="0.3">
      <c r="A64" s="116"/>
      <c r="B64" s="116"/>
      <c r="C64" s="177"/>
      <c r="D64" s="179"/>
      <c r="E64" s="119"/>
      <c r="F64" s="165"/>
      <c r="G64" s="25" t="str">
        <f>G59</f>
        <v>18.5</v>
      </c>
      <c r="H64" s="25" t="str">
        <f>H59</f>
        <v>0</v>
      </c>
      <c r="I64" s="25" t="str">
        <f>I59</f>
        <v>18.5</v>
      </c>
      <c r="J64" s="25" t="s">
        <v>63</v>
      </c>
      <c r="K64" s="26">
        <f>VLOOKUP($C$59&amp;" "&amp;$F$59&amp;J64&amp;$F$59,TXRESULT!$A$1:$I$1004,6,FALSE)</f>
        <v>3.1</v>
      </c>
      <c r="L64" s="146"/>
      <c r="M64" s="27" t="str">
        <f t="shared" si="6"/>
        <v>PASS</v>
      </c>
      <c r="N64" s="27" t="str">
        <f t="shared" si="1"/>
        <v/>
      </c>
    </row>
    <row r="65" spans="1:14" x14ac:dyDescent="0.3">
      <c r="A65" s="116"/>
      <c r="B65" s="116"/>
      <c r="C65" s="177"/>
      <c r="D65" s="179"/>
      <c r="E65" s="119"/>
      <c r="F65" s="165"/>
      <c r="G65" s="25" t="str">
        <f>G59</f>
        <v>18.5</v>
      </c>
      <c r="H65" s="25" t="str">
        <f>H59</f>
        <v>0</v>
      </c>
      <c r="I65" s="25" t="str">
        <f>I59</f>
        <v>18.5</v>
      </c>
      <c r="J65" s="25" t="s">
        <v>64</v>
      </c>
      <c r="K65" s="26">
        <f>VLOOKUP($C$59&amp;" "&amp;$F$59&amp;J65&amp;$F$59,TXRESULT!$A$1:$I$1004,6,FALSE)</f>
        <v>3.1</v>
      </c>
      <c r="L65" s="146"/>
      <c r="M65" s="27" t="str">
        <f t="shared" si="6"/>
        <v>PASS</v>
      </c>
      <c r="N65" s="27" t="str">
        <f t="shared" si="1"/>
        <v/>
      </c>
    </row>
    <row r="66" spans="1:14" x14ac:dyDescent="0.3">
      <c r="A66" s="116"/>
      <c r="B66" s="117"/>
      <c r="C66" s="177"/>
      <c r="D66" s="179"/>
      <c r="E66" s="120"/>
      <c r="F66" s="166"/>
      <c r="G66" s="25" t="str">
        <f>G59</f>
        <v>18.5</v>
      </c>
      <c r="H66" s="25" t="str">
        <f>H59</f>
        <v>0</v>
      </c>
      <c r="I66" s="25" t="str">
        <f>I59</f>
        <v>18.5</v>
      </c>
      <c r="J66" s="25" t="s">
        <v>65</v>
      </c>
      <c r="K66" s="26">
        <f>VLOOKUP($C$59&amp;" "&amp;$F$59&amp;J66&amp;$F$59,TXRESULT!$A$1:$I$1004,6,FALSE)</f>
        <v>3.1</v>
      </c>
      <c r="L66" s="146"/>
      <c r="M66" s="27" t="str">
        <f t="shared" si="6"/>
        <v>PASS</v>
      </c>
      <c r="N66" s="27" t="str">
        <f t="shared" si="1"/>
        <v/>
      </c>
    </row>
    <row r="67" spans="1:14" ht="15.6" customHeight="1" x14ac:dyDescent="0.3">
      <c r="A67" s="116"/>
      <c r="B67" s="115" t="s">
        <v>94</v>
      </c>
      <c r="C67" s="177"/>
      <c r="D67" s="179"/>
      <c r="E67" s="132" t="s">
        <v>90</v>
      </c>
      <c r="F67" s="164" t="s">
        <v>95</v>
      </c>
      <c r="G67" s="25" t="s">
        <v>96</v>
      </c>
      <c r="H67" s="25" t="s">
        <v>80</v>
      </c>
      <c r="I67" s="25" t="s">
        <v>96</v>
      </c>
      <c r="J67" s="25" t="s">
        <v>57</v>
      </c>
      <c r="K67" s="26">
        <f>VLOOKUP($C$59&amp;" "&amp;$F$67&amp;J67&amp;$F$67,TXRESULT!$A$1:$I$1004,6,FALSE)</f>
        <v>2.2000000000000002</v>
      </c>
      <c r="L67" s="146"/>
      <c r="M67" s="27" t="str">
        <f t="shared" si="6"/>
        <v>PASS</v>
      </c>
      <c r="N67" s="27" t="str">
        <f t="shared" si="1"/>
        <v/>
      </c>
    </row>
    <row r="68" spans="1:14" x14ac:dyDescent="0.3">
      <c r="A68" s="116"/>
      <c r="B68" s="116"/>
      <c r="C68" s="177"/>
      <c r="D68" s="179"/>
      <c r="E68" s="119"/>
      <c r="F68" s="165"/>
      <c r="G68" s="25" t="str">
        <f>G67</f>
        <v>13.5</v>
      </c>
      <c r="H68" s="25" t="str">
        <f>H67</f>
        <v>0</v>
      </c>
      <c r="I68" s="25" t="str">
        <f>I67</f>
        <v>13.5</v>
      </c>
      <c r="J68" s="25" t="s">
        <v>59</v>
      </c>
      <c r="K68" s="26">
        <f>VLOOKUP($C$59&amp;" "&amp;$F$67&amp;J68&amp;$F$67,TXRESULT!$A$1:$I$1004,6,FALSE)</f>
        <v>2.2000000000000002</v>
      </c>
      <c r="L68" s="146"/>
      <c r="M68" s="27" t="str">
        <f t="shared" si="6"/>
        <v>PASS</v>
      </c>
      <c r="N68" s="27" t="str">
        <f t="shared" si="1"/>
        <v/>
      </c>
    </row>
    <row r="69" spans="1:14" x14ac:dyDescent="0.3">
      <c r="A69" s="116"/>
      <c r="B69" s="116"/>
      <c r="C69" s="177"/>
      <c r="D69" s="179"/>
      <c r="E69" s="119"/>
      <c r="F69" s="165"/>
      <c r="G69" s="25" t="str">
        <f>G67</f>
        <v>13.5</v>
      </c>
      <c r="H69" s="25" t="str">
        <f>H67</f>
        <v>0</v>
      </c>
      <c r="I69" s="25" t="str">
        <f>I67</f>
        <v>13.5</v>
      </c>
      <c r="J69" s="25" t="s">
        <v>60</v>
      </c>
      <c r="K69" s="26">
        <f>VLOOKUP($C$59&amp;" "&amp;$F$67&amp;J69&amp;$F$67,TXRESULT!$A$1:$I$1004,6,FALSE)</f>
        <v>2.2000000000000002</v>
      </c>
      <c r="L69" s="146"/>
      <c r="M69" s="27" t="str">
        <f t="shared" si="6"/>
        <v>PASS</v>
      </c>
      <c r="N69" s="27" t="str">
        <f t="shared" si="1"/>
        <v/>
      </c>
    </row>
    <row r="70" spans="1:14" x14ac:dyDescent="0.3">
      <c r="A70" s="116"/>
      <c r="B70" s="116"/>
      <c r="C70" s="177"/>
      <c r="D70" s="179"/>
      <c r="E70" s="119"/>
      <c r="F70" s="165"/>
      <c r="G70" s="25" t="str">
        <f>G67</f>
        <v>13.5</v>
      </c>
      <c r="H70" s="25" t="str">
        <f>H67</f>
        <v>0</v>
      </c>
      <c r="I70" s="25" t="str">
        <f>I67</f>
        <v>13.5</v>
      </c>
      <c r="J70" s="25" t="s">
        <v>61</v>
      </c>
      <c r="K70" s="26">
        <f>VLOOKUP($C$59&amp;" "&amp;$F$67&amp;J70&amp;$F$67,TXRESULT!$A$1:$I$1004,6,FALSE)</f>
        <v>2.2000000000000002</v>
      </c>
      <c r="L70" s="146"/>
      <c r="M70" s="27" t="str">
        <f t="shared" si="6"/>
        <v>PASS</v>
      </c>
      <c r="N70" s="27" t="str">
        <f t="shared" si="1"/>
        <v/>
      </c>
    </row>
    <row r="71" spans="1:14" x14ac:dyDescent="0.3">
      <c r="A71" s="116"/>
      <c r="B71" s="116"/>
      <c r="C71" s="177"/>
      <c r="D71" s="179"/>
      <c r="E71" s="119"/>
      <c r="F71" s="165"/>
      <c r="G71" s="25" t="str">
        <f>G67</f>
        <v>13.5</v>
      </c>
      <c r="H71" s="25" t="str">
        <f>H67</f>
        <v>0</v>
      </c>
      <c r="I71" s="25" t="str">
        <f>I67</f>
        <v>13.5</v>
      </c>
      <c r="J71" s="25" t="s">
        <v>62</v>
      </c>
      <c r="K71" s="26">
        <f>VLOOKUP($C$59&amp;" "&amp;$F$67&amp;J71&amp;$F$67,TXRESULT!$A$1:$I$1004,6,FALSE)</f>
        <v>2.2000000000000002</v>
      </c>
      <c r="L71" s="146"/>
      <c r="M71" s="27" t="str">
        <f t="shared" si="6"/>
        <v>PASS</v>
      </c>
      <c r="N71" s="27" t="str">
        <f t="shared" si="1"/>
        <v/>
      </c>
    </row>
    <row r="72" spans="1:14" x14ac:dyDescent="0.3">
      <c r="A72" s="116"/>
      <c r="B72" s="116"/>
      <c r="C72" s="177"/>
      <c r="D72" s="179"/>
      <c r="E72" s="119"/>
      <c r="F72" s="165"/>
      <c r="G72" s="25" t="str">
        <f>G67</f>
        <v>13.5</v>
      </c>
      <c r="H72" s="25" t="str">
        <f>H67</f>
        <v>0</v>
      </c>
      <c r="I72" s="25" t="str">
        <f>I67</f>
        <v>13.5</v>
      </c>
      <c r="J72" s="25" t="s">
        <v>63</v>
      </c>
      <c r="K72" s="26">
        <f>VLOOKUP($C$59&amp;" "&amp;$F$67&amp;J72&amp;$F$67,TXRESULT!$A$1:$I$1004,6,FALSE)</f>
        <v>2.2000000000000002</v>
      </c>
      <c r="L72" s="146"/>
      <c r="M72" s="27" t="str">
        <f t="shared" si="6"/>
        <v>PASS</v>
      </c>
      <c r="N72" s="27" t="str">
        <f t="shared" si="1"/>
        <v/>
      </c>
    </row>
    <row r="73" spans="1:14" x14ac:dyDescent="0.3">
      <c r="A73" s="116"/>
      <c r="B73" s="116"/>
      <c r="C73" s="177"/>
      <c r="D73" s="179"/>
      <c r="E73" s="119"/>
      <c r="F73" s="165"/>
      <c r="G73" s="25" t="str">
        <f>G67</f>
        <v>13.5</v>
      </c>
      <c r="H73" s="25" t="str">
        <f>H67</f>
        <v>0</v>
      </c>
      <c r="I73" s="25" t="str">
        <f>I67</f>
        <v>13.5</v>
      </c>
      <c r="J73" s="25" t="s">
        <v>64</v>
      </c>
      <c r="K73" s="26">
        <f>VLOOKUP($C$59&amp;" "&amp;$F$67&amp;J73&amp;$F$67,TXRESULT!$A$1:$I$1004,6,FALSE)</f>
        <v>2.2000000000000002</v>
      </c>
      <c r="L73" s="146"/>
      <c r="M73" s="27" t="str">
        <f t="shared" si="6"/>
        <v>PASS</v>
      </c>
      <c r="N73" s="27" t="str">
        <f t="shared" si="1"/>
        <v/>
      </c>
    </row>
    <row r="74" spans="1:14" x14ac:dyDescent="0.3">
      <c r="A74" s="116"/>
      <c r="B74" s="117"/>
      <c r="C74" s="177"/>
      <c r="D74" s="179"/>
      <c r="E74" s="120"/>
      <c r="F74" s="166"/>
      <c r="G74" s="25" t="str">
        <f>G67</f>
        <v>13.5</v>
      </c>
      <c r="H74" s="25" t="str">
        <f>H67</f>
        <v>0</v>
      </c>
      <c r="I74" s="25" t="str">
        <f>I67</f>
        <v>13.5</v>
      </c>
      <c r="J74" s="25" t="s">
        <v>65</v>
      </c>
      <c r="K74" s="26">
        <f>VLOOKUP($C$59&amp;" "&amp;$F$67&amp;J74&amp;$F$67,TXRESULT!$A$1:$I$1004,6,FALSE)</f>
        <v>2.2000000000000002</v>
      </c>
      <c r="L74" s="146"/>
      <c r="M74" s="27" t="str">
        <f>IF(ISBLANK(K74),"",IF(AND(K74*1&gt;H74*1,K74*1&lt;I74*1),"PASS","FAIL"))</f>
        <v>PASS</v>
      </c>
      <c r="N74" s="27" t="str">
        <f t="shared" si="1"/>
        <v/>
      </c>
    </row>
    <row r="75" spans="1:14" ht="15.6" customHeight="1" x14ac:dyDescent="0.3">
      <c r="A75" s="116"/>
      <c r="B75" s="115" t="s">
        <v>97</v>
      </c>
      <c r="C75" s="177"/>
      <c r="D75" s="179"/>
      <c r="E75" s="132" t="s">
        <v>90</v>
      </c>
      <c r="F75" s="164" t="s">
        <v>98</v>
      </c>
      <c r="G75" s="25" t="s">
        <v>99</v>
      </c>
      <c r="H75" s="25" t="s">
        <v>80</v>
      </c>
      <c r="I75" s="25" t="s">
        <v>99</v>
      </c>
      <c r="J75" s="25" t="s">
        <v>57</v>
      </c>
      <c r="K75" s="26">
        <f>VLOOKUP($C$59&amp;" "&amp;$F$75&amp;J75&amp;$F$75,TXRESULT!$A$1:$I$1004,6,FALSE)</f>
        <v>0.7</v>
      </c>
      <c r="L75" s="146"/>
      <c r="M75" s="27" t="str">
        <f t="shared" ref="M75:M131" si="7">IF(ISBLANK(K75),"",IF(AND(K75*1&gt;H75*1,K75*1&lt;I75*1),"PASS","FAIL"))</f>
        <v>PASS</v>
      </c>
      <c r="N75" s="27" t="str">
        <f t="shared" si="1"/>
        <v/>
      </c>
    </row>
    <row r="76" spans="1:14" x14ac:dyDescent="0.3">
      <c r="A76" s="116"/>
      <c r="B76" s="116"/>
      <c r="C76" s="177"/>
      <c r="D76" s="179"/>
      <c r="E76" s="119"/>
      <c r="F76" s="165"/>
      <c r="G76" s="25" t="str">
        <f>G75</f>
        <v>9</v>
      </c>
      <c r="H76" s="25" t="str">
        <f>H75</f>
        <v>0</v>
      </c>
      <c r="I76" s="25" t="str">
        <f>I75</f>
        <v>9</v>
      </c>
      <c r="J76" s="25" t="s">
        <v>59</v>
      </c>
      <c r="K76" s="26">
        <f>VLOOKUP($C$59&amp;" "&amp;$F$75&amp;J76&amp;$F$75,TXRESULT!$A$1:$I$1004,6,FALSE)</f>
        <v>0.6</v>
      </c>
      <c r="L76" s="146"/>
      <c r="M76" s="27" t="str">
        <f t="shared" si="7"/>
        <v>PASS</v>
      </c>
      <c r="N76" s="27" t="str">
        <f t="shared" si="1"/>
        <v/>
      </c>
    </row>
    <row r="77" spans="1:14" x14ac:dyDescent="0.3">
      <c r="A77" s="116"/>
      <c r="B77" s="116"/>
      <c r="C77" s="177"/>
      <c r="D77" s="179"/>
      <c r="E77" s="119"/>
      <c r="F77" s="165"/>
      <c r="G77" s="25" t="str">
        <f>G75</f>
        <v>9</v>
      </c>
      <c r="H77" s="25" t="str">
        <f>H75</f>
        <v>0</v>
      </c>
      <c r="I77" s="25" t="str">
        <f>I75</f>
        <v>9</v>
      </c>
      <c r="J77" s="25" t="s">
        <v>60</v>
      </c>
      <c r="K77" s="26">
        <f>VLOOKUP($C$59&amp;" "&amp;$F$75&amp;J77&amp;$F$75,TXRESULT!$A$1:$I$1004,6,FALSE)</f>
        <v>0.6</v>
      </c>
      <c r="L77" s="146"/>
      <c r="M77" s="27" t="str">
        <f t="shared" si="7"/>
        <v>PASS</v>
      </c>
      <c r="N77" s="27" t="str">
        <f t="shared" si="1"/>
        <v/>
      </c>
    </row>
    <row r="78" spans="1:14" x14ac:dyDescent="0.3">
      <c r="A78" s="116"/>
      <c r="B78" s="116"/>
      <c r="C78" s="177"/>
      <c r="D78" s="179"/>
      <c r="E78" s="119"/>
      <c r="F78" s="165"/>
      <c r="G78" s="25" t="str">
        <f>G75</f>
        <v>9</v>
      </c>
      <c r="H78" s="25" t="str">
        <f>H75</f>
        <v>0</v>
      </c>
      <c r="I78" s="25" t="str">
        <f>I75</f>
        <v>9</v>
      </c>
      <c r="J78" s="25" t="s">
        <v>61</v>
      </c>
      <c r="K78" s="26">
        <f>VLOOKUP($C$59&amp;" "&amp;$F$75&amp;J78&amp;$F$75,TXRESULT!$A$1:$I$1004,6,FALSE)</f>
        <v>0.5</v>
      </c>
      <c r="L78" s="146"/>
      <c r="M78" s="27" t="str">
        <f t="shared" si="7"/>
        <v>PASS</v>
      </c>
      <c r="N78" s="27" t="str">
        <f t="shared" si="1"/>
        <v/>
      </c>
    </row>
    <row r="79" spans="1:14" x14ac:dyDescent="0.3">
      <c r="A79" s="116"/>
      <c r="B79" s="116"/>
      <c r="C79" s="177"/>
      <c r="D79" s="179"/>
      <c r="E79" s="119"/>
      <c r="F79" s="165"/>
      <c r="G79" s="25" t="str">
        <f>G75</f>
        <v>9</v>
      </c>
      <c r="H79" s="25" t="str">
        <f>H75</f>
        <v>0</v>
      </c>
      <c r="I79" s="25" t="str">
        <f>I75</f>
        <v>9</v>
      </c>
      <c r="J79" s="25" t="s">
        <v>62</v>
      </c>
      <c r="K79" s="26">
        <f>VLOOKUP($C$59&amp;" "&amp;$F$75&amp;J79&amp;$F$75,TXRESULT!$A$1:$I$1004,6,FALSE)</f>
        <v>0.4</v>
      </c>
      <c r="L79" s="146"/>
      <c r="M79" s="27" t="str">
        <f t="shared" si="7"/>
        <v>PASS</v>
      </c>
      <c r="N79" s="27" t="str">
        <f t="shared" si="1"/>
        <v/>
      </c>
    </row>
    <row r="80" spans="1:14" x14ac:dyDescent="0.3">
      <c r="A80" s="116"/>
      <c r="B80" s="116"/>
      <c r="C80" s="177"/>
      <c r="D80" s="179"/>
      <c r="E80" s="119"/>
      <c r="F80" s="165"/>
      <c r="G80" s="25" t="str">
        <f>G75</f>
        <v>9</v>
      </c>
      <c r="H80" s="25" t="str">
        <f>H75</f>
        <v>0</v>
      </c>
      <c r="I80" s="25" t="str">
        <f>I75</f>
        <v>9</v>
      </c>
      <c r="J80" s="25" t="s">
        <v>63</v>
      </c>
      <c r="K80" s="26">
        <f>VLOOKUP($C$59&amp;" "&amp;$F$75&amp;J80&amp;$F$75,TXRESULT!$A$1:$I$1004,6,FALSE)</f>
        <v>0.7</v>
      </c>
      <c r="L80" s="146"/>
      <c r="M80" s="27" t="str">
        <f t="shared" si="7"/>
        <v>PASS</v>
      </c>
      <c r="N80" s="27" t="str">
        <f t="shared" si="1"/>
        <v/>
      </c>
    </row>
    <row r="81" spans="1:14" x14ac:dyDescent="0.3">
      <c r="A81" s="116"/>
      <c r="B81" s="116"/>
      <c r="C81" s="177"/>
      <c r="D81" s="179"/>
      <c r="E81" s="119"/>
      <c r="F81" s="165"/>
      <c r="G81" s="25" t="str">
        <f>G75</f>
        <v>9</v>
      </c>
      <c r="H81" s="25" t="str">
        <f>H75</f>
        <v>0</v>
      </c>
      <c r="I81" s="25" t="str">
        <f>I75</f>
        <v>9</v>
      </c>
      <c r="J81" s="25" t="s">
        <v>64</v>
      </c>
      <c r="K81" s="26">
        <f>VLOOKUP($C$59&amp;" "&amp;$F$75&amp;J81&amp;$F$75,TXRESULT!$A$1:$I$1004,6,FALSE)</f>
        <v>0.5</v>
      </c>
      <c r="L81" s="146"/>
      <c r="M81" s="27" t="str">
        <f t="shared" si="7"/>
        <v>PASS</v>
      </c>
      <c r="N81" s="27" t="str">
        <f t="shared" ref="N81:N160" si="8">IF(ISBLANK(K81),"CHUADO","")</f>
        <v/>
      </c>
    </row>
    <row r="82" spans="1:14" x14ac:dyDescent="0.3">
      <c r="A82" s="116"/>
      <c r="B82" s="116"/>
      <c r="C82" s="177"/>
      <c r="D82" s="179"/>
      <c r="E82" s="120"/>
      <c r="F82" s="166"/>
      <c r="G82" s="25" t="str">
        <f>G75</f>
        <v>9</v>
      </c>
      <c r="H82" s="25" t="str">
        <f>H75</f>
        <v>0</v>
      </c>
      <c r="I82" s="25" t="str">
        <f>I75</f>
        <v>9</v>
      </c>
      <c r="J82" s="25" t="s">
        <v>65</v>
      </c>
      <c r="K82" s="26">
        <f>VLOOKUP($C$59&amp;" "&amp;$F$75&amp;J82&amp;$F$75,TXRESULT!$A$1:$I$1004,6,FALSE)</f>
        <v>0.6</v>
      </c>
      <c r="L82" s="146"/>
      <c r="M82" s="27" t="str">
        <f t="shared" si="7"/>
        <v>PASS</v>
      </c>
      <c r="N82" s="27" t="str">
        <f t="shared" si="8"/>
        <v/>
      </c>
    </row>
    <row r="83" spans="1:14" ht="15.6" customHeight="1" x14ac:dyDescent="0.3">
      <c r="A83" s="116"/>
      <c r="B83" s="116"/>
      <c r="C83" s="177"/>
      <c r="D83" s="179"/>
      <c r="E83" s="132" t="s">
        <v>90</v>
      </c>
      <c r="F83" s="164" t="s">
        <v>100</v>
      </c>
      <c r="G83" s="25" t="s">
        <v>99</v>
      </c>
      <c r="H83" s="25" t="s">
        <v>80</v>
      </c>
      <c r="I83" s="25" t="s">
        <v>99</v>
      </c>
      <c r="J83" s="25" t="s">
        <v>57</v>
      </c>
      <c r="K83" s="26">
        <f>VLOOKUP($C$59&amp;" "&amp;$F$83&amp;J83&amp;$F$83,TXRESULT!$A$1:$I$1004,6,FALSE)</f>
        <v>1.7</v>
      </c>
      <c r="L83" s="146"/>
      <c r="M83" s="27" t="str">
        <f t="shared" si="7"/>
        <v>PASS</v>
      </c>
      <c r="N83" s="27" t="str">
        <f t="shared" si="8"/>
        <v/>
      </c>
    </row>
    <row r="84" spans="1:14" x14ac:dyDescent="0.3">
      <c r="A84" s="116"/>
      <c r="B84" s="116"/>
      <c r="C84" s="177"/>
      <c r="D84" s="179"/>
      <c r="E84" s="119"/>
      <c r="F84" s="165"/>
      <c r="G84" s="25" t="str">
        <f>G83</f>
        <v>9</v>
      </c>
      <c r="H84" s="25" t="str">
        <f>H83</f>
        <v>0</v>
      </c>
      <c r="I84" s="25" t="str">
        <f>I83</f>
        <v>9</v>
      </c>
      <c r="J84" s="25" t="s">
        <v>59</v>
      </c>
      <c r="K84" s="26">
        <f>VLOOKUP($C$59&amp;" "&amp;$F$83&amp;J84&amp;$F$83,TXRESULT!$A$1:$I$1004,6,FALSE)</f>
        <v>1.8</v>
      </c>
      <c r="L84" s="146"/>
      <c r="M84" s="27" t="str">
        <f t="shared" si="7"/>
        <v>PASS</v>
      </c>
      <c r="N84" s="27" t="str">
        <f t="shared" si="8"/>
        <v/>
      </c>
    </row>
    <row r="85" spans="1:14" x14ac:dyDescent="0.3">
      <c r="A85" s="116"/>
      <c r="B85" s="116"/>
      <c r="C85" s="177"/>
      <c r="D85" s="179"/>
      <c r="E85" s="119"/>
      <c r="F85" s="165"/>
      <c r="G85" s="25" t="str">
        <f>G83</f>
        <v>9</v>
      </c>
      <c r="H85" s="25" t="str">
        <f>H83</f>
        <v>0</v>
      </c>
      <c r="I85" s="25" t="str">
        <f>I83</f>
        <v>9</v>
      </c>
      <c r="J85" s="25" t="s">
        <v>60</v>
      </c>
      <c r="K85" s="26">
        <f>VLOOKUP($C$59&amp;" "&amp;$F$83&amp;J85&amp;$F$83,TXRESULT!$A$1:$I$1004,6,FALSE)</f>
        <v>1.7</v>
      </c>
      <c r="L85" s="146"/>
      <c r="M85" s="27" t="str">
        <f t="shared" si="7"/>
        <v>PASS</v>
      </c>
      <c r="N85" s="27" t="str">
        <f t="shared" si="8"/>
        <v/>
      </c>
    </row>
    <row r="86" spans="1:14" x14ac:dyDescent="0.3">
      <c r="A86" s="116"/>
      <c r="B86" s="116"/>
      <c r="C86" s="177"/>
      <c r="D86" s="179"/>
      <c r="E86" s="119"/>
      <c r="F86" s="165"/>
      <c r="G86" s="25" t="str">
        <f>G83</f>
        <v>9</v>
      </c>
      <c r="H86" s="25" t="str">
        <f>H83</f>
        <v>0</v>
      </c>
      <c r="I86" s="25" t="str">
        <f>I83</f>
        <v>9</v>
      </c>
      <c r="J86" s="25" t="s">
        <v>61</v>
      </c>
      <c r="K86" s="26">
        <f>VLOOKUP($C$59&amp;" "&amp;$F$83&amp;J86&amp;$F$83,TXRESULT!$A$1:$I$1004,6,FALSE)</f>
        <v>1.7</v>
      </c>
      <c r="L86" s="146"/>
      <c r="M86" s="27" t="str">
        <f t="shared" si="7"/>
        <v>PASS</v>
      </c>
      <c r="N86" s="27" t="str">
        <f t="shared" si="8"/>
        <v/>
      </c>
    </row>
    <row r="87" spans="1:14" x14ac:dyDescent="0.3">
      <c r="A87" s="116"/>
      <c r="B87" s="116"/>
      <c r="C87" s="177"/>
      <c r="D87" s="179"/>
      <c r="E87" s="119"/>
      <c r="F87" s="165"/>
      <c r="G87" s="25" t="str">
        <f>G83</f>
        <v>9</v>
      </c>
      <c r="H87" s="25" t="str">
        <f>H83</f>
        <v>0</v>
      </c>
      <c r="I87" s="25" t="str">
        <f>I83</f>
        <v>9</v>
      </c>
      <c r="J87" s="25" t="s">
        <v>62</v>
      </c>
      <c r="K87" s="26">
        <f>VLOOKUP($C$59&amp;" "&amp;$F$83&amp;J87&amp;$F$83,TXRESULT!$A$1:$I$1004,6,FALSE)</f>
        <v>1.7</v>
      </c>
      <c r="L87" s="146"/>
      <c r="M87" s="27" t="str">
        <f t="shared" si="7"/>
        <v>PASS</v>
      </c>
      <c r="N87" s="27" t="str">
        <f t="shared" si="8"/>
        <v/>
      </c>
    </row>
    <row r="88" spans="1:14" x14ac:dyDescent="0.3">
      <c r="A88" s="116"/>
      <c r="B88" s="116"/>
      <c r="C88" s="177"/>
      <c r="D88" s="179"/>
      <c r="E88" s="119"/>
      <c r="F88" s="165"/>
      <c r="G88" s="25" t="str">
        <f>G83</f>
        <v>9</v>
      </c>
      <c r="H88" s="25" t="str">
        <f>H83</f>
        <v>0</v>
      </c>
      <c r="I88" s="25" t="str">
        <f>I83</f>
        <v>9</v>
      </c>
      <c r="J88" s="25" t="s">
        <v>63</v>
      </c>
      <c r="K88" s="26">
        <f>VLOOKUP($C$59&amp;" "&amp;$F$83&amp;J88&amp;$F$83,TXRESULT!$A$1:$I$1004,6,FALSE)</f>
        <v>1.8</v>
      </c>
      <c r="L88" s="146"/>
      <c r="M88" s="27" t="str">
        <f t="shared" si="7"/>
        <v>PASS</v>
      </c>
      <c r="N88" s="27" t="str">
        <f t="shared" si="8"/>
        <v/>
      </c>
    </row>
    <row r="89" spans="1:14" x14ac:dyDescent="0.3">
      <c r="A89" s="116"/>
      <c r="B89" s="116"/>
      <c r="C89" s="177"/>
      <c r="D89" s="179"/>
      <c r="E89" s="119"/>
      <c r="F89" s="165"/>
      <c r="G89" s="25" t="str">
        <f>G83</f>
        <v>9</v>
      </c>
      <c r="H89" s="25" t="str">
        <f>H83</f>
        <v>0</v>
      </c>
      <c r="I89" s="25" t="str">
        <f>I83</f>
        <v>9</v>
      </c>
      <c r="J89" s="25" t="s">
        <v>64</v>
      </c>
      <c r="K89" s="26">
        <f>VLOOKUP($C$59&amp;" "&amp;$F$83&amp;J89&amp;$F$83,TXRESULT!$A$1:$I$1004,6,FALSE)</f>
        <v>1.7</v>
      </c>
      <c r="L89" s="146"/>
      <c r="M89" s="27" t="str">
        <f t="shared" si="7"/>
        <v>PASS</v>
      </c>
      <c r="N89" s="27" t="str">
        <f t="shared" si="8"/>
        <v/>
      </c>
    </row>
    <row r="90" spans="1:14" x14ac:dyDescent="0.3">
      <c r="A90" s="116"/>
      <c r="B90" s="117"/>
      <c r="C90" s="177"/>
      <c r="D90" s="179"/>
      <c r="E90" s="120"/>
      <c r="F90" s="166"/>
      <c r="G90" s="25" t="str">
        <f>G83</f>
        <v>9</v>
      </c>
      <c r="H90" s="25" t="str">
        <f>H83</f>
        <v>0</v>
      </c>
      <c r="I90" s="25" t="str">
        <f>I83</f>
        <v>9</v>
      </c>
      <c r="J90" s="25" t="s">
        <v>65</v>
      </c>
      <c r="K90" s="26">
        <f>VLOOKUP($C$59&amp;" "&amp;$F$83&amp;J90&amp;$F$83,TXRESULT!$A$1:$I$1004,6,FALSE)</f>
        <v>1.7</v>
      </c>
      <c r="L90" s="146"/>
      <c r="M90" s="27" t="str">
        <f t="shared" si="7"/>
        <v>PASS</v>
      </c>
      <c r="N90" s="27" t="str">
        <f t="shared" si="8"/>
        <v/>
      </c>
    </row>
    <row r="91" spans="1:14" ht="15.6" customHeight="1" x14ac:dyDescent="0.3">
      <c r="A91" s="116"/>
      <c r="B91" s="115" t="s">
        <v>101</v>
      </c>
      <c r="C91" s="177"/>
      <c r="D91" s="179"/>
      <c r="E91" s="132" t="s">
        <v>90</v>
      </c>
      <c r="F91" s="164" t="s">
        <v>102</v>
      </c>
      <c r="G91" s="25" t="s">
        <v>103</v>
      </c>
      <c r="H91" s="25" t="s">
        <v>80</v>
      </c>
      <c r="I91" s="25" t="s">
        <v>103</v>
      </c>
      <c r="J91" s="25" t="s">
        <v>57</v>
      </c>
      <c r="K91" s="26">
        <f>VLOOKUP($C$59&amp;" "&amp;$F$91&amp;J91&amp;$F$91,TXRESULT!$A$1:$I$1004,6,FALSE)</f>
        <v>1.3</v>
      </c>
      <c r="L91" s="146"/>
      <c r="M91" s="27" t="str">
        <f t="shared" si="7"/>
        <v>PASS</v>
      </c>
      <c r="N91" s="27" t="str">
        <f t="shared" si="8"/>
        <v/>
      </c>
    </row>
    <row r="92" spans="1:14" x14ac:dyDescent="0.3">
      <c r="A92" s="116"/>
      <c r="B92" s="116"/>
      <c r="C92" s="177"/>
      <c r="D92" s="179"/>
      <c r="E92" s="119"/>
      <c r="F92" s="165"/>
      <c r="G92" s="25" t="str">
        <f>G91</f>
        <v>4.5</v>
      </c>
      <c r="H92" s="25" t="str">
        <f>H91</f>
        <v>0</v>
      </c>
      <c r="I92" s="25" t="str">
        <f>I91</f>
        <v>4.5</v>
      </c>
      <c r="J92" s="25" t="s">
        <v>59</v>
      </c>
      <c r="K92" s="26">
        <f>VLOOKUP($C$59&amp;" "&amp;$F$91&amp;J92&amp;$F$91,TXRESULT!$A$1:$I$1004,6,FALSE)</f>
        <v>1.2</v>
      </c>
      <c r="L92" s="146"/>
      <c r="M92" s="27" t="str">
        <f t="shared" si="7"/>
        <v>PASS</v>
      </c>
      <c r="N92" s="27" t="str">
        <f t="shared" si="8"/>
        <v/>
      </c>
    </row>
    <row r="93" spans="1:14" x14ac:dyDescent="0.3">
      <c r="A93" s="116"/>
      <c r="B93" s="116"/>
      <c r="C93" s="177"/>
      <c r="D93" s="179"/>
      <c r="E93" s="119"/>
      <c r="F93" s="165"/>
      <c r="G93" s="25" t="str">
        <f>G91</f>
        <v>4.5</v>
      </c>
      <c r="H93" s="25" t="str">
        <f>H91</f>
        <v>0</v>
      </c>
      <c r="I93" s="25" t="str">
        <f>I91</f>
        <v>4.5</v>
      </c>
      <c r="J93" s="25" t="s">
        <v>60</v>
      </c>
      <c r="K93" s="26">
        <f>VLOOKUP($C$59&amp;" "&amp;$F$91&amp;J93&amp;$F$91,TXRESULT!$A$1:$I$1004,6,FALSE)</f>
        <v>1.2</v>
      </c>
      <c r="L93" s="146"/>
      <c r="M93" s="27" t="str">
        <f t="shared" si="7"/>
        <v>PASS</v>
      </c>
      <c r="N93" s="27" t="str">
        <f t="shared" si="8"/>
        <v/>
      </c>
    </row>
    <row r="94" spans="1:14" x14ac:dyDescent="0.3">
      <c r="A94" s="116"/>
      <c r="B94" s="116"/>
      <c r="C94" s="177"/>
      <c r="D94" s="179"/>
      <c r="E94" s="119"/>
      <c r="F94" s="165"/>
      <c r="G94" s="25" t="str">
        <f>G91</f>
        <v>4.5</v>
      </c>
      <c r="H94" s="25" t="str">
        <f>H91</f>
        <v>0</v>
      </c>
      <c r="I94" s="25" t="str">
        <f>I91</f>
        <v>4.5</v>
      </c>
      <c r="J94" s="25" t="s">
        <v>61</v>
      </c>
      <c r="K94" s="26">
        <f>VLOOKUP($C$59&amp;" "&amp;$F$91&amp;J94&amp;$F$91,TXRESULT!$A$1:$I$1004,6,FALSE)</f>
        <v>1.2</v>
      </c>
      <c r="L94" s="146"/>
      <c r="M94" s="27" t="str">
        <f t="shared" si="7"/>
        <v>PASS</v>
      </c>
      <c r="N94" s="27" t="str">
        <f t="shared" si="8"/>
        <v/>
      </c>
    </row>
    <row r="95" spans="1:14" x14ac:dyDescent="0.3">
      <c r="A95" s="116"/>
      <c r="B95" s="116"/>
      <c r="C95" s="177"/>
      <c r="D95" s="179"/>
      <c r="E95" s="119"/>
      <c r="F95" s="165"/>
      <c r="G95" s="25" t="str">
        <f>G91</f>
        <v>4.5</v>
      </c>
      <c r="H95" s="25" t="str">
        <f>H91</f>
        <v>0</v>
      </c>
      <c r="I95" s="25" t="str">
        <f>I91</f>
        <v>4.5</v>
      </c>
      <c r="J95" s="25" t="s">
        <v>62</v>
      </c>
      <c r="K95" s="26">
        <f>VLOOKUP($C$59&amp;" "&amp;$F$91&amp;J95&amp;$F$91,TXRESULT!$A$1:$I$1004,6,FALSE)</f>
        <v>1.1000000000000001</v>
      </c>
      <c r="L95" s="146"/>
      <c r="M95" s="27" t="str">
        <f t="shared" si="7"/>
        <v>PASS</v>
      </c>
      <c r="N95" s="27" t="str">
        <f t="shared" si="8"/>
        <v/>
      </c>
    </row>
    <row r="96" spans="1:14" x14ac:dyDescent="0.3">
      <c r="A96" s="116"/>
      <c r="B96" s="116"/>
      <c r="C96" s="177"/>
      <c r="D96" s="179"/>
      <c r="E96" s="119"/>
      <c r="F96" s="165"/>
      <c r="G96" s="25" t="str">
        <f>G91</f>
        <v>4.5</v>
      </c>
      <c r="H96" s="25" t="str">
        <f>H91</f>
        <v>0</v>
      </c>
      <c r="I96" s="25" t="str">
        <f>I91</f>
        <v>4.5</v>
      </c>
      <c r="J96" s="25" t="s">
        <v>63</v>
      </c>
      <c r="K96" s="26">
        <f>VLOOKUP($C$59&amp;" "&amp;$F$91&amp;J96&amp;$F$91,TXRESULT!$A$1:$I$1004,6,FALSE)</f>
        <v>1.3</v>
      </c>
      <c r="L96" s="146"/>
      <c r="M96" s="27" t="str">
        <f t="shared" si="7"/>
        <v>PASS</v>
      </c>
      <c r="N96" s="27" t="str">
        <f t="shared" si="8"/>
        <v/>
      </c>
    </row>
    <row r="97" spans="1:15" x14ac:dyDescent="0.3">
      <c r="A97" s="116"/>
      <c r="B97" s="116"/>
      <c r="C97" s="177"/>
      <c r="D97" s="179"/>
      <c r="E97" s="119"/>
      <c r="F97" s="165"/>
      <c r="G97" s="25" t="str">
        <f>G91</f>
        <v>4.5</v>
      </c>
      <c r="H97" s="25" t="str">
        <f>H91</f>
        <v>0</v>
      </c>
      <c r="I97" s="25" t="str">
        <f>I91</f>
        <v>4.5</v>
      </c>
      <c r="J97" s="25" t="s">
        <v>64</v>
      </c>
      <c r="K97" s="26">
        <f>VLOOKUP($C$59&amp;" "&amp;$F$91&amp;J97&amp;$F$91,TXRESULT!$A$1:$I$1004,6,FALSE)</f>
        <v>1.1000000000000001</v>
      </c>
      <c r="L97" s="146"/>
      <c r="M97" s="27" t="str">
        <f t="shared" si="7"/>
        <v>PASS</v>
      </c>
      <c r="N97" s="27" t="str">
        <f>IF(ISBLANK(K97),"CHUADO","")</f>
        <v/>
      </c>
    </row>
    <row r="98" spans="1:15" x14ac:dyDescent="0.3">
      <c r="A98" s="116"/>
      <c r="B98" s="116"/>
      <c r="C98" s="177"/>
      <c r="D98" s="179"/>
      <c r="E98" s="120"/>
      <c r="F98" s="166"/>
      <c r="G98" s="25" t="str">
        <f>G91</f>
        <v>4.5</v>
      </c>
      <c r="H98" s="25" t="str">
        <f>H91</f>
        <v>0</v>
      </c>
      <c r="I98" s="25" t="str">
        <f>I91</f>
        <v>4.5</v>
      </c>
      <c r="J98" s="25" t="s">
        <v>65</v>
      </c>
      <c r="K98" s="26">
        <f>VLOOKUP($C$59&amp;" "&amp;$F$91&amp;J98&amp;$F$91,TXRESULT!$A$1:$I$1004,6,FALSE)</f>
        <v>1.3</v>
      </c>
      <c r="L98" s="146"/>
      <c r="M98" s="27" t="str">
        <f t="shared" si="7"/>
        <v>PASS</v>
      </c>
      <c r="N98" s="27" t="str">
        <f t="shared" si="8"/>
        <v/>
      </c>
    </row>
    <row r="99" spans="1:15" ht="15.6" customHeight="1" x14ac:dyDescent="0.3">
      <c r="A99" s="37"/>
      <c r="B99" s="116"/>
      <c r="C99" s="177"/>
      <c r="D99" s="179"/>
      <c r="E99" s="132" t="s">
        <v>90</v>
      </c>
      <c r="F99" s="164" t="s">
        <v>246</v>
      </c>
      <c r="G99" s="25" t="s">
        <v>103</v>
      </c>
      <c r="H99" s="25" t="s">
        <v>80</v>
      </c>
      <c r="I99" s="25" t="s">
        <v>103</v>
      </c>
      <c r="J99" s="25" t="s">
        <v>57</v>
      </c>
      <c r="K99" s="26">
        <f>VLOOKUP($C$59&amp;" "&amp;$F$99&amp;J99&amp;$F$99,TXRESULT!$A$1:$I$1004,6,FALSE)</f>
        <v>1.7</v>
      </c>
      <c r="L99" s="146"/>
      <c r="M99" s="27" t="str">
        <f t="shared" si="7"/>
        <v>PASS</v>
      </c>
      <c r="N99" s="27" t="str">
        <f t="shared" si="8"/>
        <v/>
      </c>
    </row>
    <row r="100" spans="1:15" x14ac:dyDescent="0.3">
      <c r="A100" s="37"/>
      <c r="B100" s="116"/>
      <c r="C100" s="177"/>
      <c r="D100" s="179"/>
      <c r="E100" s="119"/>
      <c r="F100" s="165"/>
      <c r="G100" s="25" t="str">
        <f>G99</f>
        <v>4.5</v>
      </c>
      <c r="H100" s="25" t="str">
        <f>H99</f>
        <v>0</v>
      </c>
      <c r="I100" s="25" t="str">
        <f>I99</f>
        <v>4.5</v>
      </c>
      <c r="J100" s="25" t="s">
        <v>59</v>
      </c>
      <c r="K100" s="26">
        <f>VLOOKUP($C$59&amp;" "&amp;$F$99&amp;J100&amp;$F$99,TXRESULT!$A$1:$I$1004,6,FALSE)</f>
        <v>1.7</v>
      </c>
      <c r="L100" s="146"/>
      <c r="M100" s="27" t="str">
        <f t="shared" si="7"/>
        <v>PASS</v>
      </c>
      <c r="N100" s="27" t="str">
        <f t="shared" si="8"/>
        <v/>
      </c>
      <c r="O100" s="56"/>
    </row>
    <row r="101" spans="1:15" x14ac:dyDescent="0.3">
      <c r="A101" s="37"/>
      <c r="B101" s="116"/>
      <c r="C101" s="177"/>
      <c r="D101" s="179"/>
      <c r="E101" s="119"/>
      <c r="F101" s="165"/>
      <c r="G101" s="25" t="str">
        <f>G99</f>
        <v>4.5</v>
      </c>
      <c r="H101" s="25" t="str">
        <f>H99</f>
        <v>0</v>
      </c>
      <c r="I101" s="25" t="str">
        <f>I99</f>
        <v>4.5</v>
      </c>
      <c r="J101" s="25" t="s">
        <v>60</v>
      </c>
      <c r="K101" s="26">
        <f>VLOOKUP($C$59&amp;" "&amp;$F$99&amp;J101&amp;$F$99,TXRESULT!$A$1:$I$1004,6,FALSE)</f>
        <v>1.6</v>
      </c>
      <c r="L101" s="146"/>
      <c r="M101" s="27" t="str">
        <f t="shared" si="7"/>
        <v>PASS</v>
      </c>
      <c r="N101" s="27" t="str">
        <f t="shared" si="8"/>
        <v/>
      </c>
    </row>
    <row r="102" spans="1:15" x14ac:dyDescent="0.3">
      <c r="A102" s="37"/>
      <c r="B102" s="116"/>
      <c r="C102" s="177"/>
      <c r="D102" s="179"/>
      <c r="E102" s="119"/>
      <c r="F102" s="165"/>
      <c r="G102" s="25" t="str">
        <f>G99</f>
        <v>4.5</v>
      </c>
      <c r="H102" s="25" t="str">
        <f>H99</f>
        <v>0</v>
      </c>
      <c r="I102" s="25" t="str">
        <f>I99</f>
        <v>4.5</v>
      </c>
      <c r="J102" s="25" t="s">
        <v>61</v>
      </c>
      <c r="K102" s="26">
        <f>VLOOKUP($C$59&amp;" "&amp;$F$99&amp;J102&amp;$F$99,TXRESULT!$A$1:$I$1004,6,FALSE)</f>
        <v>1.6</v>
      </c>
      <c r="L102" s="146"/>
      <c r="M102" s="27" t="str">
        <f t="shared" si="7"/>
        <v>PASS</v>
      </c>
      <c r="N102" s="27" t="str">
        <f t="shared" si="8"/>
        <v/>
      </c>
    </row>
    <row r="103" spans="1:15" x14ac:dyDescent="0.3">
      <c r="A103" s="37"/>
      <c r="B103" s="116"/>
      <c r="C103" s="177"/>
      <c r="D103" s="179"/>
      <c r="E103" s="119"/>
      <c r="F103" s="165"/>
      <c r="G103" s="25" t="str">
        <f>G99</f>
        <v>4.5</v>
      </c>
      <c r="H103" s="25" t="str">
        <f>H99</f>
        <v>0</v>
      </c>
      <c r="I103" s="25" t="str">
        <f>I99</f>
        <v>4.5</v>
      </c>
      <c r="J103" s="25" t="s">
        <v>62</v>
      </c>
      <c r="K103" s="26">
        <f>VLOOKUP($C$59&amp;" "&amp;$F$99&amp;J103&amp;$F$99,TXRESULT!$A$1:$I$1004,6,FALSE)</f>
        <v>1.7</v>
      </c>
      <c r="L103" s="146"/>
      <c r="M103" s="27" t="str">
        <f t="shared" si="7"/>
        <v>PASS</v>
      </c>
      <c r="N103" s="27" t="str">
        <f t="shared" si="8"/>
        <v/>
      </c>
    </row>
    <row r="104" spans="1:15" x14ac:dyDescent="0.3">
      <c r="A104" s="37"/>
      <c r="B104" s="116"/>
      <c r="C104" s="177"/>
      <c r="D104" s="179"/>
      <c r="E104" s="119"/>
      <c r="F104" s="165"/>
      <c r="G104" s="25" t="str">
        <f>G99</f>
        <v>4.5</v>
      </c>
      <c r="H104" s="25" t="str">
        <f>H99</f>
        <v>0</v>
      </c>
      <c r="I104" s="25" t="str">
        <f>I99</f>
        <v>4.5</v>
      </c>
      <c r="J104" s="25" t="s">
        <v>63</v>
      </c>
      <c r="K104" s="26">
        <f>VLOOKUP($C$59&amp;" "&amp;$F$99&amp;J104&amp;$F$99,TXRESULT!$A$1:$I$1004,6,FALSE)</f>
        <v>1.8</v>
      </c>
      <c r="L104" s="146"/>
      <c r="M104" s="27" t="str">
        <f t="shared" si="7"/>
        <v>PASS</v>
      </c>
      <c r="N104" s="27" t="str">
        <f t="shared" si="8"/>
        <v/>
      </c>
    </row>
    <row r="105" spans="1:15" x14ac:dyDescent="0.3">
      <c r="A105" s="37"/>
      <c r="B105" s="116"/>
      <c r="C105" s="177"/>
      <c r="D105" s="179"/>
      <c r="E105" s="119"/>
      <c r="F105" s="165"/>
      <c r="G105" s="25" t="str">
        <f>G99</f>
        <v>4.5</v>
      </c>
      <c r="H105" s="25" t="str">
        <f>H99</f>
        <v>0</v>
      </c>
      <c r="I105" s="25" t="str">
        <f>I99</f>
        <v>4.5</v>
      </c>
      <c r="J105" s="25" t="s">
        <v>64</v>
      </c>
      <c r="K105" s="26">
        <f>VLOOKUP($C$59&amp;" "&amp;$F$99&amp;J105&amp;$F$99,TXRESULT!$A$1:$I$1004,6,FALSE)</f>
        <v>1.6</v>
      </c>
      <c r="L105" s="146"/>
      <c r="M105" s="27" t="str">
        <f t="shared" si="7"/>
        <v>PASS</v>
      </c>
      <c r="N105" s="27" t="str">
        <f t="shared" si="8"/>
        <v/>
      </c>
    </row>
    <row r="106" spans="1:15" x14ac:dyDescent="0.3">
      <c r="A106" s="37"/>
      <c r="B106" s="117"/>
      <c r="C106" s="180"/>
      <c r="D106" s="182"/>
      <c r="E106" s="120"/>
      <c r="F106" s="166"/>
      <c r="G106" s="25" t="str">
        <f>G99</f>
        <v>4.5</v>
      </c>
      <c r="H106" s="25" t="str">
        <f>H99</f>
        <v>0</v>
      </c>
      <c r="I106" s="25" t="str">
        <f>I99</f>
        <v>4.5</v>
      </c>
      <c r="J106" s="25" t="s">
        <v>65</v>
      </c>
      <c r="K106" s="26">
        <f>VLOOKUP($C$59&amp;" "&amp;$F$99&amp;J106&amp;$F$99,TXRESULT!$A$1:$I$1004,6,FALSE)</f>
        <v>1.7</v>
      </c>
      <c r="L106" s="147"/>
      <c r="M106" s="27" t="str">
        <f t="shared" si="7"/>
        <v>PASS</v>
      </c>
      <c r="N106" s="27" t="str">
        <f t="shared" si="8"/>
        <v/>
      </c>
    </row>
    <row r="107" spans="1:15" x14ac:dyDescent="0.3">
      <c r="A107" s="115" t="s">
        <v>104</v>
      </c>
      <c r="B107" s="174" t="s">
        <v>254</v>
      </c>
      <c r="C107" s="175"/>
      <c r="D107" s="176"/>
      <c r="E107" s="132" t="s">
        <v>105</v>
      </c>
      <c r="F107" s="164" t="s">
        <v>53</v>
      </c>
      <c r="G107" s="25" t="s">
        <v>106</v>
      </c>
      <c r="H107" s="25" t="s">
        <v>80</v>
      </c>
      <c r="I107" s="25" t="s">
        <v>106</v>
      </c>
      <c r="J107" s="25" t="s">
        <v>57</v>
      </c>
      <c r="K107" s="26" t="e">
        <f>VLOOKUP($B$107&amp;J107&amp;$F$107,TXRESULT!$A$1:$H$1004,6,FALSE)</f>
        <v>#N/A</v>
      </c>
      <c r="L107" s="145" t="s">
        <v>107</v>
      </c>
      <c r="M107" s="27" t="e">
        <f t="shared" si="7"/>
        <v>#N/A</v>
      </c>
      <c r="N107" s="27" t="str">
        <f t="shared" si="8"/>
        <v/>
      </c>
      <c r="O107" s="74"/>
    </row>
    <row r="108" spans="1:15" x14ac:dyDescent="0.3">
      <c r="A108" s="116"/>
      <c r="B108" s="177"/>
      <c r="C108" s="178"/>
      <c r="D108" s="179"/>
      <c r="E108" s="119"/>
      <c r="F108" s="165"/>
      <c r="G108" s="25" t="str">
        <f>G107</f>
        <v>90</v>
      </c>
      <c r="H108" s="25" t="s">
        <v>80</v>
      </c>
      <c r="I108" s="25" t="str">
        <f>I107</f>
        <v>90</v>
      </c>
      <c r="J108" s="25" t="s">
        <v>59</v>
      </c>
      <c r="K108" s="26" t="e">
        <f>VLOOKUP($B$107&amp;J108&amp;$F$107,TXRESULT!$A$1:$H$1004,6,FALSE)</f>
        <v>#N/A</v>
      </c>
      <c r="L108" s="146"/>
      <c r="M108" s="27" t="e">
        <f t="shared" si="7"/>
        <v>#N/A</v>
      </c>
      <c r="N108" s="27" t="str">
        <f t="shared" si="8"/>
        <v/>
      </c>
    </row>
    <row r="109" spans="1:15" x14ac:dyDescent="0.3">
      <c r="A109" s="116"/>
      <c r="B109" s="177"/>
      <c r="C109" s="178"/>
      <c r="D109" s="179"/>
      <c r="E109" s="119"/>
      <c r="F109" s="165"/>
      <c r="G109" s="25" t="str">
        <f>G107</f>
        <v>90</v>
      </c>
      <c r="H109" s="25" t="s">
        <v>80</v>
      </c>
      <c r="I109" s="25" t="str">
        <f>I107</f>
        <v>90</v>
      </c>
      <c r="J109" s="25" t="s">
        <v>60</v>
      </c>
      <c r="K109" s="26" t="e">
        <f>VLOOKUP($B$107&amp;J109&amp;$F$107,TXRESULT!$A$1:$H$1004,6,FALSE)</f>
        <v>#N/A</v>
      </c>
      <c r="L109" s="146"/>
      <c r="M109" s="27" t="e">
        <f t="shared" si="7"/>
        <v>#N/A</v>
      </c>
      <c r="N109" s="27" t="str">
        <f t="shared" si="8"/>
        <v/>
      </c>
    </row>
    <row r="110" spans="1:15" x14ac:dyDescent="0.3">
      <c r="A110" s="116"/>
      <c r="B110" s="177"/>
      <c r="C110" s="178"/>
      <c r="D110" s="179"/>
      <c r="E110" s="119"/>
      <c r="F110" s="165"/>
      <c r="G110" s="25" t="str">
        <f>G107</f>
        <v>90</v>
      </c>
      <c r="H110" s="25" t="s">
        <v>80</v>
      </c>
      <c r="I110" s="25" t="str">
        <f>I107</f>
        <v>90</v>
      </c>
      <c r="J110" s="25" t="s">
        <v>61</v>
      </c>
      <c r="K110" s="26" t="e">
        <f>VLOOKUP($B$107&amp;J110&amp;$F$107,TXRESULT!$A$1:$H$1004,6,FALSE)</f>
        <v>#N/A</v>
      </c>
      <c r="L110" s="146"/>
      <c r="M110" s="27" t="e">
        <f t="shared" si="7"/>
        <v>#N/A</v>
      </c>
      <c r="N110" s="27" t="str">
        <f t="shared" si="8"/>
        <v/>
      </c>
    </row>
    <row r="111" spans="1:15" x14ac:dyDescent="0.3">
      <c r="A111" s="116"/>
      <c r="B111" s="177"/>
      <c r="C111" s="178"/>
      <c r="D111" s="179"/>
      <c r="E111" s="119"/>
      <c r="F111" s="165"/>
      <c r="G111" s="25" t="str">
        <f>G107</f>
        <v>90</v>
      </c>
      <c r="H111" s="25" t="s">
        <v>80</v>
      </c>
      <c r="I111" s="25" t="str">
        <f>I107</f>
        <v>90</v>
      </c>
      <c r="J111" s="25" t="s">
        <v>62</v>
      </c>
      <c r="K111" s="26" t="e">
        <f>VLOOKUP($B$107&amp;J111&amp;$F$107,TXRESULT!$A$1:$H$1004,6,FALSE)</f>
        <v>#N/A</v>
      </c>
      <c r="L111" s="146"/>
      <c r="M111" s="27" t="e">
        <f t="shared" si="7"/>
        <v>#N/A</v>
      </c>
      <c r="N111" s="27" t="str">
        <f t="shared" si="8"/>
        <v/>
      </c>
    </row>
    <row r="112" spans="1:15" x14ac:dyDescent="0.3">
      <c r="A112" s="116"/>
      <c r="B112" s="177"/>
      <c r="C112" s="178"/>
      <c r="D112" s="179"/>
      <c r="E112" s="119"/>
      <c r="F112" s="165"/>
      <c r="G112" s="25" t="str">
        <f>G107</f>
        <v>90</v>
      </c>
      <c r="H112" s="25" t="s">
        <v>80</v>
      </c>
      <c r="I112" s="25" t="str">
        <f>I107</f>
        <v>90</v>
      </c>
      <c r="J112" s="25" t="s">
        <v>63</v>
      </c>
      <c r="K112" s="26" t="e">
        <f>VLOOKUP($B$107&amp;J112&amp;$F$107,TXRESULT!$A$1:$H$1004,6,FALSE)</f>
        <v>#N/A</v>
      </c>
      <c r="L112" s="146"/>
      <c r="M112" s="27" t="e">
        <f t="shared" si="7"/>
        <v>#N/A</v>
      </c>
      <c r="N112" s="27" t="str">
        <f t="shared" si="8"/>
        <v/>
      </c>
    </row>
    <row r="113" spans="1:17" x14ac:dyDescent="0.3">
      <c r="A113" s="116"/>
      <c r="B113" s="177"/>
      <c r="C113" s="178"/>
      <c r="D113" s="179"/>
      <c r="E113" s="119"/>
      <c r="F113" s="165"/>
      <c r="G113" s="25" t="str">
        <f>G107</f>
        <v>90</v>
      </c>
      <c r="H113" s="25" t="s">
        <v>80</v>
      </c>
      <c r="I113" s="25" t="str">
        <f>I107</f>
        <v>90</v>
      </c>
      <c r="J113" s="25" t="s">
        <v>64</v>
      </c>
      <c r="K113" s="26" t="e">
        <f>VLOOKUP($B$107&amp;J113&amp;$F$107,TXRESULT!$A$1:$H$1004,6,FALSE)</f>
        <v>#N/A</v>
      </c>
      <c r="L113" s="146"/>
      <c r="M113" s="27" t="e">
        <f t="shared" si="7"/>
        <v>#N/A</v>
      </c>
      <c r="N113" s="27" t="str">
        <f t="shared" si="8"/>
        <v/>
      </c>
    </row>
    <row r="114" spans="1:17" x14ac:dyDescent="0.3">
      <c r="A114" s="117"/>
      <c r="B114" s="180"/>
      <c r="C114" s="181"/>
      <c r="D114" s="182"/>
      <c r="E114" s="120"/>
      <c r="F114" s="166"/>
      <c r="G114" s="25" t="str">
        <f>G107</f>
        <v>90</v>
      </c>
      <c r="H114" s="25" t="s">
        <v>80</v>
      </c>
      <c r="I114" s="25" t="str">
        <f>I107</f>
        <v>90</v>
      </c>
      <c r="J114" s="25" t="s">
        <v>65</v>
      </c>
      <c r="K114" s="26" t="e">
        <f>VLOOKUP($B$107&amp;J114&amp;$F$107,TXRESULT!$A$1:$H$1004,6,FALSE)</f>
        <v>#N/A</v>
      </c>
      <c r="L114" s="147"/>
      <c r="M114" s="27" t="e">
        <f t="shared" si="7"/>
        <v>#N/A</v>
      </c>
      <c r="N114" s="27" t="str">
        <f t="shared" si="8"/>
        <v/>
      </c>
    </row>
    <row r="115" spans="1:17" x14ac:dyDescent="0.3">
      <c r="A115" s="28"/>
      <c r="B115" s="38" t="s">
        <v>108</v>
      </c>
      <c r="C115" s="39"/>
      <c r="D115" s="30"/>
      <c r="E115" s="30"/>
      <c r="F115" s="30"/>
      <c r="G115" s="30"/>
      <c r="H115" s="30"/>
      <c r="I115" s="30"/>
      <c r="J115" s="30"/>
      <c r="K115" s="26"/>
      <c r="L115" s="30"/>
      <c r="M115" s="27"/>
      <c r="N115" s="27"/>
    </row>
    <row r="116" spans="1:17" x14ac:dyDescent="0.3">
      <c r="A116" s="115" t="s">
        <v>109</v>
      </c>
      <c r="B116" s="174" t="s">
        <v>242</v>
      </c>
      <c r="C116" s="175"/>
      <c r="D116" s="176"/>
      <c r="E116" s="132" t="s">
        <v>110</v>
      </c>
      <c r="F116" s="164" t="s">
        <v>53</v>
      </c>
      <c r="G116" s="25" t="s">
        <v>112</v>
      </c>
      <c r="H116" s="25" t="s">
        <v>113</v>
      </c>
      <c r="I116" s="25" t="s">
        <v>112</v>
      </c>
      <c r="J116" s="25" t="s">
        <v>57</v>
      </c>
      <c r="K116" s="26">
        <f>VLOOKUP($B$116&amp;J116&amp;$F$116,TXRESULT!$A$1:$I$1004,6,FALSE)</f>
        <v>0</v>
      </c>
      <c r="L116" s="145" t="s">
        <v>114</v>
      </c>
      <c r="M116" s="27" t="str">
        <f t="shared" si="7"/>
        <v>FAIL</v>
      </c>
      <c r="N116" s="27" t="str">
        <f t="shared" si="8"/>
        <v/>
      </c>
    </row>
    <row r="117" spans="1:17" x14ac:dyDescent="0.3">
      <c r="A117" s="116"/>
      <c r="B117" s="177"/>
      <c r="C117" s="178"/>
      <c r="D117" s="179"/>
      <c r="E117" s="119"/>
      <c r="F117" s="165"/>
      <c r="G117" s="25" t="s">
        <v>112</v>
      </c>
      <c r="H117" s="25" t="s">
        <v>113</v>
      </c>
      <c r="I117" s="25" t="s">
        <v>112</v>
      </c>
      <c r="J117" s="25" t="s">
        <v>59</v>
      </c>
      <c r="K117" s="26">
        <f>VLOOKUP($B$116&amp;J117&amp;$F$116,TXRESULT!$A$1:$I$1004,6,FALSE)</f>
        <v>0</v>
      </c>
      <c r="L117" s="146"/>
      <c r="M117" s="27" t="str">
        <f t="shared" si="7"/>
        <v>FAIL</v>
      </c>
      <c r="N117" s="27" t="str">
        <f t="shared" si="8"/>
        <v/>
      </c>
    </row>
    <row r="118" spans="1:17" x14ac:dyDescent="0.3">
      <c r="A118" s="116"/>
      <c r="B118" s="177"/>
      <c r="C118" s="178"/>
      <c r="D118" s="179"/>
      <c r="E118" s="119"/>
      <c r="F118" s="165"/>
      <c r="G118" s="25" t="s">
        <v>112</v>
      </c>
      <c r="H118" s="25" t="s">
        <v>113</v>
      </c>
      <c r="I118" s="25" t="s">
        <v>112</v>
      </c>
      <c r="J118" s="25" t="s">
        <v>60</v>
      </c>
      <c r="K118" s="26">
        <f>VLOOKUP($B$116&amp;J118&amp;$F$116,TXRESULT!$A$1:$I$1004,6,FALSE)</f>
        <v>0</v>
      </c>
      <c r="L118" s="146"/>
      <c r="M118" s="27" t="str">
        <f t="shared" si="7"/>
        <v>FAIL</v>
      </c>
      <c r="N118" s="27" t="str">
        <f t="shared" si="8"/>
        <v/>
      </c>
    </row>
    <row r="119" spans="1:17" x14ac:dyDescent="0.3">
      <c r="A119" s="116"/>
      <c r="B119" s="177"/>
      <c r="C119" s="178"/>
      <c r="D119" s="179"/>
      <c r="E119" s="119"/>
      <c r="F119" s="165"/>
      <c r="G119" s="25" t="s">
        <v>112</v>
      </c>
      <c r="H119" s="25" t="s">
        <v>113</v>
      </c>
      <c r="I119" s="25" t="s">
        <v>112</v>
      </c>
      <c r="J119" s="25" t="s">
        <v>61</v>
      </c>
      <c r="K119" s="26">
        <f>VLOOKUP($B$116&amp;J119&amp;$F$116,TXRESULT!$A$1:$I$1004,6,FALSE)</f>
        <v>0</v>
      </c>
      <c r="L119" s="146"/>
      <c r="M119" s="27" t="str">
        <f t="shared" si="7"/>
        <v>FAIL</v>
      </c>
      <c r="N119" s="27" t="str">
        <f t="shared" si="8"/>
        <v/>
      </c>
    </row>
    <row r="120" spans="1:17" x14ac:dyDescent="0.3">
      <c r="A120" s="116"/>
      <c r="B120" s="177"/>
      <c r="C120" s="178"/>
      <c r="D120" s="179"/>
      <c r="E120" s="119"/>
      <c r="F120" s="165"/>
      <c r="G120" s="25" t="s">
        <v>112</v>
      </c>
      <c r="H120" s="25" t="s">
        <v>113</v>
      </c>
      <c r="I120" s="25" t="s">
        <v>112</v>
      </c>
      <c r="J120" s="25" t="s">
        <v>62</v>
      </c>
      <c r="K120" s="26">
        <f>VLOOKUP($B$116&amp;J120&amp;$F$116,TXRESULT!$A$1:$I$1004,6,FALSE)</f>
        <v>0</v>
      </c>
      <c r="L120" s="146"/>
      <c r="M120" s="27" t="str">
        <f t="shared" si="7"/>
        <v>FAIL</v>
      </c>
      <c r="N120" s="27" t="str">
        <f t="shared" si="8"/>
        <v/>
      </c>
    </row>
    <row r="121" spans="1:17" x14ac:dyDescent="0.3">
      <c r="A121" s="116"/>
      <c r="B121" s="177"/>
      <c r="C121" s="178"/>
      <c r="D121" s="179"/>
      <c r="E121" s="119"/>
      <c r="F121" s="165"/>
      <c r="G121" s="25" t="s">
        <v>112</v>
      </c>
      <c r="H121" s="25" t="s">
        <v>113</v>
      </c>
      <c r="I121" s="25" t="s">
        <v>112</v>
      </c>
      <c r="J121" s="25" t="s">
        <v>63</v>
      </c>
      <c r="K121" s="26">
        <f>VLOOKUP($B$116&amp;J121&amp;$F$116,TXRESULT!$A$1:$I$1004,6,FALSE)</f>
        <v>0</v>
      </c>
      <c r="L121" s="146"/>
      <c r="M121" s="27" t="str">
        <f t="shared" si="7"/>
        <v>FAIL</v>
      </c>
      <c r="N121" s="27" t="str">
        <f t="shared" si="8"/>
        <v/>
      </c>
    </row>
    <row r="122" spans="1:17" x14ac:dyDescent="0.3">
      <c r="A122" s="116"/>
      <c r="B122" s="177"/>
      <c r="C122" s="178"/>
      <c r="D122" s="179"/>
      <c r="E122" s="119"/>
      <c r="F122" s="165"/>
      <c r="G122" s="25" t="s">
        <v>112</v>
      </c>
      <c r="H122" s="25" t="s">
        <v>113</v>
      </c>
      <c r="I122" s="25" t="s">
        <v>112</v>
      </c>
      <c r="J122" s="25" t="s">
        <v>64</v>
      </c>
      <c r="K122" s="26">
        <f>VLOOKUP($B$116&amp;J122&amp;$F$116,TXRESULT!$A$1:$I$1004,6,FALSE)</f>
        <v>0</v>
      </c>
      <c r="L122" s="146"/>
      <c r="M122" s="27" t="str">
        <f t="shared" si="7"/>
        <v>FAIL</v>
      </c>
      <c r="N122" s="27" t="str">
        <f t="shared" si="8"/>
        <v/>
      </c>
    </row>
    <row r="123" spans="1:17" x14ac:dyDescent="0.3">
      <c r="A123" s="117"/>
      <c r="B123" s="180"/>
      <c r="C123" s="181"/>
      <c r="D123" s="182"/>
      <c r="E123" s="120"/>
      <c r="F123" s="166"/>
      <c r="G123" s="25" t="s">
        <v>112</v>
      </c>
      <c r="H123" s="25" t="s">
        <v>113</v>
      </c>
      <c r="I123" s="25" t="s">
        <v>112</v>
      </c>
      <c r="J123" s="25" t="s">
        <v>65</v>
      </c>
      <c r="K123" s="26">
        <f>VLOOKUP($B$116&amp;J123&amp;$F$116,TXRESULT!$A$1:$I$1004,6,FALSE)</f>
        <v>0</v>
      </c>
      <c r="L123" s="147"/>
      <c r="M123" s="27" t="str">
        <f t="shared" si="7"/>
        <v>FAIL</v>
      </c>
      <c r="N123" s="27" t="str">
        <f t="shared" si="8"/>
        <v/>
      </c>
    </row>
    <row r="124" spans="1:17" ht="15.6" customHeight="1" x14ac:dyDescent="0.3">
      <c r="A124" s="115" t="s">
        <v>115</v>
      </c>
      <c r="B124" s="174" t="s">
        <v>243</v>
      </c>
      <c r="C124" s="175"/>
      <c r="D124" s="176"/>
      <c r="E124" s="132" t="s">
        <v>116</v>
      </c>
      <c r="F124" s="164" t="s">
        <v>111</v>
      </c>
      <c r="G124" s="25" t="s">
        <v>117</v>
      </c>
      <c r="H124" s="25" t="s">
        <v>117</v>
      </c>
      <c r="I124" s="25" t="s">
        <v>118</v>
      </c>
      <c r="J124" s="25" t="s">
        <v>57</v>
      </c>
      <c r="K124" s="26">
        <f t="array" ref="K124">MIN(IF((LEFT(TXRESULT!$C$1:$C$1004,30)='CH1-CH8'!$B$124)*(TXRESULT!$B$1:$B$1004='CH1-CH8'!J124),TXRESULT!$F$1:$F$1004,""))</f>
        <v>48.6</v>
      </c>
      <c r="L124" s="145" t="s">
        <v>119</v>
      </c>
      <c r="M124" s="27" t="str">
        <f t="shared" si="7"/>
        <v>PASS</v>
      </c>
      <c r="N124" s="27" t="str">
        <f t="shared" si="8"/>
        <v/>
      </c>
    </row>
    <row r="125" spans="1:17" x14ac:dyDescent="0.3">
      <c r="A125" s="116"/>
      <c r="B125" s="177"/>
      <c r="C125" s="183"/>
      <c r="D125" s="179"/>
      <c r="E125" s="119"/>
      <c r="F125" s="165"/>
      <c r="G125" s="25" t="str">
        <f>G124</f>
        <v>43.8</v>
      </c>
      <c r="H125" s="25" t="str">
        <f>H124</f>
        <v>43.8</v>
      </c>
      <c r="I125" s="25" t="s">
        <v>118</v>
      </c>
      <c r="J125" s="25" t="s">
        <v>59</v>
      </c>
      <c r="K125" s="26">
        <f t="array" ref="K125">MIN(IF((LEFT(TXRESULT!$C$1:$C$1004,30)='CH1-CH8'!$B$124)*(TXRESULT!$B$1:$B$1004='CH1-CH8'!J125),TXRESULT!$F$1:$F$1004,""))</f>
        <v>46.1</v>
      </c>
      <c r="L125" s="146"/>
      <c r="M125" s="27" t="str">
        <f t="shared" si="7"/>
        <v>PASS</v>
      </c>
      <c r="N125" s="27" t="str">
        <f t="shared" si="8"/>
        <v/>
      </c>
    </row>
    <row r="126" spans="1:17" x14ac:dyDescent="0.3">
      <c r="A126" s="116"/>
      <c r="B126" s="177"/>
      <c r="C126" s="183"/>
      <c r="D126" s="179"/>
      <c r="E126" s="119"/>
      <c r="F126" s="165"/>
      <c r="G126" s="25" t="str">
        <f>G124</f>
        <v>43.8</v>
      </c>
      <c r="H126" s="25" t="str">
        <f>H124</f>
        <v>43.8</v>
      </c>
      <c r="I126" s="25" t="s">
        <v>118</v>
      </c>
      <c r="J126" s="25" t="s">
        <v>60</v>
      </c>
      <c r="K126" s="26">
        <f t="array" ref="K126">MIN(IF((LEFT(TXRESULT!$C$1:$C$1004,30)='CH1-CH8'!$B$124)*(TXRESULT!$B$1:$B$1004='CH1-CH8'!J126),TXRESULT!$F$1:$F$1004,""))</f>
        <v>48.6</v>
      </c>
      <c r="L126" s="146"/>
      <c r="M126" s="27" t="str">
        <f t="shared" si="7"/>
        <v>PASS</v>
      </c>
      <c r="N126" s="27" t="str">
        <f t="shared" si="8"/>
        <v/>
      </c>
      <c r="Q126" s="56"/>
    </row>
    <row r="127" spans="1:17" x14ac:dyDescent="0.3">
      <c r="A127" s="116"/>
      <c r="B127" s="177"/>
      <c r="C127" s="183"/>
      <c r="D127" s="179"/>
      <c r="E127" s="119"/>
      <c r="F127" s="165"/>
      <c r="G127" s="25" t="str">
        <f>G124</f>
        <v>43.8</v>
      </c>
      <c r="H127" s="25" t="str">
        <f>H124</f>
        <v>43.8</v>
      </c>
      <c r="I127" s="25" t="s">
        <v>118</v>
      </c>
      <c r="J127" s="25" t="s">
        <v>61</v>
      </c>
      <c r="K127" s="26">
        <f t="array" ref="K127">MIN(IF((LEFT(TXRESULT!$C$1:$C$1004,30)='CH1-CH8'!$B$124)*(TXRESULT!$B$1:$B$1004='CH1-CH8'!J127),TXRESULT!$F$1:$F$1004,""))</f>
        <v>51.1</v>
      </c>
      <c r="L127" s="146"/>
      <c r="M127" s="27" t="str">
        <f t="shared" si="7"/>
        <v>PASS</v>
      </c>
      <c r="N127" s="27" t="str">
        <f t="shared" si="8"/>
        <v/>
      </c>
    </row>
    <row r="128" spans="1:17" x14ac:dyDescent="0.3">
      <c r="A128" s="116"/>
      <c r="B128" s="177"/>
      <c r="C128" s="183"/>
      <c r="D128" s="179"/>
      <c r="E128" s="119"/>
      <c r="F128" s="165"/>
      <c r="G128" s="25" t="str">
        <f>G124</f>
        <v>43.8</v>
      </c>
      <c r="H128" s="25" t="str">
        <f>H124</f>
        <v>43.8</v>
      </c>
      <c r="I128" s="25" t="s">
        <v>118</v>
      </c>
      <c r="J128" s="25" t="s">
        <v>62</v>
      </c>
      <c r="K128" s="26">
        <f t="array" ref="K128">MIN(IF((LEFT(TXRESULT!$C$1:$C$1004,30)='CH1-CH8'!$B$124)*(TXRESULT!$B$1:$B$1004='CH1-CH8'!J128),TXRESULT!$F$1:$F$1004,""))</f>
        <v>48.5</v>
      </c>
      <c r="L128" s="146"/>
      <c r="M128" s="27" t="str">
        <f t="shared" si="7"/>
        <v>PASS</v>
      </c>
      <c r="N128" s="27" t="str">
        <f t="shared" si="8"/>
        <v/>
      </c>
    </row>
    <row r="129" spans="1:14" x14ac:dyDescent="0.3">
      <c r="A129" s="116"/>
      <c r="B129" s="177"/>
      <c r="C129" s="183"/>
      <c r="D129" s="179"/>
      <c r="E129" s="119"/>
      <c r="F129" s="165"/>
      <c r="G129" s="25" t="str">
        <f>G124</f>
        <v>43.8</v>
      </c>
      <c r="H129" s="25" t="str">
        <f>H124</f>
        <v>43.8</v>
      </c>
      <c r="I129" s="25" t="s">
        <v>118</v>
      </c>
      <c r="J129" s="25" t="s">
        <v>63</v>
      </c>
      <c r="K129" s="26">
        <f t="array" ref="K129">MIN(IF((LEFT(TXRESULT!$C$1:$C$1004,30)='CH1-CH8'!$B$124)*(TXRESULT!$B$1:$B$1004='CH1-CH8'!J129),TXRESULT!$F$1:$F$1004,""))</f>
        <v>45.7</v>
      </c>
      <c r="L129" s="146"/>
      <c r="M129" s="27" t="str">
        <f t="shared" si="7"/>
        <v>PASS</v>
      </c>
      <c r="N129" s="27" t="str">
        <f t="shared" si="8"/>
        <v/>
      </c>
    </row>
    <row r="130" spans="1:14" x14ac:dyDescent="0.3">
      <c r="A130" s="116"/>
      <c r="B130" s="177"/>
      <c r="C130" s="183"/>
      <c r="D130" s="179"/>
      <c r="E130" s="119"/>
      <c r="F130" s="165"/>
      <c r="G130" s="25" t="str">
        <f>G124</f>
        <v>43.8</v>
      </c>
      <c r="H130" s="25" t="str">
        <f>H124</f>
        <v>43.8</v>
      </c>
      <c r="I130" s="25" t="s">
        <v>118</v>
      </c>
      <c r="J130" s="25" t="s">
        <v>64</v>
      </c>
      <c r="K130" s="26">
        <f t="array" ref="K130">MIN(IF((LEFT(TXRESULT!$C$1:$C$1004,30)='CH1-CH8'!$B$124)*(TXRESULT!$B$1:$B$1004='CH1-CH8'!J130),TXRESULT!$F$1:$F$1004,""))</f>
        <v>50.1</v>
      </c>
      <c r="L130" s="146"/>
      <c r="M130" s="27" t="str">
        <f>IF(ISBLANK(K130),"",IF(AND(K130*1&gt;H130*1,K130*1&lt;I130*1),"PASS","FAIL"))</f>
        <v>PASS</v>
      </c>
      <c r="N130" s="27" t="str">
        <f t="shared" si="8"/>
        <v/>
      </c>
    </row>
    <row r="131" spans="1:14" x14ac:dyDescent="0.3">
      <c r="A131" s="117"/>
      <c r="B131" s="180"/>
      <c r="C131" s="181"/>
      <c r="D131" s="182"/>
      <c r="E131" s="120"/>
      <c r="F131" s="166"/>
      <c r="G131" s="25" t="str">
        <f>G124</f>
        <v>43.8</v>
      </c>
      <c r="H131" s="25" t="str">
        <f>H124</f>
        <v>43.8</v>
      </c>
      <c r="I131" s="25" t="s">
        <v>118</v>
      </c>
      <c r="J131" s="25" t="s">
        <v>65</v>
      </c>
      <c r="K131" s="26">
        <f t="array" ref="K131">MIN(IF((LEFT(TXRESULT!$C$1:$C$1004,30)='CH1-CH8'!$B$124)*(TXRESULT!$B$1:$B$1004='CH1-CH8'!J131),TXRESULT!$F$1:$F$1004,""))</f>
        <v>51.2</v>
      </c>
      <c r="L131" s="147"/>
      <c r="M131" s="27" t="str">
        <f t="shared" si="7"/>
        <v>PASS</v>
      </c>
      <c r="N131" s="27" t="str">
        <f t="shared" si="8"/>
        <v/>
      </c>
    </row>
    <row r="132" spans="1:14" ht="15.75" customHeight="1" x14ac:dyDescent="0.3">
      <c r="A132" s="115" t="s">
        <v>120</v>
      </c>
      <c r="B132" s="174" t="s">
        <v>245</v>
      </c>
      <c r="C132" s="175"/>
      <c r="D132" s="176"/>
      <c r="E132" s="132" t="s">
        <v>52</v>
      </c>
      <c r="F132" s="164" t="s">
        <v>111</v>
      </c>
      <c r="G132" s="173" t="s">
        <v>121</v>
      </c>
      <c r="H132" s="124"/>
      <c r="I132" s="125"/>
      <c r="J132" s="25" t="s">
        <v>57</v>
      </c>
      <c r="K132" s="4">
        <f t="array" ref="K132">MAX(IF((LEFT(TXRESULT!$C$1:$C$1000,33)='CH1-CH8'!$B$132)*(TXRESULT!$B$1:$B$1000='CH1-CH8'!J132)*(TXRESULT!$K$1:$K$1000="OBUE1"),TXRESULT!$F$1:$F$1000,""))</f>
        <v>0</v>
      </c>
      <c r="L132" s="145" t="s">
        <v>122</v>
      </c>
      <c r="M132" s="27" t="str">
        <f>IF(ISBLANK(K132),"",IF(AND(K132*1&lt;-12.2),"PASS","FAIL"))</f>
        <v>FAIL</v>
      </c>
      <c r="N132" s="27" t="str">
        <f t="shared" si="8"/>
        <v/>
      </c>
    </row>
    <row r="133" spans="1:14" x14ac:dyDescent="0.3">
      <c r="A133" s="116"/>
      <c r="B133" s="177"/>
      <c r="C133" s="178"/>
      <c r="D133" s="179"/>
      <c r="E133" s="119"/>
      <c r="F133" s="165"/>
      <c r="G133" s="126"/>
      <c r="H133" s="127"/>
      <c r="I133" s="128"/>
      <c r="J133" s="25" t="s">
        <v>59</v>
      </c>
      <c r="K133" s="4">
        <f t="array" ref="K133">MAX(IF((LEFT(TXRESULT!$C$1:$C$1000,33)='CH1-CH8'!$B$132)*(TXRESULT!$B$1:$B$1000='CH1-CH8'!J133)*(TXRESULT!$K$1:$K$1000="OBUE1"),TXRESULT!$F$1:$F$1000,""))</f>
        <v>0</v>
      </c>
      <c r="L133" s="146"/>
      <c r="M133" s="27" t="str">
        <f t="shared" ref="M133:M147" si="9">IF(ISBLANK(K133),"",IF(AND(K133*1&lt;-12.2),"PASS","FAIL"))</f>
        <v>FAIL</v>
      </c>
      <c r="N133" s="27" t="str">
        <f t="shared" si="8"/>
        <v/>
      </c>
    </row>
    <row r="134" spans="1:14" x14ac:dyDescent="0.3">
      <c r="A134" s="116"/>
      <c r="B134" s="177"/>
      <c r="C134" s="178"/>
      <c r="D134" s="179"/>
      <c r="E134" s="119"/>
      <c r="F134" s="165"/>
      <c r="G134" s="126"/>
      <c r="H134" s="127"/>
      <c r="I134" s="128"/>
      <c r="J134" s="25" t="s">
        <v>60</v>
      </c>
      <c r="K134" s="4">
        <f t="array" ref="K134">MAX(IF((LEFT(TXRESULT!$C$1:$C$1000,33)='CH1-CH8'!$B$132)*(TXRESULT!$B$1:$B$1000='CH1-CH8'!J134)*(TXRESULT!$K$1:$K$1000="OBUE1"),TXRESULT!$F$1:$F$1000,""))</f>
        <v>0</v>
      </c>
      <c r="L134" s="146"/>
      <c r="M134" s="27" t="str">
        <f t="shared" si="9"/>
        <v>FAIL</v>
      </c>
      <c r="N134" s="27" t="str">
        <f t="shared" si="8"/>
        <v/>
      </c>
    </row>
    <row r="135" spans="1:14" x14ac:dyDescent="0.3">
      <c r="A135" s="116"/>
      <c r="B135" s="177"/>
      <c r="C135" s="178"/>
      <c r="D135" s="179"/>
      <c r="E135" s="119"/>
      <c r="F135" s="165"/>
      <c r="G135" s="126"/>
      <c r="H135" s="127"/>
      <c r="I135" s="128"/>
      <c r="J135" s="25" t="s">
        <v>61</v>
      </c>
      <c r="K135" s="4">
        <f t="array" ref="K135">MAX(IF((LEFT(TXRESULT!$C$1:$C$1000,33)='CH1-CH8'!$B$132)*(TXRESULT!$B$1:$B$1000='CH1-CH8'!J135)*(TXRESULT!$K$1:$K$1000="OBUE1"),TXRESULT!$F$1:$F$1000,""))</f>
        <v>0</v>
      </c>
      <c r="L135" s="146"/>
      <c r="M135" s="27" t="str">
        <f t="shared" si="9"/>
        <v>FAIL</v>
      </c>
      <c r="N135" s="27" t="str">
        <f t="shared" si="8"/>
        <v/>
      </c>
    </row>
    <row r="136" spans="1:14" x14ac:dyDescent="0.3">
      <c r="A136" s="116"/>
      <c r="B136" s="177"/>
      <c r="C136" s="178"/>
      <c r="D136" s="179"/>
      <c r="E136" s="119"/>
      <c r="F136" s="165"/>
      <c r="G136" s="126"/>
      <c r="H136" s="127"/>
      <c r="I136" s="128"/>
      <c r="J136" s="25" t="s">
        <v>62</v>
      </c>
      <c r="K136" s="4">
        <f t="array" ref="K136">MAX(IF((LEFT(TXRESULT!$C$1:$C$1000,33)='CH1-CH8'!$B$132)*(TXRESULT!$B$1:$B$1000='CH1-CH8'!J136)*(TXRESULT!$K$1:$K$1000="OBUE1"),TXRESULT!$F$1:$F$1000,""))</f>
        <v>0</v>
      </c>
      <c r="L136" s="146"/>
      <c r="M136" s="27" t="str">
        <f t="shared" si="9"/>
        <v>FAIL</v>
      </c>
      <c r="N136" s="27" t="str">
        <f t="shared" si="8"/>
        <v/>
      </c>
    </row>
    <row r="137" spans="1:14" x14ac:dyDescent="0.3">
      <c r="A137" s="116"/>
      <c r="B137" s="177"/>
      <c r="C137" s="178"/>
      <c r="D137" s="179"/>
      <c r="E137" s="119"/>
      <c r="F137" s="165"/>
      <c r="G137" s="126"/>
      <c r="H137" s="127"/>
      <c r="I137" s="128"/>
      <c r="J137" s="25" t="s">
        <v>63</v>
      </c>
      <c r="K137" s="4">
        <f t="array" ref="K137">MAX(IF((LEFT(TXRESULT!$C$1:$C$1000,33)='CH1-CH8'!$B$132)*(TXRESULT!$B$1:$B$1000='CH1-CH8'!J137)*(TXRESULT!$K$1:$K$1000="OBUE1"),TXRESULT!$F$1:$F$1000,""))</f>
        <v>0</v>
      </c>
      <c r="L137" s="146"/>
      <c r="M137" s="27" t="str">
        <f t="shared" si="9"/>
        <v>FAIL</v>
      </c>
      <c r="N137" s="27" t="str">
        <f t="shared" si="8"/>
        <v/>
      </c>
    </row>
    <row r="138" spans="1:14" x14ac:dyDescent="0.3">
      <c r="A138" s="116"/>
      <c r="B138" s="177"/>
      <c r="C138" s="178"/>
      <c r="D138" s="179"/>
      <c r="E138" s="119"/>
      <c r="F138" s="165"/>
      <c r="G138" s="126"/>
      <c r="H138" s="127"/>
      <c r="I138" s="128"/>
      <c r="J138" s="25" t="s">
        <v>64</v>
      </c>
      <c r="K138" s="4">
        <f t="array" ref="K138">MAX(IF((LEFT(TXRESULT!$C$1:$C$1000,33)='CH1-CH8'!$B$132)*(TXRESULT!$B$1:$B$1000='CH1-CH8'!J138)*(TXRESULT!$K$1:$K$1000="OBUE1"),TXRESULT!$F$1:$F$1000,""))</f>
        <v>0</v>
      </c>
      <c r="L138" s="146"/>
      <c r="M138" s="27" t="str">
        <f t="shared" si="9"/>
        <v>FAIL</v>
      </c>
      <c r="N138" s="27" t="str">
        <f t="shared" si="8"/>
        <v/>
      </c>
    </row>
    <row r="139" spans="1:14" x14ac:dyDescent="0.3">
      <c r="A139" s="116"/>
      <c r="B139" s="177"/>
      <c r="C139" s="178"/>
      <c r="D139" s="179"/>
      <c r="E139" s="120"/>
      <c r="F139" s="165"/>
      <c r="G139" s="129"/>
      <c r="H139" s="130"/>
      <c r="I139" s="131"/>
      <c r="J139" s="25" t="s">
        <v>65</v>
      </c>
      <c r="K139" s="4">
        <f t="array" ref="K139">MAX(IF((LEFT(TXRESULT!$C$1:$C$1000,33)='CH1-CH8'!$B$132)*(TXRESULT!$B$1:$B$1000='CH1-CH8'!J139)*(TXRESULT!$K$1:$K$1000="OBUE1"),TXRESULT!$F$1:$F$1000,""))</f>
        <v>0</v>
      </c>
      <c r="L139" s="147"/>
      <c r="M139" s="27" t="str">
        <f t="shared" si="9"/>
        <v>FAIL</v>
      </c>
      <c r="N139" s="27" t="str">
        <f t="shared" si="8"/>
        <v/>
      </c>
    </row>
    <row r="140" spans="1:14" ht="15.75" customHeight="1" x14ac:dyDescent="0.3">
      <c r="A140" s="116"/>
      <c r="B140" s="177"/>
      <c r="C140" s="178"/>
      <c r="D140" s="179"/>
      <c r="E140" s="132" t="s">
        <v>52</v>
      </c>
      <c r="F140" s="165"/>
      <c r="G140" s="173" t="s">
        <v>123</v>
      </c>
      <c r="H140" s="124"/>
      <c r="I140" s="125"/>
      <c r="J140" s="25" t="s">
        <v>57</v>
      </c>
      <c r="K140" s="4">
        <f t="array" ref="K140">MAX(IF((LEFT(TXRESULT!$C$1:$C$1000,33)='CH1-CH8'!$B$132)*(TXRESULT!$B$1:$B$1000='CH1-CH8'!J140)*(TXRESULT!$K$1:$K$1000="OBUE2"),TXRESULT!$F$1:$F$1000,""))</f>
        <v>0</v>
      </c>
      <c r="L140" s="145" t="s">
        <v>122</v>
      </c>
      <c r="M140" s="27" t="str">
        <f t="shared" si="9"/>
        <v>FAIL</v>
      </c>
      <c r="N140" s="27" t="str">
        <f t="shared" si="8"/>
        <v/>
      </c>
    </row>
    <row r="141" spans="1:14" x14ac:dyDescent="0.3">
      <c r="A141" s="116"/>
      <c r="B141" s="177"/>
      <c r="C141" s="178"/>
      <c r="D141" s="179"/>
      <c r="E141" s="119"/>
      <c r="F141" s="165"/>
      <c r="G141" s="126"/>
      <c r="H141" s="127"/>
      <c r="I141" s="128"/>
      <c r="J141" s="25" t="s">
        <v>59</v>
      </c>
      <c r="K141" s="4">
        <f t="array" ref="K141">MAX(IF((LEFT(TXRESULT!$C$1:$C$1000,33)='CH1-CH8'!$B$132)*(TXRESULT!$B$1:$B$1000='CH1-CH8'!J141)*(TXRESULT!$K$1:$K$1000="OBUE2"),TXRESULT!$F$1:$F$1000,""))</f>
        <v>0</v>
      </c>
      <c r="L141" s="146"/>
      <c r="M141" s="27" t="str">
        <f t="shared" si="9"/>
        <v>FAIL</v>
      </c>
      <c r="N141" s="27" t="str">
        <f t="shared" si="8"/>
        <v/>
      </c>
    </row>
    <row r="142" spans="1:14" x14ac:dyDescent="0.3">
      <c r="A142" s="116"/>
      <c r="B142" s="177"/>
      <c r="C142" s="178"/>
      <c r="D142" s="179"/>
      <c r="E142" s="119"/>
      <c r="F142" s="165"/>
      <c r="G142" s="126"/>
      <c r="H142" s="127"/>
      <c r="I142" s="128"/>
      <c r="J142" s="25" t="s">
        <v>60</v>
      </c>
      <c r="K142" s="4">
        <f t="array" ref="K142">MAX(IF((LEFT(TXRESULT!$C$1:$C$1000,33)='CH1-CH8'!$B$132)*(TXRESULT!$B$1:$B$1000='CH1-CH8'!J142)*(TXRESULT!$K$1:$K$1000="OBUE2"),TXRESULT!$F$1:$F$1000,""))</f>
        <v>0</v>
      </c>
      <c r="L142" s="146"/>
      <c r="M142" s="27" t="str">
        <f t="shared" si="9"/>
        <v>FAIL</v>
      </c>
      <c r="N142" s="27" t="str">
        <f t="shared" si="8"/>
        <v/>
      </c>
    </row>
    <row r="143" spans="1:14" x14ac:dyDescent="0.3">
      <c r="A143" s="116"/>
      <c r="B143" s="177"/>
      <c r="C143" s="178"/>
      <c r="D143" s="179"/>
      <c r="E143" s="119"/>
      <c r="F143" s="165"/>
      <c r="G143" s="126"/>
      <c r="H143" s="127"/>
      <c r="I143" s="128"/>
      <c r="J143" s="25" t="s">
        <v>61</v>
      </c>
      <c r="K143" s="4">
        <f t="array" ref="K143">MAX(IF((LEFT(TXRESULT!$C$1:$C$1000,33)='CH1-CH8'!$B$132)*(TXRESULT!$B$1:$B$1000='CH1-CH8'!J143)*(TXRESULT!$K$1:$K$1000="OBUE2"),TXRESULT!$F$1:$F$1000,""))</f>
        <v>0</v>
      </c>
      <c r="L143" s="146"/>
      <c r="M143" s="27" t="str">
        <f t="shared" si="9"/>
        <v>FAIL</v>
      </c>
      <c r="N143" s="27" t="str">
        <f t="shared" si="8"/>
        <v/>
      </c>
    </row>
    <row r="144" spans="1:14" x14ac:dyDescent="0.3">
      <c r="A144" s="116"/>
      <c r="B144" s="177"/>
      <c r="C144" s="178"/>
      <c r="D144" s="179"/>
      <c r="E144" s="119"/>
      <c r="F144" s="165"/>
      <c r="G144" s="126"/>
      <c r="H144" s="127"/>
      <c r="I144" s="128"/>
      <c r="J144" s="25" t="s">
        <v>62</v>
      </c>
      <c r="K144" s="4">
        <f t="array" ref="K144">MAX(IF((LEFT(TXRESULT!$C$1:$C$1000,33)='CH1-CH8'!$B$132)*(TXRESULT!$B$1:$B$1000='CH1-CH8'!J144)*(TXRESULT!$K$1:$K$1000="OBUE2"),TXRESULT!$F$1:$F$1000,""))</f>
        <v>0</v>
      </c>
      <c r="L144" s="146"/>
      <c r="M144" s="27" t="str">
        <f t="shared" si="9"/>
        <v>FAIL</v>
      </c>
      <c r="N144" s="27" t="str">
        <f t="shared" si="8"/>
        <v/>
      </c>
    </row>
    <row r="145" spans="1:14" x14ac:dyDescent="0.3">
      <c r="A145" s="116"/>
      <c r="B145" s="177"/>
      <c r="C145" s="178"/>
      <c r="D145" s="179"/>
      <c r="E145" s="119"/>
      <c r="F145" s="165"/>
      <c r="G145" s="126"/>
      <c r="H145" s="127"/>
      <c r="I145" s="128"/>
      <c r="J145" s="25" t="s">
        <v>63</v>
      </c>
      <c r="K145" s="4">
        <f t="array" ref="K145">MAX(IF((LEFT(TXRESULT!$C$1:$C$1000,33)='CH1-CH8'!$B$132)*(TXRESULT!$B$1:$B$1000='CH1-CH8'!J145)*(TXRESULT!$K$1:$K$1000="OBUE2"),TXRESULT!$F$1:$F$1000,""))</f>
        <v>0</v>
      </c>
      <c r="L145" s="146"/>
      <c r="M145" s="27" t="str">
        <f t="shared" si="9"/>
        <v>FAIL</v>
      </c>
      <c r="N145" s="27" t="str">
        <f t="shared" si="8"/>
        <v/>
      </c>
    </row>
    <row r="146" spans="1:14" x14ac:dyDescent="0.3">
      <c r="A146" s="116"/>
      <c r="B146" s="177"/>
      <c r="C146" s="178"/>
      <c r="D146" s="179"/>
      <c r="E146" s="119"/>
      <c r="F146" s="165"/>
      <c r="G146" s="126"/>
      <c r="H146" s="127"/>
      <c r="I146" s="128"/>
      <c r="J146" s="25" t="s">
        <v>64</v>
      </c>
      <c r="K146" s="4">
        <f t="array" ref="K146">MAX(IF((LEFT(TXRESULT!$C$1:$C$1000,33)='CH1-CH8'!$B$132)*(TXRESULT!$B$1:$B$1000='CH1-CH8'!J146)*(TXRESULT!$K$1:$K$1000="OBUE2"),TXRESULT!$F$1:$F$1000,""))</f>
        <v>0</v>
      </c>
      <c r="L146" s="146"/>
      <c r="M146" s="27" t="str">
        <f t="shared" si="9"/>
        <v>FAIL</v>
      </c>
      <c r="N146" s="27" t="str">
        <f t="shared" si="8"/>
        <v/>
      </c>
    </row>
    <row r="147" spans="1:14" x14ac:dyDescent="0.3">
      <c r="A147" s="116"/>
      <c r="B147" s="177"/>
      <c r="C147" s="178"/>
      <c r="D147" s="179"/>
      <c r="E147" s="120"/>
      <c r="F147" s="165"/>
      <c r="G147" s="129"/>
      <c r="H147" s="130"/>
      <c r="I147" s="131"/>
      <c r="J147" s="25" t="s">
        <v>65</v>
      </c>
      <c r="K147" s="4">
        <f t="array" ref="K147">MAX(IF((LEFT(TXRESULT!$C$1:$C$1000,33)='CH1-CH8'!$B$132)*(TXRESULT!$B$1:$B$1000='CH1-CH8'!J147)*(TXRESULT!$K$1:$K$1000="OBUE2"),TXRESULT!$F$1:$F$1000,""))</f>
        <v>0</v>
      </c>
      <c r="L147" s="147"/>
      <c r="M147" s="27" t="str">
        <f t="shared" si="9"/>
        <v>FAIL</v>
      </c>
      <c r="N147" s="27" t="str">
        <f t="shared" si="8"/>
        <v/>
      </c>
    </row>
    <row r="148" spans="1:14" ht="15.75" customHeight="1" x14ac:dyDescent="0.3">
      <c r="A148" s="116"/>
      <c r="B148" s="177"/>
      <c r="C148" s="178"/>
      <c r="D148" s="179"/>
      <c r="E148" s="132" t="s">
        <v>52</v>
      </c>
      <c r="F148" s="165"/>
      <c r="G148" s="173" t="s">
        <v>124</v>
      </c>
      <c r="H148" s="124"/>
      <c r="I148" s="125"/>
      <c r="J148" s="25" t="s">
        <v>57</v>
      </c>
      <c r="K148" s="4">
        <f t="array" ref="K148">MAX(IF((LEFT(TXRESULT!$C$1:$C$1000,33)='CH1-CH8'!$B$132)*(TXRESULT!$B$1:$B$1000='CH1-CH8'!J148)*(TXRESULT!$K$1:$K$1000="OBUE3"),TXRESULT!$F$1:$F$1000,""))</f>
        <v>0</v>
      </c>
      <c r="L148" s="145" t="s">
        <v>122</v>
      </c>
      <c r="M148" s="27" t="str">
        <f>IF(ISBLANK(K148),"",IF(AND(K148*1&lt;-15),"PASS","FAIL"))</f>
        <v>FAIL</v>
      </c>
      <c r="N148" s="27" t="str">
        <f t="shared" si="8"/>
        <v/>
      </c>
    </row>
    <row r="149" spans="1:14" x14ac:dyDescent="0.3">
      <c r="A149" s="116"/>
      <c r="B149" s="177"/>
      <c r="C149" s="178"/>
      <c r="D149" s="179"/>
      <c r="E149" s="119"/>
      <c r="F149" s="165"/>
      <c r="G149" s="126"/>
      <c r="H149" s="127"/>
      <c r="I149" s="128"/>
      <c r="J149" s="25" t="s">
        <v>59</v>
      </c>
      <c r="K149" s="4">
        <f t="array" ref="K149">MAX(IF((LEFT(TXRESULT!$C$1:$C$1000,33)='CH1-CH8'!$B$132)*(TXRESULT!$B$1:$B$1000='CH1-CH8'!J149)*(TXRESULT!$K$1:$K$1000="OBUE3"),TXRESULT!$F$1:$F$1000,""))</f>
        <v>0</v>
      </c>
      <c r="L149" s="146"/>
      <c r="M149" s="27" t="str">
        <f t="shared" ref="M149:M155" si="10">IF(ISBLANK(K149),"",IF(AND(K149*1&lt;-15),"PASS","FAIL"))</f>
        <v>FAIL</v>
      </c>
      <c r="N149" s="27" t="str">
        <f t="shared" si="8"/>
        <v/>
      </c>
    </row>
    <row r="150" spans="1:14" x14ac:dyDescent="0.3">
      <c r="A150" s="116"/>
      <c r="B150" s="177"/>
      <c r="C150" s="178"/>
      <c r="D150" s="179"/>
      <c r="E150" s="119"/>
      <c r="F150" s="165"/>
      <c r="G150" s="126"/>
      <c r="H150" s="127"/>
      <c r="I150" s="128"/>
      <c r="J150" s="25" t="s">
        <v>60</v>
      </c>
      <c r="K150" s="4">
        <f t="array" ref="K150">MAX(IF((LEFT(TXRESULT!$C$1:$C$1000,33)='CH1-CH8'!$B$132)*(TXRESULT!$B$1:$B$1000='CH1-CH8'!J150)*(TXRESULT!$K$1:$K$1000="OBUE3"),TXRESULT!$F$1:$F$1000,""))</f>
        <v>0</v>
      </c>
      <c r="L150" s="146"/>
      <c r="M150" s="27" t="str">
        <f t="shared" si="10"/>
        <v>FAIL</v>
      </c>
      <c r="N150" s="27" t="str">
        <f t="shared" si="8"/>
        <v/>
      </c>
    </row>
    <row r="151" spans="1:14" x14ac:dyDescent="0.3">
      <c r="A151" s="116"/>
      <c r="B151" s="177"/>
      <c r="C151" s="178"/>
      <c r="D151" s="179"/>
      <c r="E151" s="119"/>
      <c r="F151" s="165"/>
      <c r="G151" s="126"/>
      <c r="H151" s="127"/>
      <c r="I151" s="128"/>
      <c r="J151" s="25" t="s">
        <v>61</v>
      </c>
      <c r="K151" s="4">
        <f t="array" ref="K151">MAX(IF((LEFT(TXRESULT!$C$1:$C$1000,33)='CH1-CH8'!$B$132)*(TXRESULT!$B$1:$B$1000='CH1-CH8'!J151)*(TXRESULT!$K$1:$K$1000="OBUE3"),TXRESULT!$F$1:$F$1000,""))</f>
        <v>0</v>
      </c>
      <c r="L151" s="146"/>
      <c r="M151" s="27" t="str">
        <f t="shared" si="10"/>
        <v>FAIL</v>
      </c>
      <c r="N151" s="27" t="str">
        <f t="shared" si="8"/>
        <v/>
      </c>
    </row>
    <row r="152" spans="1:14" x14ac:dyDescent="0.3">
      <c r="A152" s="116"/>
      <c r="B152" s="177"/>
      <c r="C152" s="178"/>
      <c r="D152" s="179"/>
      <c r="E152" s="119"/>
      <c r="F152" s="165"/>
      <c r="G152" s="126"/>
      <c r="H152" s="127"/>
      <c r="I152" s="128"/>
      <c r="J152" s="25" t="s">
        <v>62</v>
      </c>
      <c r="K152" s="4">
        <f t="array" ref="K152">MAX(IF((LEFT(TXRESULT!$C$1:$C$1000,33)='CH1-CH8'!$B$132)*(TXRESULT!$B$1:$B$1000='CH1-CH8'!J152)*(TXRESULT!$K$1:$K$1000="OBUE3"),TXRESULT!$F$1:$F$1000,""))</f>
        <v>0</v>
      </c>
      <c r="L152" s="146"/>
      <c r="M152" s="27" t="str">
        <f t="shared" si="10"/>
        <v>FAIL</v>
      </c>
      <c r="N152" s="27" t="str">
        <f t="shared" si="8"/>
        <v/>
      </c>
    </row>
    <row r="153" spans="1:14" x14ac:dyDescent="0.3">
      <c r="A153" s="116"/>
      <c r="B153" s="177"/>
      <c r="C153" s="178"/>
      <c r="D153" s="179"/>
      <c r="E153" s="119"/>
      <c r="F153" s="165"/>
      <c r="G153" s="126"/>
      <c r="H153" s="127"/>
      <c r="I153" s="128"/>
      <c r="J153" s="25" t="s">
        <v>63</v>
      </c>
      <c r="K153" s="4">
        <f t="array" ref="K153">MAX(IF((LEFT(TXRESULT!$C$1:$C$1000,33)='CH1-CH8'!$B$132)*(TXRESULT!$B$1:$B$1000='CH1-CH8'!J153)*(TXRESULT!$K$1:$K$1000="OBUE3"),TXRESULT!$F$1:$F$1000,""))</f>
        <v>0</v>
      </c>
      <c r="L153" s="146"/>
      <c r="M153" s="27" t="str">
        <f t="shared" si="10"/>
        <v>FAIL</v>
      </c>
      <c r="N153" s="27" t="str">
        <f t="shared" si="8"/>
        <v/>
      </c>
    </row>
    <row r="154" spans="1:14" x14ac:dyDescent="0.3">
      <c r="A154" s="116"/>
      <c r="B154" s="177"/>
      <c r="C154" s="178"/>
      <c r="D154" s="179"/>
      <c r="E154" s="119"/>
      <c r="F154" s="165"/>
      <c r="G154" s="126"/>
      <c r="H154" s="127"/>
      <c r="I154" s="128"/>
      <c r="J154" s="25" t="s">
        <v>64</v>
      </c>
      <c r="K154" s="4">
        <f t="array" ref="K154">MAX(IF((LEFT(TXRESULT!$C$1:$C$1000,33)='CH1-CH8'!$B$132)*(TXRESULT!$B$1:$B$1000='CH1-CH8'!J154)*(TXRESULT!$K$1:$K$1000="OBUE3"),TXRESULT!$F$1:$F$1000,""))</f>
        <v>0</v>
      </c>
      <c r="L154" s="146"/>
      <c r="M154" s="27" t="str">
        <f t="shared" si="10"/>
        <v>FAIL</v>
      </c>
      <c r="N154" s="27" t="str">
        <f t="shared" si="8"/>
        <v/>
      </c>
    </row>
    <row r="155" spans="1:14" x14ac:dyDescent="0.3">
      <c r="A155" s="117"/>
      <c r="B155" s="180"/>
      <c r="C155" s="181"/>
      <c r="D155" s="182"/>
      <c r="E155" s="120"/>
      <c r="F155" s="166"/>
      <c r="G155" s="129"/>
      <c r="H155" s="130"/>
      <c r="I155" s="131"/>
      <c r="J155" s="25" t="s">
        <v>65</v>
      </c>
      <c r="K155" s="4">
        <f t="array" ref="K155">MAX(IF((LEFT(TXRESULT!$C$1:$C$1000,33)='CH1-CH8'!$B$132)*(TXRESULT!$B$1:$B$1000='CH1-CH8'!J155)*(TXRESULT!$K$1:$K$1000="OBUE3"),TXRESULT!$F$1:$F$1000,""))</f>
        <v>0</v>
      </c>
      <c r="L155" s="147"/>
      <c r="M155" s="27" t="str">
        <f t="shared" si="10"/>
        <v>FAIL</v>
      </c>
      <c r="N155" s="27" t="str">
        <f t="shared" si="8"/>
        <v/>
      </c>
    </row>
    <row r="156" spans="1:14" ht="15.75" customHeight="1" x14ac:dyDescent="0.3">
      <c r="A156" s="115" t="s">
        <v>125</v>
      </c>
      <c r="B156" s="174" t="s">
        <v>260</v>
      </c>
      <c r="C156" s="175"/>
      <c r="D156" s="176"/>
      <c r="E156" s="132" t="s">
        <v>52</v>
      </c>
      <c r="F156" s="164" t="s">
        <v>53</v>
      </c>
      <c r="G156" s="123" t="s">
        <v>126</v>
      </c>
      <c r="H156" s="124"/>
      <c r="I156" s="125"/>
      <c r="J156" s="25" t="s">
        <v>57</v>
      </c>
      <c r="K156" s="27" t="e">
        <f t="array" ref="K156">INDEX(TXRESULT!$B$1:$I$1000,MATCH($B$156&amp;J156&amp;$F$156&amp;"SPUR1",TXRESULT!$C$1:$C$1000&amp;TXRESULT!$B$1:$B$1000&amp;TXRESULT!$H$1:$H$1000&amp;TXRESULT!$K$1:$K$1000,0),5)</f>
        <v>#N/A</v>
      </c>
      <c r="L156" s="145" t="s">
        <v>127</v>
      </c>
      <c r="M156" s="27" t="e">
        <f>IF(ISBLANK(K156),"",IF(AND(K156*1&lt;-36),"PASS","FAIL"))</f>
        <v>#N/A</v>
      </c>
      <c r="N156" s="27" t="str">
        <f t="shared" si="8"/>
        <v/>
      </c>
    </row>
    <row r="157" spans="1:14" x14ac:dyDescent="0.3">
      <c r="A157" s="116"/>
      <c r="B157" s="177"/>
      <c r="C157" s="178"/>
      <c r="D157" s="179"/>
      <c r="E157" s="119"/>
      <c r="F157" s="165"/>
      <c r="G157" s="126"/>
      <c r="H157" s="127"/>
      <c r="I157" s="128"/>
      <c r="J157" s="25" t="s">
        <v>59</v>
      </c>
      <c r="K157" s="27" t="e">
        <f t="array" ref="K157">INDEX(TXRESULT!$B$1:$I$1000,MATCH($B$156&amp;J157&amp;$F$156&amp;"SPUR1",TXRESULT!$C$1:$C$1000&amp;TXRESULT!$B$1:$B$1000&amp;TXRESULT!$H$1:$H$1000&amp;TXRESULT!$K$1:$K$1000,0),5)</f>
        <v>#N/A</v>
      </c>
      <c r="L157" s="146"/>
      <c r="M157" s="27" t="e">
        <f t="shared" ref="M157:M179" si="11">IF(ISBLANK(K157),"",IF(AND(K157*1&lt;-36),"PASS","FAIL"))</f>
        <v>#N/A</v>
      </c>
      <c r="N157" s="27" t="str">
        <f t="shared" si="8"/>
        <v/>
      </c>
    </row>
    <row r="158" spans="1:14" x14ac:dyDescent="0.3">
      <c r="A158" s="116"/>
      <c r="B158" s="177"/>
      <c r="C158" s="178"/>
      <c r="D158" s="179"/>
      <c r="E158" s="119"/>
      <c r="F158" s="165"/>
      <c r="G158" s="126"/>
      <c r="H158" s="127"/>
      <c r="I158" s="128"/>
      <c r="J158" s="25" t="s">
        <v>60</v>
      </c>
      <c r="K158" s="27" t="e">
        <f t="array" ref="K158">INDEX(TXRESULT!$B$1:$I$1000,MATCH($B$156&amp;J158&amp;$F$156&amp;"SPUR1",TXRESULT!$C$1:$C$1000&amp;TXRESULT!$B$1:$B$1000&amp;TXRESULT!$H$1:$H$1000&amp;TXRESULT!$K$1:$K$1000,0),5)</f>
        <v>#N/A</v>
      </c>
      <c r="L158" s="146"/>
      <c r="M158" s="27" t="e">
        <f t="shared" si="11"/>
        <v>#N/A</v>
      </c>
      <c r="N158" s="27" t="str">
        <f t="shared" si="8"/>
        <v/>
      </c>
    </row>
    <row r="159" spans="1:14" x14ac:dyDescent="0.3">
      <c r="A159" s="116"/>
      <c r="B159" s="177"/>
      <c r="C159" s="178"/>
      <c r="D159" s="179"/>
      <c r="E159" s="119"/>
      <c r="F159" s="165"/>
      <c r="G159" s="126"/>
      <c r="H159" s="127"/>
      <c r="I159" s="128"/>
      <c r="J159" s="25" t="s">
        <v>61</v>
      </c>
      <c r="K159" s="27" t="e">
        <f t="array" ref="K159">INDEX(TXRESULT!$B$1:$I$1000,MATCH($B$156&amp;J159&amp;$F$156&amp;"SPUR1",TXRESULT!$C$1:$C$1000&amp;TXRESULT!$B$1:$B$1000&amp;TXRESULT!$H$1:$H$1000&amp;TXRESULT!$K$1:$K$1000,0),5)</f>
        <v>#N/A</v>
      </c>
      <c r="L159" s="146"/>
      <c r="M159" s="27" t="e">
        <f t="shared" si="11"/>
        <v>#N/A</v>
      </c>
      <c r="N159" s="27" t="str">
        <f t="shared" si="8"/>
        <v/>
      </c>
    </row>
    <row r="160" spans="1:14" x14ac:dyDescent="0.3">
      <c r="A160" s="116"/>
      <c r="B160" s="177"/>
      <c r="C160" s="178"/>
      <c r="D160" s="179"/>
      <c r="E160" s="119"/>
      <c r="F160" s="165"/>
      <c r="G160" s="126"/>
      <c r="H160" s="127"/>
      <c r="I160" s="128"/>
      <c r="J160" s="25" t="s">
        <v>62</v>
      </c>
      <c r="K160" s="27" t="e">
        <f t="array" ref="K160">INDEX(TXRESULT!$B$1:$I$1000,MATCH($B$156&amp;J160&amp;$F$156&amp;"SPUR1",TXRESULT!$C$1:$C$1000&amp;TXRESULT!$B$1:$B$1000&amp;TXRESULT!$H$1:$H$1000&amp;TXRESULT!$K$1:$K$1000,0),5)</f>
        <v>#N/A</v>
      </c>
      <c r="L160" s="146"/>
      <c r="M160" s="27" t="e">
        <f t="shared" si="11"/>
        <v>#N/A</v>
      </c>
      <c r="N160" s="27" t="str">
        <f t="shared" si="8"/>
        <v/>
      </c>
    </row>
    <row r="161" spans="1:14" x14ac:dyDescent="0.3">
      <c r="A161" s="116"/>
      <c r="B161" s="177"/>
      <c r="C161" s="178"/>
      <c r="D161" s="179"/>
      <c r="E161" s="119"/>
      <c r="F161" s="165"/>
      <c r="G161" s="126"/>
      <c r="H161" s="127"/>
      <c r="I161" s="128"/>
      <c r="J161" s="25" t="s">
        <v>63</v>
      </c>
      <c r="K161" s="27" t="e">
        <f t="array" ref="K161">INDEX(TXRESULT!$B$1:$I$1000,MATCH($B$156&amp;J161&amp;$F$156&amp;"SPUR1",TXRESULT!$C$1:$C$1000&amp;TXRESULT!$B$1:$B$1000&amp;TXRESULT!$H$1:$H$1000&amp;TXRESULT!$K$1:$K$1000,0),5)</f>
        <v>#N/A</v>
      </c>
      <c r="L161" s="146"/>
      <c r="M161" s="27" t="e">
        <f t="shared" si="11"/>
        <v>#N/A</v>
      </c>
      <c r="N161" s="27" t="str">
        <f t="shared" ref="N161:N235" si="12">IF(ISBLANK(K161),"CHUADO","")</f>
        <v/>
      </c>
    </row>
    <row r="162" spans="1:14" x14ac:dyDescent="0.3">
      <c r="A162" s="116"/>
      <c r="B162" s="177"/>
      <c r="C162" s="178"/>
      <c r="D162" s="179"/>
      <c r="E162" s="119"/>
      <c r="F162" s="165"/>
      <c r="G162" s="126"/>
      <c r="H162" s="127"/>
      <c r="I162" s="128"/>
      <c r="J162" s="25" t="s">
        <v>64</v>
      </c>
      <c r="K162" s="27" t="e">
        <f t="array" ref="K162">INDEX(TXRESULT!$B$1:$I$1000,MATCH($B$156&amp;J162&amp;$F$156&amp;"SPUR1",TXRESULT!$C$1:$C$1000&amp;TXRESULT!$B$1:$B$1000&amp;TXRESULT!$H$1:$H$1000&amp;TXRESULT!$K$1:$K$1000,0),5)</f>
        <v>#N/A</v>
      </c>
      <c r="L162" s="146"/>
      <c r="M162" s="27" t="e">
        <f t="shared" si="11"/>
        <v>#N/A</v>
      </c>
      <c r="N162" s="27" t="str">
        <f t="shared" si="12"/>
        <v/>
      </c>
    </row>
    <row r="163" spans="1:14" x14ac:dyDescent="0.3">
      <c r="A163" s="116"/>
      <c r="B163" s="177"/>
      <c r="C163" s="178"/>
      <c r="D163" s="179"/>
      <c r="E163" s="120"/>
      <c r="F163" s="166"/>
      <c r="G163" s="129"/>
      <c r="H163" s="130"/>
      <c r="I163" s="131"/>
      <c r="J163" s="25" t="s">
        <v>65</v>
      </c>
      <c r="K163" s="27" t="e">
        <f t="array" ref="K163">INDEX(TXRESULT!$B$1:$I$1000,MATCH($B$156&amp;J163&amp;$F$156&amp;"SPUR1",TXRESULT!$C$1:$C$1000&amp;TXRESULT!$B$1:$B$1000&amp;TXRESULT!$H$1:$H$1000&amp;TXRESULT!$K$1:$K$1000,0),5)</f>
        <v>#N/A</v>
      </c>
      <c r="L163" s="147"/>
      <c r="M163" s="27" t="e">
        <f t="shared" si="11"/>
        <v>#N/A</v>
      </c>
      <c r="N163" s="27" t="str">
        <f t="shared" si="12"/>
        <v/>
      </c>
    </row>
    <row r="164" spans="1:14" ht="15.75" customHeight="1" x14ac:dyDescent="0.3">
      <c r="A164" s="116"/>
      <c r="B164" s="177"/>
      <c r="C164" s="178"/>
      <c r="D164" s="179"/>
      <c r="E164" s="132" t="s">
        <v>52</v>
      </c>
      <c r="F164" s="164" t="s">
        <v>53</v>
      </c>
      <c r="G164" s="123" t="s">
        <v>128</v>
      </c>
      <c r="H164" s="124"/>
      <c r="I164" s="125"/>
      <c r="J164" s="25" t="s">
        <v>57</v>
      </c>
      <c r="K164" s="27" t="e">
        <f t="array" ref="K164">INDEX(TXRESULT!$B$1:$I$1000,MATCH($B$156&amp;J156&amp;$F$156&amp;"SPUR2",TXRESULT!$C$1:$C$1000&amp;TXRESULT!$B$1:$B$1000&amp;TXRESULT!$H$1:$H$1000&amp;TXRESULT!$K$1:$K$1000,0),5)</f>
        <v>#N/A</v>
      </c>
      <c r="L164" s="145" t="s">
        <v>127</v>
      </c>
      <c r="M164" s="27" t="e">
        <f>IF(ISBLANK(K164),"",IF(AND(K164*1&lt;-36),"PASS","FAIL"))</f>
        <v>#N/A</v>
      </c>
      <c r="N164" s="27" t="str">
        <f t="shared" si="12"/>
        <v/>
      </c>
    </row>
    <row r="165" spans="1:14" x14ac:dyDescent="0.3">
      <c r="A165" s="116"/>
      <c r="B165" s="177"/>
      <c r="C165" s="178"/>
      <c r="D165" s="179"/>
      <c r="E165" s="119"/>
      <c r="F165" s="165"/>
      <c r="G165" s="126"/>
      <c r="H165" s="127"/>
      <c r="I165" s="128"/>
      <c r="J165" s="25" t="s">
        <v>59</v>
      </c>
      <c r="K165" s="27" t="e">
        <f t="array" ref="K165">INDEX(TXRESULT!$B$1:$I$1000,MATCH($B$156&amp;J157&amp;$F$156&amp;"SPUR2",TXRESULT!$C$1:$C$1000&amp;TXRESULT!$B$1:$B$1000&amp;TXRESULT!$H$1:$H$1000&amp;TXRESULT!$K$1:$K$1000,0),5)</f>
        <v>#N/A</v>
      </c>
      <c r="L165" s="146"/>
      <c r="M165" s="27" t="e">
        <f t="shared" si="11"/>
        <v>#N/A</v>
      </c>
      <c r="N165" s="27" t="str">
        <f t="shared" si="12"/>
        <v/>
      </c>
    </row>
    <row r="166" spans="1:14" x14ac:dyDescent="0.3">
      <c r="A166" s="116"/>
      <c r="B166" s="177"/>
      <c r="C166" s="178"/>
      <c r="D166" s="179"/>
      <c r="E166" s="119"/>
      <c r="F166" s="165"/>
      <c r="G166" s="126"/>
      <c r="H166" s="127"/>
      <c r="I166" s="128"/>
      <c r="J166" s="25" t="s">
        <v>60</v>
      </c>
      <c r="K166" s="27" t="e">
        <f t="array" ref="K166">INDEX(TXRESULT!$B$1:$I$1000,MATCH($B$156&amp;J158&amp;$F$156&amp;"SPUR2",TXRESULT!$C$1:$C$1000&amp;TXRESULT!$B$1:$B$1000&amp;TXRESULT!$H$1:$H$1000&amp;TXRESULT!$K$1:$K$1000,0),5)</f>
        <v>#N/A</v>
      </c>
      <c r="L166" s="146"/>
      <c r="M166" s="27" t="e">
        <f t="shared" si="11"/>
        <v>#N/A</v>
      </c>
      <c r="N166" s="27" t="str">
        <f t="shared" si="12"/>
        <v/>
      </c>
    </row>
    <row r="167" spans="1:14" x14ac:dyDescent="0.3">
      <c r="A167" s="116"/>
      <c r="B167" s="177"/>
      <c r="C167" s="178"/>
      <c r="D167" s="179"/>
      <c r="E167" s="119"/>
      <c r="F167" s="165"/>
      <c r="G167" s="126"/>
      <c r="H167" s="127"/>
      <c r="I167" s="128"/>
      <c r="J167" s="25" t="s">
        <v>61</v>
      </c>
      <c r="K167" s="27" t="e">
        <f t="array" ref="K167">INDEX(TXRESULT!$B$1:$I$1000,MATCH($B$156&amp;J159&amp;$F$156&amp;"SPUR2",TXRESULT!$C$1:$C$1000&amp;TXRESULT!$B$1:$B$1000&amp;TXRESULT!$H$1:$H$1000&amp;TXRESULT!$K$1:$K$1000,0),5)</f>
        <v>#N/A</v>
      </c>
      <c r="L167" s="146"/>
      <c r="M167" s="27" t="e">
        <f t="shared" si="11"/>
        <v>#N/A</v>
      </c>
      <c r="N167" s="27" t="str">
        <f t="shared" si="12"/>
        <v/>
      </c>
    </row>
    <row r="168" spans="1:14" x14ac:dyDescent="0.3">
      <c r="A168" s="116"/>
      <c r="B168" s="177"/>
      <c r="C168" s="178"/>
      <c r="D168" s="179"/>
      <c r="E168" s="119"/>
      <c r="F168" s="165"/>
      <c r="G168" s="126"/>
      <c r="H168" s="127"/>
      <c r="I168" s="128"/>
      <c r="J168" s="25" t="s">
        <v>62</v>
      </c>
      <c r="K168" s="27" t="e">
        <f t="array" ref="K168">INDEX(TXRESULT!$B$1:$I$1000,MATCH($B$156&amp;J160&amp;$F$156&amp;"SPUR2",TXRESULT!$C$1:$C$1000&amp;TXRESULT!$B$1:$B$1000&amp;TXRESULT!$H$1:$H$1000&amp;TXRESULT!$K$1:$K$1000,0),5)</f>
        <v>#N/A</v>
      </c>
      <c r="L168" s="146"/>
      <c r="M168" s="27" t="e">
        <f t="shared" si="11"/>
        <v>#N/A</v>
      </c>
      <c r="N168" s="27" t="str">
        <f t="shared" si="12"/>
        <v/>
      </c>
    </row>
    <row r="169" spans="1:14" x14ac:dyDescent="0.3">
      <c r="A169" s="116"/>
      <c r="B169" s="177"/>
      <c r="C169" s="178"/>
      <c r="D169" s="179"/>
      <c r="E169" s="119"/>
      <c r="F169" s="165"/>
      <c r="G169" s="126"/>
      <c r="H169" s="127"/>
      <c r="I169" s="128"/>
      <c r="J169" s="25" t="s">
        <v>63</v>
      </c>
      <c r="K169" s="27" t="e">
        <f t="array" ref="K169">INDEX(TXRESULT!$B$1:$I$1000,MATCH($B$156&amp;J161&amp;$F$156&amp;"SPUR2",TXRESULT!$C$1:$C$1000&amp;TXRESULT!$B$1:$B$1000&amp;TXRESULT!$H$1:$H$1000&amp;TXRESULT!$K$1:$K$1000,0),5)</f>
        <v>#N/A</v>
      </c>
      <c r="L169" s="146"/>
      <c r="M169" s="27" t="e">
        <f t="shared" si="11"/>
        <v>#N/A</v>
      </c>
      <c r="N169" s="27" t="str">
        <f t="shared" si="12"/>
        <v/>
      </c>
    </row>
    <row r="170" spans="1:14" x14ac:dyDescent="0.3">
      <c r="A170" s="116"/>
      <c r="B170" s="177"/>
      <c r="C170" s="178"/>
      <c r="D170" s="179"/>
      <c r="E170" s="119"/>
      <c r="F170" s="165"/>
      <c r="G170" s="126"/>
      <c r="H170" s="127"/>
      <c r="I170" s="128"/>
      <c r="J170" s="25" t="s">
        <v>64</v>
      </c>
      <c r="K170" s="27" t="e">
        <f t="array" ref="K170">INDEX(TXRESULT!$B$1:$I$1000,MATCH($B$156&amp;J162&amp;$F$156&amp;"SPUR2",TXRESULT!$C$1:$C$1000&amp;TXRESULT!$B$1:$B$1000&amp;TXRESULT!$H$1:$H$1000&amp;TXRESULT!$K$1:$K$1000,0),5)</f>
        <v>#N/A</v>
      </c>
      <c r="L170" s="146"/>
      <c r="M170" s="27" t="e">
        <f t="shared" si="11"/>
        <v>#N/A</v>
      </c>
      <c r="N170" s="27" t="str">
        <f t="shared" si="12"/>
        <v/>
      </c>
    </row>
    <row r="171" spans="1:14" x14ac:dyDescent="0.3">
      <c r="A171" s="116"/>
      <c r="B171" s="177"/>
      <c r="C171" s="178"/>
      <c r="D171" s="179"/>
      <c r="E171" s="120"/>
      <c r="F171" s="166"/>
      <c r="G171" s="129"/>
      <c r="H171" s="130"/>
      <c r="I171" s="131"/>
      <c r="J171" s="25" t="s">
        <v>65</v>
      </c>
      <c r="K171" s="27" t="e">
        <f t="array" ref="K171">INDEX(TXRESULT!$B$1:$I$1000,MATCH($B$156&amp;J163&amp;$F$156&amp;"SPUR2",TXRESULT!$C$1:$C$1000&amp;TXRESULT!$B$1:$B$1000&amp;TXRESULT!$H$1:$H$1000&amp;TXRESULT!$K$1:$K$1000,0),5)</f>
        <v>#N/A</v>
      </c>
      <c r="L171" s="147"/>
      <c r="M171" s="27" t="e">
        <f t="shared" si="11"/>
        <v>#N/A</v>
      </c>
      <c r="N171" s="27" t="str">
        <f t="shared" si="12"/>
        <v/>
      </c>
    </row>
    <row r="172" spans="1:14" ht="15.75" customHeight="1" x14ac:dyDescent="0.3">
      <c r="A172" s="116"/>
      <c r="B172" s="177"/>
      <c r="C172" s="178"/>
      <c r="D172" s="179"/>
      <c r="E172" s="132" t="s">
        <v>52</v>
      </c>
      <c r="F172" s="164" t="s">
        <v>53</v>
      </c>
      <c r="G172" s="123" t="s">
        <v>129</v>
      </c>
      <c r="H172" s="124"/>
      <c r="I172" s="125"/>
      <c r="J172" s="25" t="s">
        <v>57</v>
      </c>
      <c r="K172" s="27" t="e">
        <f t="array" ref="K172">INDEX(TXRESULT!$B$1:$I$1000,MATCH($B$156&amp;J156&amp;$F$156&amp;"SPUR3",TXRESULT!$C$1:$C$1000&amp;TXRESULT!$B$1:$B$1000&amp;TXRESULT!$H$1:$H$1000&amp;TXRESULT!$K$1:$K$1000,0),5)</f>
        <v>#N/A</v>
      </c>
      <c r="L172" s="145" t="s">
        <v>127</v>
      </c>
      <c r="M172" s="27" t="e">
        <f>IF(ISBLANK(K172),"",IF(AND(K172*1&lt;-36),"PASS","FAIL"))</f>
        <v>#N/A</v>
      </c>
      <c r="N172" s="27" t="str">
        <f t="shared" si="12"/>
        <v/>
      </c>
    </row>
    <row r="173" spans="1:14" x14ac:dyDescent="0.3">
      <c r="A173" s="116"/>
      <c r="B173" s="177"/>
      <c r="C173" s="178"/>
      <c r="D173" s="179"/>
      <c r="E173" s="119"/>
      <c r="F173" s="165"/>
      <c r="G173" s="126"/>
      <c r="H173" s="127"/>
      <c r="I173" s="128"/>
      <c r="J173" s="25" t="s">
        <v>59</v>
      </c>
      <c r="K173" s="27" t="e">
        <f t="array" ref="K173">INDEX(TXRESULT!$B$1:$I$1000,MATCH($B$156&amp;J157&amp;$F$156&amp;"SPUR3",TXRESULT!$C$1:$C$1000&amp;TXRESULT!$B$1:$B$1000&amp;TXRESULT!$H$1:$H$1000&amp;TXRESULT!$K$1:$K$1000,0),5)</f>
        <v>#N/A</v>
      </c>
      <c r="L173" s="146"/>
      <c r="M173" s="27" t="e">
        <f t="shared" si="11"/>
        <v>#N/A</v>
      </c>
      <c r="N173" s="27" t="str">
        <f t="shared" si="12"/>
        <v/>
      </c>
    </row>
    <row r="174" spans="1:14" x14ac:dyDescent="0.3">
      <c r="A174" s="116"/>
      <c r="B174" s="177"/>
      <c r="C174" s="178"/>
      <c r="D174" s="179"/>
      <c r="E174" s="119"/>
      <c r="F174" s="165"/>
      <c r="G174" s="126"/>
      <c r="H174" s="127"/>
      <c r="I174" s="128"/>
      <c r="J174" s="25" t="s">
        <v>60</v>
      </c>
      <c r="K174" s="27" t="e">
        <f t="array" ref="K174">INDEX(TXRESULT!$B$1:$I$1000,MATCH($B$156&amp;J158&amp;$F$156&amp;"SPUR3",TXRESULT!$C$1:$C$1000&amp;TXRESULT!$B$1:$B$1000&amp;TXRESULT!$H$1:$H$1000&amp;TXRESULT!$K$1:$K$1000,0),5)</f>
        <v>#N/A</v>
      </c>
      <c r="L174" s="146"/>
      <c r="M174" s="27" t="e">
        <f t="shared" si="11"/>
        <v>#N/A</v>
      </c>
      <c r="N174" s="27" t="str">
        <f t="shared" si="12"/>
        <v/>
      </c>
    </row>
    <row r="175" spans="1:14" x14ac:dyDescent="0.3">
      <c r="A175" s="116"/>
      <c r="B175" s="177"/>
      <c r="C175" s="178"/>
      <c r="D175" s="179"/>
      <c r="E175" s="119"/>
      <c r="F175" s="165"/>
      <c r="G175" s="126"/>
      <c r="H175" s="127"/>
      <c r="I175" s="128"/>
      <c r="J175" s="25" t="s">
        <v>61</v>
      </c>
      <c r="K175" s="27" t="e">
        <f t="array" ref="K175">INDEX(TXRESULT!$B$1:$I$1000,MATCH($B$156&amp;J159&amp;$F$156&amp;"SPUR3",TXRESULT!$C$1:$C$1000&amp;TXRESULT!$B$1:$B$1000&amp;TXRESULT!$H$1:$H$1000&amp;TXRESULT!$K$1:$K$1000,0),5)</f>
        <v>#N/A</v>
      </c>
      <c r="L175" s="146"/>
      <c r="M175" s="27" t="e">
        <f t="shared" si="11"/>
        <v>#N/A</v>
      </c>
      <c r="N175" s="27" t="str">
        <f t="shared" si="12"/>
        <v/>
      </c>
    </row>
    <row r="176" spans="1:14" x14ac:dyDescent="0.3">
      <c r="A176" s="116"/>
      <c r="B176" s="177"/>
      <c r="C176" s="178"/>
      <c r="D176" s="179"/>
      <c r="E176" s="119"/>
      <c r="F176" s="165"/>
      <c r="G176" s="126"/>
      <c r="H176" s="127"/>
      <c r="I176" s="128"/>
      <c r="J176" s="25" t="s">
        <v>62</v>
      </c>
      <c r="K176" s="27" t="e">
        <f t="array" ref="K176">INDEX(TXRESULT!$B$1:$I$1000,MATCH($B$156&amp;J160&amp;$F$156&amp;"SPUR3",TXRESULT!$C$1:$C$1000&amp;TXRESULT!$B$1:$B$1000&amp;TXRESULT!$H$1:$H$1000&amp;TXRESULT!$K$1:$K$1000,0),5)</f>
        <v>#N/A</v>
      </c>
      <c r="L176" s="146"/>
      <c r="M176" s="27" t="e">
        <f t="shared" si="11"/>
        <v>#N/A</v>
      </c>
      <c r="N176" s="27" t="str">
        <f t="shared" si="12"/>
        <v/>
      </c>
    </row>
    <row r="177" spans="1:14" x14ac:dyDescent="0.3">
      <c r="A177" s="116"/>
      <c r="B177" s="177"/>
      <c r="C177" s="178"/>
      <c r="D177" s="179"/>
      <c r="E177" s="119"/>
      <c r="F177" s="165"/>
      <c r="G177" s="126"/>
      <c r="H177" s="127"/>
      <c r="I177" s="128"/>
      <c r="J177" s="25" t="s">
        <v>63</v>
      </c>
      <c r="K177" s="27" t="e">
        <f t="array" ref="K177">INDEX(TXRESULT!$B$1:$I$1000,MATCH($B$156&amp;J161&amp;$F$156&amp;"SPUR3",TXRESULT!$C$1:$C$1000&amp;TXRESULT!$B$1:$B$1000&amp;TXRESULT!$H$1:$H$1000&amp;TXRESULT!$K$1:$K$1000,0),5)</f>
        <v>#N/A</v>
      </c>
      <c r="L177" s="146"/>
      <c r="M177" s="27" t="e">
        <f t="shared" si="11"/>
        <v>#N/A</v>
      </c>
      <c r="N177" s="27" t="str">
        <f t="shared" si="12"/>
        <v/>
      </c>
    </row>
    <row r="178" spans="1:14" x14ac:dyDescent="0.3">
      <c r="A178" s="116"/>
      <c r="B178" s="177"/>
      <c r="C178" s="178"/>
      <c r="D178" s="179"/>
      <c r="E178" s="119"/>
      <c r="F178" s="165"/>
      <c r="G178" s="126"/>
      <c r="H178" s="127"/>
      <c r="I178" s="128"/>
      <c r="J178" s="25" t="s">
        <v>64</v>
      </c>
      <c r="K178" s="27" t="e">
        <f t="array" ref="K178">INDEX(TXRESULT!$B$1:$I$1000,MATCH($B$156&amp;J162&amp;$F$156&amp;"SPUR3",TXRESULT!$C$1:$C$1000&amp;TXRESULT!$B$1:$B$1000&amp;TXRESULT!$H$1:$H$1000&amp;TXRESULT!$K$1:$K$1000,0),5)</f>
        <v>#N/A</v>
      </c>
      <c r="L178" s="146"/>
      <c r="M178" s="27" t="e">
        <f t="shared" si="11"/>
        <v>#N/A</v>
      </c>
      <c r="N178" s="27" t="str">
        <f t="shared" si="12"/>
        <v/>
      </c>
    </row>
    <row r="179" spans="1:14" x14ac:dyDescent="0.3">
      <c r="A179" s="116"/>
      <c r="B179" s="177"/>
      <c r="C179" s="178"/>
      <c r="D179" s="179"/>
      <c r="E179" s="120"/>
      <c r="F179" s="166"/>
      <c r="G179" s="129"/>
      <c r="H179" s="130"/>
      <c r="I179" s="131"/>
      <c r="J179" s="25" t="s">
        <v>65</v>
      </c>
      <c r="K179" s="27" t="e">
        <f t="array" ref="K179">INDEX(TXRESULT!$B$1:$I$1000,MATCH($B$156&amp;J163&amp;$F$156&amp;"SPUR3",TXRESULT!$C$1:$C$1000&amp;TXRESULT!$B$1:$B$1000&amp;TXRESULT!$H$1:$H$1000&amp;TXRESULT!$K$1:$K$1000,0),5)</f>
        <v>#N/A</v>
      </c>
      <c r="L179" s="147"/>
      <c r="M179" s="27" t="e">
        <f t="shared" si="11"/>
        <v>#N/A</v>
      </c>
      <c r="N179" s="27" t="str">
        <f t="shared" si="12"/>
        <v/>
      </c>
    </row>
    <row r="180" spans="1:14" ht="15.75" customHeight="1" x14ac:dyDescent="0.3">
      <c r="A180" s="116"/>
      <c r="B180" s="177"/>
      <c r="C180" s="178"/>
      <c r="D180" s="179"/>
      <c r="E180" s="132" t="s">
        <v>52</v>
      </c>
      <c r="F180" s="164" t="s">
        <v>53</v>
      </c>
      <c r="G180" s="123" t="s">
        <v>130</v>
      </c>
      <c r="H180" s="124"/>
      <c r="I180" s="125"/>
      <c r="J180" s="25" t="s">
        <v>57</v>
      </c>
      <c r="K180" s="27" t="e">
        <f t="array" ref="K180">INDEX(TXRESULT!$B$1:$I$1000,MATCH($B$156&amp;J156&amp;$F$156&amp;"SPUR4",TXRESULT!$C$1:$C$1000&amp;TXRESULT!$B$1:$B$1000&amp;TXRESULT!$H$1:$H$1000&amp;TXRESULT!$K$1:$K$1000,0),5)</f>
        <v>#N/A</v>
      </c>
      <c r="L180" s="145" t="s">
        <v>127</v>
      </c>
      <c r="M180" s="27" t="e">
        <f>IF(ISBLANK(K180),"",IF(AND(K180*1&lt;-30),"PASS","FAIL"))</f>
        <v>#N/A</v>
      </c>
      <c r="N180" s="27" t="str">
        <f t="shared" si="12"/>
        <v/>
      </c>
    </row>
    <row r="181" spans="1:14" x14ac:dyDescent="0.3">
      <c r="A181" s="116"/>
      <c r="B181" s="177"/>
      <c r="C181" s="178"/>
      <c r="D181" s="179"/>
      <c r="E181" s="119"/>
      <c r="F181" s="165"/>
      <c r="G181" s="126"/>
      <c r="H181" s="127"/>
      <c r="I181" s="128"/>
      <c r="J181" s="25" t="s">
        <v>59</v>
      </c>
      <c r="K181" s="27" t="e">
        <f t="array" ref="K181">INDEX(TXRESULT!$B$1:$I$1000,MATCH($B$156&amp;J157&amp;$F$156&amp;"SPUR4",TXRESULT!$C$1:$C$1000&amp;TXRESULT!$B$1:$B$1000&amp;TXRESULT!$H$1:$H$1000&amp;TXRESULT!$K$1:$K$1000,0),5)</f>
        <v>#N/A</v>
      </c>
      <c r="L181" s="146"/>
      <c r="M181" s="27" t="e">
        <f t="shared" ref="M181:M187" si="13">IF(ISBLANK(K181),"",IF(AND(K181*1&lt;-30),"PASS","FAIL"))</f>
        <v>#N/A</v>
      </c>
      <c r="N181" s="27" t="str">
        <f t="shared" si="12"/>
        <v/>
      </c>
    </row>
    <row r="182" spans="1:14" x14ac:dyDescent="0.3">
      <c r="A182" s="116"/>
      <c r="B182" s="177"/>
      <c r="C182" s="178"/>
      <c r="D182" s="179"/>
      <c r="E182" s="119"/>
      <c r="F182" s="165"/>
      <c r="G182" s="126"/>
      <c r="H182" s="127"/>
      <c r="I182" s="128"/>
      <c r="J182" s="25" t="s">
        <v>60</v>
      </c>
      <c r="K182" s="27" t="e">
        <f t="array" ref="K182">INDEX(TXRESULT!$B$1:$I$1000,MATCH($B$156&amp;J158&amp;$F$156&amp;"SPUR4",TXRESULT!$C$1:$C$1000&amp;TXRESULT!$B$1:$B$1000&amp;TXRESULT!$H$1:$H$1000&amp;TXRESULT!$K$1:$K$1000,0),5)</f>
        <v>#N/A</v>
      </c>
      <c r="L182" s="146"/>
      <c r="M182" s="27" t="e">
        <f t="shared" si="13"/>
        <v>#N/A</v>
      </c>
      <c r="N182" s="27" t="str">
        <f t="shared" si="12"/>
        <v/>
      </c>
    </row>
    <row r="183" spans="1:14" x14ac:dyDescent="0.3">
      <c r="A183" s="116"/>
      <c r="B183" s="177"/>
      <c r="C183" s="178"/>
      <c r="D183" s="179"/>
      <c r="E183" s="119"/>
      <c r="F183" s="165"/>
      <c r="G183" s="126"/>
      <c r="H183" s="127"/>
      <c r="I183" s="128"/>
      <c r="J183" s="25" t="s">
        <v>61</v>
      </c>
      <c r="K183" s="27" t="e">
        <f t="array" ref="K183">INDEX(TXRESULT!$B$1:$I$1000,MATCH($B$156&amp;J159&amp;$F$156&amp;"SPUR4",TXRESULT!$C$1:$C$1000&amp;TXRESULT!$B$1:$B$1000&amp;TXRESULT!$H$1:$H$1000&amp;TXRESULT!$K$1:$K$1000,0),5)</f>
        <v>#N/A</v>
      </c>
      <c r="L183" s="146"/>
      <c r="M183" s="27" t="e">
        <f t="shared" si="13"/>
        <v>#N/A</v>
      </c>
      <c r="N183" s="27" t="str">
        <f t="shared" si="12"/>
        <v/>
      </c>
    </row>
    <row r="184" spans="1:14" x14ac:dyDescent="0.3">
      <c r="A184" s="116"/>
      <c r="B184" s="177"/>
      <c r="C184" s="178"/>
      <c r="D184" s="179"/>
      <c r="E184" s="119"/>
      <c r="F184" s="165"/>
      <c r="G184" s="126"/>
      <c r="H184" s="127"/>
      <c r="I184" s="128"/>
      <c r="J184" s="25" t="s">
        <v>62</v>
      </c>
      <c r="K184" s="27" t="e">
        <f t="array" ref="K184">INDEX(TXRESULT!$B$1:$I$1000,MATCH($B$156&amp;J160&amp;$F$156&amp;"SPUR4",TXRESULT!$C$1:$C$1000&amp;TXRESULT!$B$1:$B$1000&amp;TXRESULT!$H$1:$H$1000&amp;TXRESULT!$K$1:$K$1000,0),5)</f>
        <v>#N/A</v>
      </c>
      <c r="L184" s="146"/>
      <c r="M184" s="27" t="e">
        <f t="shared" si="13"/>
        <v>#N/A</v>
      </c>
      <c r="N184" s="27" t="str">
        <f t="shared" si="12"/>
        <v/>
      </c>
    </row>
    <row r="185" spans="1:14" x14ac:dyDescent="0.3">
      <c r="A185" s="116"/>
      <c r="B185" s="177"/>
      <c r="C185" s="178"/>
      <c r="D185" s="179"/>
      <c r="E185" s="119"/>
      <c r="F185" s="165"/>
      <c r="G185" s="126"/>
      <c r="H185" s="127"/>
      <c r="I185" s="128"/>
      <c r="J185" s="25" t="s">
        <v>63</v>
      </c>
      <c r="K185" s="27" t="e">
        <f t="array" ref="K185">INDEX(TXRESULT!$B$1:$I$1000,MATCH($B$156&amp;J161&amp;$F$156&amp;"SPUR4",TXRESULT!$C$1:$C$1000&amp;TXRESULT!$B$1:$B$1000&amp;TXRESULT!$H$1:$H$1000&amp;TXRESULT!$K$1:$K$1000,0),5)</f>
        <v>#N/A</v>
      </c>
      <c r="L185" s="146"/>
      <c r="M185" s="27" t="e">
        <f t="shared" si="13"/>
        <v>#N/A</v>
      </c>
      <c r="N185" s="27" t="str">
        <f t="shared" si="12"/>
        <v/>
      </c>
    </row>
    <row r="186" spans="1:14" x14ac:dyDescent="0.3">
      <c r="A186" s="116"/>
      <c r="B186" s="177"/>
      <c r="C186" s="178"/>
      <c r="D186" s="179"/>
      <c r="E186" s="119"/>
      <c r="F186" s="165"/>
      <c r="G186" s="126"/>
      <c r="H186" s="127"/>
      <c r="I186" s="128"/>
      <c r="J186" s="25" t="s">
        <v>64</v>
      </c>
      <c r="K186" s="27" t="e">
        <f t="array" ref="K186">INDEX(TXRESULT!$B$1:$I$1000,MATCH($B$156&amp;J162&amp;$F$156&amp;"SPUR4",TXRESULT!$C$1:$C$1000&amp;TXRESULT!$B$1:$B$1000&amp;TXRESULT!$H$1:$H$1000&amp;TXRESULT!$K$1:$K$1000,0),5)</f>
        <v>#N/A</v>
      </c>
      <c r="L186" s="146"/>
      <c r="M186" s="27" t="e">
        <f t="shared" si="13"/>
        <v>#N/A</v>
      </c>
      <c r="N186" s="27" t="str">
        <f t="shared" si="12"/>
        <v/>
      </c>
    </row>
    <row r="187" spans="1:14" x14ac:dyDescent="0.3">
      <c r="A187" s="116"/>
      <c r="B187" s="177"/>
      <c r="C187" s="178"/>
      <c r="D187" s="179"/>
      <c r="E187" s="120"/>
      <c r="F187" s="166"/>
      <c r="G187" s="129"/>
      <c r="H187" s="130"/>
      <c r="I187" s="131"/>
      <c r="J187" s="25" t="s">
        <v>65</v>
      </c>
      <c r="K187" s="27" t="e">
        <f t="array" ref="K187">INDEX(TXRESULT!$B$1:$I$1000,MATCH($B$156&amp;J163&amp;$F$156&amp;"SPUR4",TXRESULT!$C$1:$C$1000&amp;TXRESULT!$B$1:$B$1000&amp;TXRESULT!$H$1:$H$1000&amp;TXRESULT!$K$1:$K$1000,0),5)</f>
        <v>#N/A</v>
      </c>
      <c r="L187" s="147"/>
      <c r="M187" s="27" t="e">
        <f t="shared" si="13"/>
        <v>#N/A</v>
      </c>
      <c r="N187" s="27" t="str">
        <f t="shared" si="12"/>
        <v/>
      </c>
    </row>
    <row r="188" spans="1:14" ht="15.75" customHeight="1" x14ac:dyDescent="0.3">
      <c r="A188" s="116"/>
      <c r="B188" s="177"/>
      <c r="C188" s="178"/>
      <c r="D188" s="179"/>
      <c r="E188" s="132" t="s">
        <v>52</v>
      </c>
      <c r="F188" s="164" t="s">
        <v>53</v>
      </c>
      <c r="G188" s="123" t="s">
        <v>131</v>
      </c>
      <c r="H188" s="124"/>
      <c r="I188" s="125"/>
      <c r="J188" s="25" t="s">
        <v>57</v>
      </c>
      <c r="K188" s="27" t="e">
        <f t="array" ref="K188">INDEX(TXRESULT!$B$1:$I$1000,MATCH($B$156&amp;J156&amp;$F$156&amp;"SPUR5",TXRESULT!$C$1:$C$1000&amp;TXRESULT!$B$1:$B$1000&amp;TXRESULT!$H$1:$H$1000&amp;TXRESULT!$K$1:$K$1000,0),5)</f>
        <v>#N/A</v>
      </c>
      <c r="L188" s="145" t="s">
        <v>127</v>
      </c>
      <c r="M188" s="27" t="e">
        <f>IF(ISBLANK(K188),"",IF(AND(K188*1&lt;-30),"PASS","FAIL"))</f>
        <v>#N/A</v>
      </c>
      <c r="N188" s="27" t="str">
        <f t="shared" si="12"/>
        <v/>
      </c>
    </row>
    <row r="189" spans="1:14" x14ac:dyDescent="0.3">
      <c r="A189" s="116"/>
      <c r="B189" s="177"/>
      <c r="C189" s="178"/>
      <c r="D189" s="179"/>
      <c r="E189" s="119"/>
      <c r="F189" s="165"/>
      <c r="G189" s="126"/>
      <c r="H189" s="127"/>
      <c r="I189" s="128"/>
      <c r="J189" s="25" t="s">
        <v>59</v>
      </c>
      <c r="K189" s="27" t="e">
        <f t="array" ref="K189">INDEX(TXRESULT!$B$1:$I$1000,MATCH($B$156&amp;J157&amp;$F$156&amp;"SPUR5",TXRESULT!$C$1:$C$1000&amp;TXRESULT!$B$1:$B$1000&amp;TXRESULT!$H$1:$H$1000&amp;TXRESULT!$K$1:$K$1000,0),5)</f>
        <v>#N/A</v>
      </c>
      <c r="L189" s="146"/>
      <c r="M189" s="27" t="e">
        <f t="shared" ref="M189:M195" si="14">IF(ISBLANK(K189),"",IF(AND(K189*1&lt;-30),"PASS","FAIL"))</f>
        <v>#N/A</v>
      </c>
      <c r="N189" s="27" t="str">
        <f t="shared" si="12"/>
        <v/>
      </c>
    </row>
    <row r="190" spans="1:14" x14ac:dyDescent="0.3">
      <c r="A190" s="116"/>
      <c r="B190" s="177"/>
      <c r="C190" s="178"/>
      <c r="D190" s="179"/>
      <c r="E190" s="119"/>
      <c r="F190" s="165"/>
      <c r="G190" s="126"/>
      <c r="H190" s="127"/>
      <c r="I190" s="128"/>
      <c r="J190" s="25" t="s">
        <v>60</v>
      </c>
      <c r="K190" s="27" t="e">
        <f t="array" ref="K190">INDEX(TXRESULT!$B$1:$I$1000,MATCH($B$156&amp;J158&amp;$F$156&amp;"SPUR5",TXRESULT!$C$1:$C$1000&amp;TXRESULT!$B$1:$B$1000&amp;TXRESULT!$H$1:$H$1000&amp;TXRESULT!$K$1:$K$1000,0),5)</f>
        <v>#N/A</v>
      </c>
      <c r="L190" s="146"/>
      <c r="M190" s="27" t="e">
        <f t="shared" si="14"/>
        <v>#N/A</v>
      </c>
      <c r="N190" s="27" t="str">
        <f t="shared" si="12"/>
        <v/>
      </c>
    </row>
    <row r="191" spans="1:14" x14ac:dyDescent="0.3">
      <c r="A191" s="116"/>
      <c r="B191" s="177"/>
      <c r="C191" s="178"/>
      <c r="D191" s="179"/>
      <c r="E191" s="119"/>
      <c r="F191" s="165"/>
      <c r="G191" s="126"/>
      <c r="H191" s="127"/>
      <c r="I191" s="128"/>
      <c r="J191" s="25" t="s">
        <v>61</v>
      </c>
      <c r="K191" s="27" t="e">
        <f t="array" ref="K191">INDEX(TXRESULT!$B$1:$I$1000,MATCH($B$156&amp;J159&amp;$F$156&amp;"SPUR5",TXRESULT!$C$1:$C$1000&amp;TXRESULT!$B$1:$B$1000&amp;TXRESULT!$H$1:$H$1000&amp;TXRESULT!$K$1:$K$1000,0),5)</f>
        <v>#N/A</v>
      </c>
      <c r="L191" s="146"/>
      <c r="M191" s="27" t="e">
        <f t="shared" si="14"/>
        <v>#N/A</v>
      </c>
      <c r="N191" s="27" t="str">
        <f t="shared" si="12"/>
        <v/>
      </c>
    </row>
    <row r="192" spans="1:14" x14ac:dyDescent="0.3">
      <c r="A192" s="116"/>
      <c r="B192" s="177"/>
      <c r="C192" s="178"/>
      <c r="D192" s="179"/>
      <c r="E192" s="119"/>
      <c r="F192" s="165"/>
      <c r="G192" s="126"/>
      <c r="H192" s="127"/>
      <c r="I192" s="128"/>
      <c r="J192" s="25" t="s">
        <v>62</v>
      </c>
      <c r="K192" s="27" t="e">
        <f t="array" ref="K192">INDEX(TXRESULT!$B$1:$I$1000,MATCH($B$156&amp;J160&amp;$F$156&amp;"SPUR5",TXRESULT!$C$1:$C$1000&amp;TXRESULT!$B$1:$B$1000&amp;TXRESULT!$H$1:$H$1000&amp;TXRESULT!$K$1:$K$1000,0),5)</f>
        <v>#N/A</v>
      </c>
      <c r="L192" s="146"/>
      <c r="M192" s="27" t="e">
        <f t="shared" si="14"/>
        <v>#N/A</v>
      </c>
      <c r="N192" s="27" t="str">
        <f t="shared" si="12"/>
        <v/>
      </c>
    </row>
    <row r="193" spans="1:14" x14ac:dyDescent="0.3">
      <c r="A193" s="116"/>
      <c r="B193" s="177"/>
      <c r="C193" s="178"/>
      <c r="D193" s="179"/>
      <c r="E193" s="119"/>
      <c r="F193" s="165"/>
      <c r="G193" s="126"/>
      <c r="H193" s="127"/>
      <c r="I193" s="128"/>
      <c r="J193" s="25" t="s">
        <v>63</v>
      </c>
      <c r="K193" s="27" t="e">
        <f t="array" ref="K193">INDEX(TXRESULT!$B$1:$I$1000,MATCH($B$156&amp;J161&amp;$F$156&amp;"SPUR5",TXRESULT!$C$1:$C$1000&amp;TXRESULT!$B$1:$B$1000&amp;TXRESULT!$H$1:$H$1000&amp;TXRESULT!$K$1:$K$1000,0),5)</f>
        <v>#N/A</v>
      </c>
      <c r="L193" s="146"/>
      <c r="M193" s="27" t="e">
        <f t="shared" si="14"/>
        <v>#N/A</v>
      </c>
      <c r="N193" s="27" t="str">
        <f t="shared" si="12"/>
        <v/>
      </c>
    </row>
    <row r="194" spans="1:14" x14ac:dyDescent="0.3">
      <c r="A194" s="116"/>
      <c r="B194" s="177"/>
      <c r="C194" s="178"/>
      <c r="D194" s="179"/>
      <c r="E194" s="119"/>
      <c r="F194" s="165"/>
      <c r="G194" s="126"/>
      <c r="H194" s="127"/>
      <c r="I194" s="128"/>
      <c r="J194" s="25" t="s">
        <v>64</v>
      </c>
      <c r="K194" s="27" t="e">
        <f t="array" ref="K194">INDEX(TXRESULT!$B$1:$I$1000,MATCH($B$156&amp;J162&amp;$F$156&amp;"SPUR5",TXRESULT!$C$1:$C$1000&amp;TXRESULT!$B$1:$B$1000&amp;TXRESULT!$H$1:$H$1000&amp;TXRESULT!$K$1:$K$1000,0),5)</f>
        <v>#N/A</v>
      </c>
      <c r="L194" s="146"/>
      <c r="M194" s="27" t="e">
        <f t="shared" si="14"/>
        <v>#N/A</v>
      </c>
      <c r="N194" s="27" t="str">
        <f t="shared" si="12"/>
        <v/>
      </c>
    </row>
    <row r="195" spans="1:14" x14ac:dyDescent="0.3">
      <c r="A195" s="117"/>
      <c r="B195" s="180"/>
      <c r="C195" s="181"/>
      <c r="D195" s="182"/>
      <c r="E195" s="120"/>
      <c r="F195" s="166"/>
      <c r="G195" s="129"/>
      <c r="H195" s="130"/>
      <c r="I195" s="131"/>
      <c r="J195" s="25" t="s">
        <v>65</v>
      </c>
      <c r="K195" s="27" t="e">
        <f t="array" ref="K195">INDEX(TXRESULT!$B$1:$I$1000,MATCH($B$156&amp;J163&amp;$F$156&amp;"SPUR5",TXRESULT!$C$1:$C$1000&amp;TXRESULT!$B$1:$B$1000&amp;TXRESULT!$H$1:$H$1000&amp;TXRESULT!$K$1:$K$1000,0),5)</f>
        <v>#N/A</v>
      </c>
      <c r="L195" s="147"/>
      <c r="M195" s="27" t="e">
        <f t="shared" si="14"/>
        <v>#N/A</v>
      </c>
      <c r="N195" s="27" t="str">
        <f t="shared" si="12"/>
        <v/>
      </c>
    </row>
    <row r="196" spans="1:14" ht="15.75" customHeight="1" x14ac:dyDescent="0.3">
      <c r="A196" s="115" t="s">
        <v>132</v>
      </c>
      <c r="B196" s="167" t="s">
        <v>133</v>
      </c>
      <c r="C196" s="168"/>
      <c r="D196" s="164" t="s">
        <v>256</v>
      </c>
      <c r="E196" s="132" t="s">
        <v>116</v>
      </c>
      <c r="F196" s="164" t="s">
        <v>53</v>
      </c>
      <c r="G196" s="25" t="s">
        <v>117</v>
      </c>
      <c r="H196" s="25" t="s">
        <v>117</v>
      </c>
      <c r="I196" s="25" t="s">
        <v>118</v>
      </c>
      <c r="J196" s="25" t="s">
        <v>57</v>
      </c>
      <c r="K196" s="27" t="e">
        <f>VLOOKUP($D$196&amp;J196&amp;$F$196,TXRESULT!$A$1:$I$1500,6,FALSE)</f>
        <v>#N/A</v>
      </c>
      <c r="L196" s="145" t="s">
        <v>134</v>
      </c>
      <c r="M196" s="27" t="e">
        <f>IF(ISBLANK(K196),"",IF(AND(K196*1&gt;H196*1,K196*1&lt;I196*1),"PASS","FAIL"))</f>
        <v>#N/A</v>
      </c>
      <c r="N196" s="27" t="str">
        <f t="shared" si="12"/>
        <v/>
      </c>
    </row>
    <row r="197" spans="1:14" x14ac:dyDescent="0.3">
      <c r="A197" s="116"/>
      <c r="B197" s="169"/>
      <c r="C197" s="170"/>
      <c r="D197" s="165"/>
      <c r="E197" s="119"/>
      <c r="F197" s="165"/>
      <c r="G197" s="25" t="str">
        <f>G196</f>
        <v>43.8</v>
      </c>
      <c r="H197" s="25" t="str">
        <f>H196</f>
        <v>43.8</v>
      </c>
      <c r="I197" s="25" t="s">
        <v>118</v>
      </c>
      <c r="J197" s="25" t="s">
        <v>59</v>
      </c>
      <c r="K197" s="27" t="e">
        <f>VLOOKUP($D$196&amp;J197&amp;$F$196,TXRESULT!$A$1:$I$1500,6,FALSE)</f>
        <v>#N/A</v>
      </c>
      <c r="L197" s="146"/>
      <c r="M197" s="27" t="e">
        <f t="shared" ref="M197:M203" si="15">IF(ISBLANK(K197),"",IF(AND(K197*1&gt;H197*1,K197*1&lt;I197*1),"PASS","FAIL"))</f>
        <v>#N/A</v>
      </c>
      <c r="N197" s="27" t="str">
        <f t="shared" si="12"/>
        <v/>
      </c>
    </row>
    <row r="198" spans="1:14" x14ac:dyDescent="0.3">
      <c r="A198" s="116"/>
      <c r="B198" s="169"/>
      <c r="C198" s="170"/>
      <c r="D198" s="165"/>
      <c r="E198" s="119"/>
      <c r="F198" s="165"/>
      <c r="G198" s="25" t="str">
        <f>G196</f>
        <v>43.8</v>
      </c>
      <c r="H198" s="25" t="str">
        <f>H196</f>
        <v>43.8</v>
      </c>
      <c r="I198" s="25" t="s">
        <v>118</v>
      </c>
      <c r="J198" s="25" t="s">
        <v>60</v>
      </c>
      <c r="K198" s="27" t="e">
        <f>VLOOKUP($D$196&amp;J198&amp;$F$196,TXRESULT!$A$1:$I$1500,6,FALSE)</f>
        <v>#N/A</v>
      </c>
      <c r="L198" s="146"/>
      <c r="M198" s="27" t="e">
        <f t="shared" si="15"/>
        <v>#N/A</v>
      </c>
      <c r="N198" s="27" t="str">
        <f t="shared" si="12"/>
        <v/>
      </c>
    </row>
    <row r="199" spans="1:14" x14ac:dyDescent="0.3">
      <c r="A199" s="116"/>
      <c r="B199" s="169"/>
      <c r="C199" s="170"/>
      <c r="D199" s="165"/>
      <c r="E199" s="119"/>
      <c r="F199" s="165"/>
      <c r="G199" s="25" t="str">
        <f>G196</f>
        <v>43.8</v>
      </c>
      <c r="H199" s="25" t="str">
        <f>H196</f>
        <v>43.8</v>
      </c>
      <c r="I199" s="25" t="s">
        <v>118</v>
      </c>
      <c r="J199" s="25" t="s">
        <v>61</v>
      </c>
      <c r="K199" s="27" t="e">
        <f>VLOOKUP($D$196&amp;J199&amp;$F$196,TXRESULT!$A$1:$I$1500,6,FALSE)</f>
        <v>#N/A</v>
      </c>
      <c r="L199" s="146"/>
      <c r="M199" s="27" t="e">
        <f t="shared" si="15"/>
        <v>#N/A</v>
      </c>
      <c r="N199" s="27" t="str">
        <f t="shared" si="12"/>
        <v/>
      </c>
    </row>
    <row r="200" spans="1:14" x14ac:dyDescent="0.3">
      <c r="A200" s="116"/>
      <c r="B200" s="169"/>
      <c r="C200" s="170"/>
      <c r="D200" s="165"/>
      <c r="E200" s="119"/>
      <c r="F200" s="165"/>
      <c r="G200" s="25" t="str">
        <f>G196</f>
        <v>43.8</v>
      </c>
      <c r="H200" s="25" t="str">
        <f>H196</f>
        <v>43.8</v>
      </c>
      <c r="I200" s="25" t="s">
        <v>118</v>
      </c>
      <c r="J200" s="25" t="s">
        <v>62</v>
      </c>
      <c r="K200" s="27" t="e">
        <f>VLOOKUP($D$196&amp;J200&amp;$F$196,TXRESULT!$A$1:$I$1500,6,FALSE)</f>
        <v>#N/A</v>
      </c>
      <c r="L200" s="146"/>
      <c r="M200" s="27" t="e">
        <f t="shared" si="15"/>
        <v>#N/A</v>
      </c>
      <c r="N200" s="27" t="str">
        <f t="shared" si="12"/>
        <v/>
      </c>
    </row>
    <row r="201" spans="1:14" x14ac:dyDescent="0.3">
      <c r="A201" s="116"/>
      <c r="B201" s="169"/>
      <c r="C201" s="170"/>
      <c r="D201" s="165"/>
      <c r="E201" s="119"/>
      <c r="F201" s="165"/>
      <c r="G201" s="25" t="str">
        <f>G196</f>
        <v>43.8</v>
      </c>
      <c r="H201" s="25" t="str">
        <f>H196</f>
        <v>43.8</v>
      </c>
      <c r="I201" s="25" t="s">
        <v>118</v>
      </c>
      <c r="J201" s="25" t="s">
        <v>63</v>
      </c>
      <c r="K201" s="27" t="e">
        <f>VLOOKUP($D$196&amp;J201&amp;$F$196,TXRESULT!$A$1:$I$1500,6,FALSE)</f>
        <v>#N/A</v>
      </c>
      <c r="L201" s="146"/>
      <c r="M201" s="27" t="e">
        <f t="shared" si="15"/>
        <v>#N/A</v>
      </c>
      <c r="N201" s="27" t="str">
        <f t="shared" si="12"/>
        <v/>
      </c>
    </row>
    <row r="202" spans="1:14" x14ac:dyDescent="0.3">
      <c r="A202" s="116"/>
      <c r="B202" s="169"/>
      <c r="C202" s="170"/>
      <c r="D202" s="165"/>
      <c r="E202" s="119"/>
      <c r="F202" s="165"/>
      <c r="G202" s="25" t="str">
        <f>G196</f>
        <v>43.8</v>
      </c>
      <c r="H202" s="25" t="str">
        <f>H196</f>
        <v>43.8</v>
      </c>
      <c r="I202" s="25" t="s">
        <v>118</v>
      </c>
      <c r="J202" s="25" t="s">
        <v>64</v>
      </c>
      <c r="K202" s="27" t="e">
        <f>VLOOKUP($D$196&amp;J202&amp;$F$196,TXRESULT!$A$1:$I$1500,6,FALSE)</f>
        <v>#N/A</v>
      </c>
      <c r="L202" s="146"/>
      <c r="M202" s="27" t="e">
        <f t="shared" si="15"/>
        <v>#N/A</v>
      </c>
      <c r="N202" s="27" t="str">
        <f t="shared" si="12"/>
        <v/>
      </c>
    </row>
    <row r="203" spans="1:14" x14ac:dyDescent="0.3">
      <c r="A203" s="116"/>
      <c r="B203" s="169"/>
      <c r="C203" s="170"/>
      <c r="D203" s="166"/>
      <c r="E203" s="120"/>
      <c r="F203" s="166"/>
      <c r="G203" s="25" t="str">
        <f>G196</f>
        <v>43.8</v>
      </c>
      <c r="H203" s="25" t="str">
        <f>H196</f>
        <v>43.8</v>
      </c>
      <c r="I203" s="25" t="s">
        <v>118</v>
      </c>
      <c r="J203" s="25" t="s">
        <v>65</v>
      </c>
      <c r="K203" s="27" t="e">
        <f>VLOOKUP($D$196&amp;J203&amp;$F$196,TXRESULT!$A$1:$I$1500,6,FALSE)</f>
        <v>#N/A</v>
      </c>
      <c r="L203" s="146"/>
      <c r="M203" s="27" t="e">
        <f t="shared" si="15"/>
        <v>#N/A</v>
      </c>
      <c r="N203" s="27" t="str">
        <f t="shared" si="12"/>
        <v/>
      </c>
    </row>
    <row r="204" spans="1:14" ht="15.75" customHeight="1" x14ac:dyDescent="0.3">
      <c r="A204" s="116"/>
      <c r="B204" s="169"/>
      <c r="C204" s="170"/>
      <c r="D204" s="164" t="s">
        <v>257</v>
      </c>
      <c r="E204" s="132" t="s">
        <v>52</v>
      </c>
      <c r="F204" s="164" t="s">
        <v>53</v>
      </c>
      <c r="G204" s="173" t="s">
        <v>121</v>
      </c>
      <c r="H204" s="124"/>
      <c r="I204" s="125"/>
      <c r="J204" s="25" t="s">
        <v>57</v>
      </c>
      <c r="K204" s="27" t="e">
        <f t="array" ref="K204">INDEX(TXRESULT!$B$1:$I$1000,MATCH($D$204&amp;J204&amp;$F$204&amp;"OBUE1",TXRESULT!$C$1:$C$1000&amp;TXRESULT!$B$1:$B$1000&amp;TXRESULT!$H$1:$H$1000&amp;TXRESULT!$K$1:$K$1000,0),5)</f>
        <v>#N/A</v>
      </c>
      <c r="L204" s="146"/>
      <c r="M204" s="27" t="e">
        <f>IF(ISBLANK(K204),"",IF(AND(K204*1&lt;-12.2),"PASS","FAIL"))</f>
        <v>#N/A</v>
      </c>
      <c r="N204" s="27" t="str">
        <f t="shared" si="12"/>
        <v/>
      </c>
    </row>
    <row r="205" spans="1:14" x14ac:dyDescent="0.3">
      <c r="A205" s="116"/>
      <c r="B205" s="169"/>
      <c r="C205" s="170"/>
      <c r="D205" s="165"/>
      <c r="E205" s="119"/>
      <c r="F205" s="165"/>
      <c r="G205" s="126"/>
      <c r="H205" s="127"/>
      <c r="I205" s="128"/>
      <c r="J205" s="25" t="s">
        <v>59</v>
      </c>
      <c r="K205" s="27" t="e">
        <f t="array" ref="K205">INDEX(TXRESULT!$B$1:$I$1000,MATCH($D$204&amp;J205&amp;$F$204&amp;"OBUE1",TXRESULT!$C$1:$C$1000&amp;TXRESULT!$B$1:$B$1000&amp;TXRESULT!$H$1:$H$1000&amp;TXRESULT!$K$1:$K$1000,0),5)</f>
        <v>#N/A</v>
      </c>
      <c r="L205" s="146"/>
      <c r="M205" s="27" t="e">
        <f t="shared" ref="M205:M219" si="16">IF(ISBLANK(K205),"",IF(AND(K205*1&lt;-12.2),"PASS","FAIL"))</f>
        <v>#N/A</v>
      </c>
      <c r="N205" s="27" t="str">
        <f t="shared" si="12"/>
        <v/>
      </c>
    </row>
    <row r="206" spans="1:14" x14ac:dyDescent="0.3">
      <c r="A206" s="116"/>
      <c r="B206" s="169"/>
      <c r="C206" s="170"/>
      <c r="D206" s="165"/>
      <c r="E206" s="119"/>
      <c r="F206" s="165"/>
      <c r="G206" s="126"/>
      <c r="H206" s="127"/>
      <c r="I206" s="128"/>
      <c r="J206" s="25" t="s">
        <v>60</v>
      </c>
      <c r="K206" s="27" t="e">
        <f t="array" ref="K206">INDEX(TXRESULT!$B$1:$I$1000,MATCH($D$204&amp;J206&amp;$F$204&amp;"OBUE1",TXRESULT!$C$1:$C$1000&amp;TXRESULT!$B$1:$B$1000&amp;TXRESULT!$H$1:$H$1000&amp;TXRESULT!$K$1:$K$1000,0),5)</f>
        <v>#N/A</v>
      </c>
      <c r="L206" s="146"/>
      <c r="M206" s="27" t="e">
        <f t="shared" si="16"/>
        <v>#N/A</v>
      </c>
      <c r="N206" s="27" t="str">
        <f t="shared" si="12"/>
        <v/>
      </c>
    </row>
    <row r="207" spans="1:14" x14ac:dyDescent="0.3">
      <c r="A207" s="116"/>
      <c r="B207" s="169"/>
      <c r="C207" s="170"/>
      <c r="D207" s="165"/>
      <c r="E207" s="119"/>
      <c r="F207" s="165"/>
      <c r="G207" s="126"/>
      <c r="H207" s="127"/>
      <c r="I207" s="128"/>
      <c r="J207" s="25" t="s">
        <v>61</v>
      </c>
      <c r="K207" s="27" t="e">
        <f t="array" ref="K207">INDEX(TXRESULT!$B$1:$I$1000,MATCH($D$204&amp;J207&amp;$F$204&amp;"OBUE1",TXRESULT!$C$1:$C$1000&amp;TXRESULT!$B$1:$B$1000&amp;TXRESULT!$H$1:$H$1000&amp;TXRESULT!$K$1:$K$1000,0),5)</f>
        <v>#N/A</v>
      </c>
      <c r="L207" s="146"/>
      <c r="M207" s="27" t="e">
        <f t="shared" si="16"/>
        <v>#N/A</v>
      </c>
      <c r="N207" s="27" t="str">
        <f t="shared" si="12"/>
        <v/>
      </c>
    </row>
    <row r="208" spans="1:14" x14ac:dyDescent="0.3">
      <c r="A208" s="116"/>
      <c r="B208" s="169"/>
      <c r="C208" s="170"/>
      <c r="D208" s="165"/>
      <c r="E208" s="119"/>
      <c r="F208" s="165"/>
      <c r="G208" s="126"/>
      <c r="H208" s="127"/>
      <c r="I208" s="128"/>
      <c r="J208" s="25" t="s">
        <v>62</v>
      </c>
      <c r="K208" s="27" t="e">
        <f t="array" ref="K208">INDEX(TXRESULT!$B$1:$I$1000,MATCH($D$204&amp;J208&amp;$F$204&amp;"OBUE1",TXRESULT!$C$1:$C$1000&amp;TXRESULT!$B$1:$B$1000&amp;TXRESULT!$H$1:$H$1000&amp;TXRESULT!$K$1:$K$1000,0),5)</f>
        <v>#N/A</v>
      </c>
      <c r="L208" s="146"/>
      <c r="M208" s="27" t="e">
        <f t="shared" si="16"/>
        <v>#N/A</v>
      </c>
      <c r="N208" s="27" t="str">
        <f t="shared" si="12"/>
        <v/>
      </c>
    </row>
    <row r="209" spans="1:14" x14ac:dyDescent="0.3">
      <c r="A209" s="116"/>
      <c r="B209" s="169"/>
      <c r="C209" s="170"/>
      <c r="D209" s="165"/>
      <c r="E209" s="119"/>
      <c r="F209" s="165"/>
      <c r="G209" s="126"/>
      <c r="H209" s="127"/>
      <c r="I209" s="128"/>
      <c r="J209" s="25" t="s">
        <v>63</v>
      </c>
      <c r="K209" s="27" t="e">
        <f t="array" ref="K209">INDEX(TXRESULT!$B$1:$I$1000,MATCH($D$204&amp;J209&amp;$F$204&amp;"OBUE1",TXRESULT!$C$1:$C$1000&amp;TXRESULT!$B$1:$B$1000&amp;TXRESULT!$H$1:$H$1000&amp;TXRESULT!$K$1:$K$1000,0),5)</f>
        <v>#N/A</v>
      </c>
      <c r="L209" s="146"/>
      <c r="M209" s="27" t="e">
        <f t="shared" si="16"/>
        <v>#N/A</v>
      </c>
      <c r="N209" s="27" t="str">
        <f t="shared" si="12"/>
        <v/>
      </c>
    </row>
    <row r="210" spans="1:14" x14ac:dyDescent="0.3">
      <c r="A210" s="116"/>
      <c r="B210" s="169"/>
      <c r="C210" s="170"/>
      <c r="D210" s="165"/>
      <c r="E210" s="119"/>
      <c r="F210" s="165"/>
      <c r="G210" s="126"/>
      <c r="H210" s="127"/>
      <c r="I210" s="128"/>
      <c r="J210" s="25" t="s">
        <v>64</v>
      </c>
      <c r="K210" s="27" t="e">
        <f t="array" ref="K210">INDEX(TXRESULT!$B$1:$I$1000,MATCH($D$204&amp;J210&amp;$F$204&amp;"OBUE1",TXRESULT!$C$1:$C$1000&amp;TXRESULT!$B$1:$B$1000&amp;TXRESULT!$H$1:$H$1000&amp;TXRESULT!$K$1:$K$1000,0),5)</f>
        <v>#N/A</v>
      </c>
      <c r="L210" s="146"/>
      <c r="M210" s="27" t="e">
        <f t="shared" si="16"/>
        <v>#N/A</v>
      </c>
      <c r="N210" s="27" t="str">
        <f t="shared" si="12"/>
        <v/>
      </c>
    </row>
    <row r="211" spans="1:14" x14ac:dyDescent="0.3">
      <c r="A211" s="116"/>
      <c r="B211" s="169"/>
      <c r="C211" s="170"/>
      <c r="D211" s="165"/>
      <c r="E211" s="120"/>
      <c r="F211" s="166"/>
      <c r="G211" s="129"/>
      <c r="H211" s="130"/>
      <c r="I211" s="131"/>
      <c r="J211" s="25" t="s">
        <v>65</v>
      </c>
      <c r="K211" s="27" t="e">
        <f t="array" ref="K211">INDEX(TXRESULT!$B$1:$I$1000,MATCH($D$204&amp;J211&amp;$F$204&amp;"OBUE1",TXRESULT!$C$1:$C$1000&amp;TXRESULT!$B$1:$B$1000&amp;TXRESULT!$H$1:$H$1000&amp;TXRESULT!$K$1:$K$1000,0),5)</f>
        <v>#N/A</v>
      </c>
      <c r="L211" s="146"/>
      <c r="M211" s="27" t="e">
        <f t="shared" si="16"/>
        <v>#N/A</v>
      </c>
      <c r="N211" s="27" t="str">
        <f t="shared" si="12"/>
        <v/>
      </c>
    </row>
    <row r="212" spans="1:14" x14ac:dyDescent="0.3">
      <c r="A212" s="116"/>
      <c r="B212" s="169"/>
      <c r="C212" s="170"/>
      <c r="D212" s="165"/>
      <c r="E212" s="132" t="s">
        <v>52</v>
      </c>
      <c r="F212" s="164" t="s">
        <v>53</v>
      </c>
      <c r="G212" s="173" t="s">
        <v>123</v>
      </c>
      <c r="H212" s="124"/>
      <c r="I212" s="125"/>
      <c r="J212" s="25" t="s">
        <v>57</v>
      </c>
      <c r="K212" s="27" t="e">
        <f t="array" ref="K212">INDEX(TXRESULT!$B$1:$I$1000,MATCH($D$204&amp;J211&amp;$F$212&amp;"OBUE2",TXRESULT!$C$1:$C$1000&amp;TXRESULT!$B$1:$B$1000&amp;TXRESULT!$H$1:$H$1000&amp;TXRESULT!$K$1:$K$1000,0),5)</f>
        <v>#N/A</v>
      </c>
      <c r="L212" s="146"/>
      <c r="M212" s="27" t="e">
        <f t="shared" si="16"/>
        <v>#N/A</v>
      </c>
      <c r="N212" s="27" t="str">
        <f t="shared" si="12"/>
        <v/>
      </c>
    </row>
    <row r="213" spans="1:14" x14ac:dyDescent="0.3">
      <c r="A213" s="116"/>
      <c r="B213" s="169"/>
      <c r="C213" s="170"/>
      <c r="D213" s="165"/>
      <c r="E213" s="119"/>
      <c r="F213" s="165"/>
      <c r="G213" s="126"/>
      <c r="H213" s="127"/>
      <c r="I213" s="128"/>
      <c r="J213" s="25" t="s">
        <v>59</v>
      </c>
      <c r="K213" s="27" t="e">
        <f t="array" ref="K213">INDEX(TXRESULT!$B$1:$I$1000,MATCH($D$204&amp;J212&amp;$F$212&amp;"OBUE2",TXRESULT!$C$1:$C$1000&amp;TXRESULT!$B$1:$B$1000&amp;TXRESULT!$H$1:$H$1000&amp;TXRESULT!$K$1:$K$1000,0),5)</f>
        <v>#N/A</v>
      </c>
      <c r="L213" s="146"/>
      <c r="M213" s="27" t="e">
        <f t="shared" si="16"/>
        <v>#N/A</v>
      </c>
      <c r="N213" s="27" t="str">
        <f t="shared" si="12"/>
        <v/>
      </c>
    </row>
    <row r="214" spans="1:14" x14ac:dyDescent="0.3">
      <c r="A214" s="116"/>
      <c r="B214" s="169"/>
      <c r="C214" s="170"/>
      <c r="D214" s="165"/>
      <c r="E214" s="119"/>
      <c r="F214" s="165"/>
      <c r="G214" s="126"/>
      <c r="H214" s="127"/>
      <c r="I214" s="128"/>
      <c r="J214" s="25" t="s">
        <v>60</v>
      </c>
      <c r="K214" s="27" t="e">
        <f t="array" ref="K214">INDEX(TXRESULT!$B$1:$I$1000,MATCH($D$204&amp;J213&amp;$F$212&amp;"OBUE2",TXRESULT!$C$1:$C$1000&amp;TXRESULT!$B$1:$B$1000&amp;TXRESULT!$H$1:$H$1000&amp;TXRESULT!$K$1:$K$1000,0),5)</f>
        <v>#N/A</v>
      </c>
      <c r="L214" s="146"/>
      <c r="M214" s="27" t="e">
        <f t="shared" si="16"/>
        <v>#N/A</v>
      </c>
      <c r="N214" s="27" t="str">
        <f t="shared" si="12"/>
        <v/>
      </c>
    </row>
    <row r="215" spans="1:14" x14ac:dyDescent="0.3">
      <c r="A215" s="116"/>
      <c r="B215" s="169"/>
      <c r="C215" s="170"/>
      <c r="D215" s="165"/>
      <c r="E215" s="119"/>
      <c r="F215" s="165"/>
      <c r="G215" s="126"/>
      <c r="H215" s="127"/>
      <c r="I215" s="128"/>
      <c r="J215" s="25" t="s">
        <v>61</v>
      </c>
      <c r="K215" s="27" t="e">
        <f t="array" ref="K215">INDEX(TXRESULT!$B$1:$I$1000,MATCH($D$204&amp;J214&amp;$F$212&amp;"OBUE2",TXRESULT!$C$1:$C$1000&amp;TXRESULT!$B$1:$B$1000&amp;TXRESULT!$H$1:$H$1000&amp;TXRESULT!$K$1:$K$1000,0),5)</f>
        <v>#N/A</v>
      </c>
      <c r="L215" s="146"/>
      <c r="M215" s="27" t="e">
        <f t="shared" si="16"/>
        <v>#N/A</v>
      </c>
      <c r="N215" s="27" t="str">
        <f t="shared" si="12"/>
        <v/>
      </c>
    </row>
    <row r="216" spans="1:14" x14ac:dyDescent="0.3">
      <c r="A216" s="116"/>
      <c r="B216" s="169"/>
      <c r="C216" s="170"/>
      <c r="D216" s="165"/>
      <c r="E216" s="119"/>
      <c r="F216" s="165"/>
      <c r="G216" s="126"/>
      <c r="H216" s="127"/>
      <c r="I216" s="128"/>
      <c r="J216" s="25" t="s">
        <v>62</v>
      </c>
      <c r="K216" s="27" t="e">
        <f t="array" ref="K216">INDEX(TXRESULT!$B$1:$I$1000,MATCH($D$204&amp;J215&amp;$F$212&amp;"OBUE2",TXRESULT!$C$1:$C$1000&amp;TXRESULT!$B$1:$B$1000&amp;TXRESULT!$H$1:$H$1000&amp;TXRESULT!$K$1:$K$1000,0),5)</f>
        <v>#N/A</v>
      </c>
      <c r="L216" s="146"/>
      <c r="M216" s="27" t="e">
        <f t="shared" si="16"/>
        <v>#N/A</v>
      </c>
      <c r="N216" s="27" t="str">
        <f t="shared" si="12"/>
        <v/>
      </c>
    </row>
    <row r="217" spans="1:14" x14ac:dyDescent="0.3">
      <c r="A217" s="116"/>
      <c r="B217" s="169"/>
      <c r="C217" s="170"/>
      <c r="D217" s="165"/>
      <c r="E217" s="119"/>
      <c r="F217" s="165"/>
      <c r="G217" s="126"/>
      <c r="H217" s="127"/>
      <c r="I217" s="128"/>
      <c r="J217" s="25" t="s">
        <v>63</v>
      </c>
      <c r="K217" s="27" t="e">
        <f t="array" ref="K217">INDEX(TXRESULT!$B$1:$I$1000,MATCH($D$204&amp;J216&amp;$F$212&amp;"OBUE2",TXRESULT!$C$1:$C$1000&amp;TXRESULT!$B$1:$B$1000&amp;TXRESULT!$H$1:$H$1000&amp;TXRESULT!$K$1:$K$1000,0),5)</f>
        <v>#N/A</v>
      </c>
      <c r="L217" s="146"/>
      <c r="M217" s="27" t="e">
        <f t="shared" si="16"/>
        <v>#N/A</v>
      </c>
      <c r="N217" s="27" t="str">
        <f t="shared" si="12"/>
        <v/>
      </c>
    </row>
    <row r="218" spans="1:14" x14ac:dyDescent="0.3">
      <c r="A218" s="116"/>
      <c r="B218" s="169"/>
      <c r="C218" s="170"/>
      <c r="D218" s="165"/>
      <c r="E218" s="119"/>
      <c r="F218" s="165"/>
      <c r="G218" s="126"/>
      <c r="H218" s="127"/>
      <c r="I218" s="128"/>
      <c r="J218" s="25" t="s">
        <v>64</v>
      </c>
      <c r="K218" s="27" t="e">
        <f t="array" ref="K218">INDEX(TXRESULT!$B$1:$I$1000,MATCH($D$204&amp;J217&amp;$F$212&amp;"OBUE2",TXRESULT!$C$1:$C$1000&amp;TXRESULT!$B$1:$B$1000&amp;TXRESULT!$H$1:$H$1000&amp;TXRESULT!$K$1:$K$1000,0),5)</f>
        <v>#N/A</v>
      </c>
      <c r="L218" s="146"/>
      <c r="M218" s="27" t="e">
        <f t="shared" si="16"/>
        <v>#N/A</v>
      </c>
      <c r="N218" s="27" t="str">
        <f t="shared" si="12"/>
        <v/>
      </c>
    </row>
    <row r="219" spans="1:14" x14ac:dyDescent="0.3">
      <c r="A219" s="116"/>
      <c r="B219" s="169"/>
      <c r="C219" s="170"/>
      <c r="D219" s="165"/>
      <c r="E219" s="120"/>
      <c r="F219" s="166"/>
      <c r="G219" s="129"/>
      <c r="H219" s="130"/>
      <c r="I219" s="131"/>
      <c r="J219" s="25" t="s">
        <v>65</v>
      </c>
      <c r="K219" s="27" t="e">
        <f t="array" ref="K219">INDEX(TXRESULT!$B$1:$I$1000,MATCH($D$204&amp;J218&amp;$F$212&amp;"OBUE2",TXRESULT!$C$1:$C$1000&amp;TXRESULT!$B$1:$B$1000&amp;TXRESULT!$H$1:$H$1000&amp;TXRESULT!$K$1:$K$1000,0),5)</f>
        <v>#N/A</v>
      </c>
      <c r="L219" s="146"/>
      <c r="M219" s="27" t="e">
        <f t="shared" si="16"/>
        <v>#N/A</v>
      </c>
      <c r="N219" s="27" t="str">
        <f t="shared" si="12"/>
        <v/>
      </c>
    </row>
    <row r="220" spans="1:14" x14ac:dyDescent="0.3">
      <c r="A220" s="116"/>
      <c r="B220" s="169"/>
      <c r="C220" s="170"/>
      <c r="D220" s="165"/>
      <c r="E220" s="132" t="s">
        <v>52</v>
      </c>
      <c r="F220" s="164" t="s">
        <v>53</v>
      </c>
      <c r="G220" s="173" t="s">
        <v>124</v>
      </c>
      <c r="H220" s="124"/>
      <c r="I220" s="125"/>
      <c r="J220" s="25" t="s">
        <v>57</v>
      </c>
      <c r="K220" s="27" t="e">
        <f t="array" ref="K220">INDEX(TXRESULT!$B$1:$I$1000,MATCH($D$204&amp;J220&amp;$F$220&amp;"OBUE1",TXRESULT!$C$1:$C$1000&amp;TXRESULT!$B$1:$B$1000&amp;TXRESULT!$H$1:$H$1000&amp;TXRESULT!$K$1:$K$1000,0),5)</f>
        <v>#N/A</v>
      </c>
      <c r="L220" s="146"/>
      <c r="M220" s="27" t="e">
        <f>IF(ISBLANK(K220),"",IF(AND(K220*1&lt;-15),"PASS","FAIL"))</f>
        <v>#N/A</v>
      </c>
      <c r="N220" s="27" t="str">
        <f t="shared" si="12"/>
        <v/>
      </c>
    </row>
    <row r="221" spans="1:14" x14ac:dyDescent="0.3">
      <c r="A221" s="116"/>
      <c r="B221" s="169"/>
      <c r="C221" s="170"/>
      <c r="D221" s="165"/>
      <c r="E221" s="119"/>
      <c r="F221" s="165"/>
      <c r="G221" s="126"/>
      <c r="H221" s="127"/>
      <c r="I221" s="128"/>
      <c r="J221" s="25" t="s">
        <v>59</v>
      </c>
      <c r="K221" s="27" t="e">
        <f t="array" ref="K221">INDEX(TXRESULT!$B$1:$I$1000,MATCH($D$204&amp;J221&amp;$F$220&amp;"OBUE1",TXRESULT!$C$1:$C$1000&amp;TXRESULT!$B$1:$B$1000&amp;TXRESULT!$H$1:$H$1000&amp;TXRESULT!$K$1:$K$1000,0),5)</f>
        <v>#N/A</v>
      </c>
      <c r="L221" s="146"/>
      <c r="M221" s="27" t="e">
        <f t="shared" ref="M221:M227" si="17">IF(ISBLANK(K221),"",IF(AND(K221*1&lt;-15),"PASS","FAIL"))</f>
        <v>#N/A</v>
      </c>
      <c r="N221" s="27" t="str">
        <f t="shared" si="12"/>
        <v/>
      </c>
    </row>
    <row r="222" spans="1:14" x14ac:dyDescent="0.3">
      <c r="A222" s="116"/>
      <c r="B222" s="169"/>
      <c r="C222" s="170"/>
      <c r="D222" s="165"/>
      <c r="E222" s="119"/>
      <c r="F222" s="165"/>
      <c r="G222" s="126"/>
      <c r="H222" s="127"/>
      <c r="I222" s="128"/>
      <c r="J222" s="25" t="s">
        <v>60</v>
      </c>
      <c r="K222" s="27" t="e">
        <f t="array" ref="K222">INDEX(TXRESULT!$B$1:$I$1000,MATCH($D$204&amp;J222&amp;$F$220&amp;"OBUE1",TXRESULT!$C$1:$C$1000&amp;TXRESULT!$B$1:$B$1000&amp;TXRESULT!$H$1:$H$1000&amp;TXRESULT!$K$1:$K$1000,0),5)</f>
        <v>#N/A</v>
      </c>
      <c r="L222" s="146"/>
      <c r="M222" s="27" t="e">
        <f t="shared" si="17"/>
        <v>#N/A</v>
      </c>
      <c r="N222" s="27" t="str">
        <f t="shared" si="12"/>
        <v/>
      </c>
    </row>
    <row r="223" spans="1:14" x14ac:dyDescent="0.3">
      <c r="A223" s="116"/>
      <c r="B223" s="169"/>
      <c r="C223" s="170"/>
      <c r="D223" s="165"/>
      <c r="E223" s="119"/>
      <c r="F223" s="165"/>
      <c r="G223" s="126"/>
      <c r="H223" s="127"/>
      <c r="I223" s="128"/>
      <c r="J223" s="25" t="s">
        <v>61</v>
      </c>
      <c r="K223" s="27" t="e">
        <f t="array" ref="K223">INDEX(TXRESULT!$B$1:$I$1000,MATCH($D$204&amp;J223&amp;$F$220&amp;"OBUE1",TXRESULT!$C$1:$C$1000&amp;TXRESULT!$B$1:$B$1000&amp;TXRESULT!$H$1:$H$1000&amp;TXRESULT!$K$1:$K$1000,0),5)</f>
        <v>#N/A</v>
      </c>
      <c r="L223" s="146"/>
      <c r="M223" s="27" t="e">
        <f t="shared" si="17"/>
        <v>#N/A</v>
      </c>
      <c r="N223" s="27" t="str">
        <f t="shared" si="12"/>
        <v/>
      </c>
    </row>
    <row r="224" spans="1:14" x14ac:dyDescent="0.3">
      <c r="A224" s="116"/>
      <c r="B224" s="169"/>
      <c r="C224" s="170"/>
      <c r="D224" s="165"/>
      <c r="E224" s="119"/>
      <c r="F224" s="165"/>
      <c r="G224" s="126"/>
      <c r="H224" s="127"/>
      <c r="I224" s="128"/>
      <c r="J224" s="25" t="s">
        <v>62</v>
      </c>
      <c r="K224" s="27" t="e">
        <f t="array" ref="K224">INDEX(TXRESULT!$B$1:$I$1000,MATCH($D$204&amp;J224&amp;$F$220&amp;"OBUE1",TXRESULT!$C$1:$C$1000&amp;TXRESULT!$B$1:$B$1000&amp;TXRESULT!$H$1:$H$1000&amp;TXRESULT!$K$1:$K$1000,0),5)</f>
        <v>#N/A</v>
      </c>
      <c r="L224" s="146"/>
      <c r="M224" s="27" t="e">
        <f t="shared" si="17"/>
        <v>#N/A</v>
      </c>
      <c r="N224" s="27" t="str">
        <f t="shared" si="12"/>
        <v/>
      </c>
    </row>
    <row r="225" spans="1:14" x14ac:dyDescent="0.3">
      <c r="A225" s="116"/>
      <c r="B225" s="169"/>
      <c r="C225" s="170"/>
      <c r="D225" s="165"/>
      <c r="E225" s="119"/>
      <c r="F225" s="165"/>
      <c r="G225" s="126"/>
      <c r="H225" s="127"/>
      <c r="I225" s="128"/>
      <c r="J225" s="25" t="s">
        <v>63</v>
      </c>
      <c r="K225" s="27" t="e">
        <f t="array" ref="K225">INDEX(TXRESULT!$B$1:$I$1000,MATCH($D$204&amp;J225&amp;$F$220&amp;"OBUE1",TXRESULT!$C$1:$C$1000&amp;TXRESULT!$B$1:$B$1000&amp;TXRESULT!$H$1:$H$1000&amp;TXRESULT!$K$1:$K$1000,0),5)</f>
        <v>#N/A</v>
      </c>
      <c r="L225" s="146"/>
      <c r="M225" s="27" t="e">
        <f t="shared" si="17"/>
        <v>#N/A</v>
      </c>
      <c r="N225" s="27" t="str">
        <f t="shared" si="12"/>
        <v/>
      </c>
    </row>
    <row r="226" spans="1:14" x14ac:dyDescent="0.3">
      <c r="A226" s="116"/>
      <c r="B226" s="169"/>
      <c r="C226" s="170"/>
      <c r="D226" s="165"/>
      <c r="E226" s="119"/>
      <c r="F226" s="165"/>
      <c r="G226" s="126"/>
      <c r="H226" s="127"/>
      <c r="I226" s="128"/>
      <c r="J226" s="25" t="s">
        <v>64</v>
      </c>
      <c r="K226" s="27" t="e">
        <f t="array" ref="K226">INDEX(TXRESULT!$B$1:$I$1000,MATCH($D$204&amp;J226&amp;$F$220&amp;"OBUE1",TXRESULT!$C$1:$C$1000&amp;TXRESULT!$B$1:$B$1000&amp;TXRESULT!$H$1:$H$1000&amp;TXRESULT!$K$1:$K$1000,0),5)</f>
        <v>#N/A</v>
      </c>
      <c r="L226" s="146"/>
      <c r="M226" s="27" t="e">
        <f t="shared" si="17"/>
        <v>#N/A</v>
      </c>
      <c r="N226" s="27" t="str">
        <f t="shared" si="12"/>
        <v/>
      </c>
    </row>
    <row r="227" spans="1:14" x14ac:dyDescent="0.3">
      <c r="A227" s="116"/>
      <c r="B227" s="169"/>
      <c r="C227" s="170"/>
      <c r="D227" s="166"/>
      <c r="E227" s="120"/>
      <c r="F227" s="166"/>
      <c r="G227" s="129"/>
      <c r="H227" s="130"/>
      <c r="I227" s="131"/>
      <c r="J227" s="25" t="s">
        <v>65</v>
      </c>
      <c r="K227" s="27" t="e">
        <f t="array" ref="K227">INDEX(TXRESULT!$B$1:$I$1000,MATCH($D$204&amp;J227&amp;$F$220&amp;"OBUE1",TXRESULT!$C$1:$C$1000&amp;TXRESULT!$B$1:$B$1000&amp;TXRESULT!$H$1:$H$1000&amp;TXRESULT!$K$1:$K$1000,0),5)</f>
        <v>#N/A</v>
      </c>
      <c r="L227" s="146"/>
      <c r="M227" s="27" t="e">
        <f t="shared" si="17"/>
        <v>#N/A</v>
      </c>
      <c r="N227" s="27" t="str">
        <f t="shared" si="12"/>
        <v/>
      </c>
    </row>
    <row r="228" spans="1:14" ht="15.75" customHeight="1" x14ac:dyDescent="0.3">
      <c r="A228" s="116"/>
      <c r="B228" s="169"/>
      <c r="C228" s="170"/>
      <c r="D228" s="164" t="s">
        <v>261</v>
      </c>
      <c r="E228" s="132" t="s">
        <v>52</v>
      </c>
      <c r="F228" s="164" t="s">
        <v>53</v>
      </c>
      <c r="G228" s="123" t="s">
        <v>126</v>
      </c>
      <c r="H228" s="124"/>
      <c r="I228" s="125"/>
      <c r="J228" s="25" t="s">
        <v>57</v>
      </c>
      <c r="K228" s="27" t="e">
        <f t="array" ref="K228">INDEX(TXRESULT!$B$1:$I$1000,MATCH($D$228&amp;J228&amp;$F$228&amp;"SPUR1",TXRESULT!$C$1:$C$1000&amp;TXRESULT!$B$1:$B$1000&amp;TXRESULT!$H$1:$H$1000&amp;TXRESULT!$K$1:$K$1000,0),5)</f>
        <v>#N/A</v>
      </c>
      <c r="L228" s="146"/>
      <c r="M228" s="27" t="e">
        <f>IF(ISBLANK(K228),"",IF(AND(K228*1&lt;-36),"PASS","FAIL"))</f>
        <v>#N/A</v>
      </c>
      <c r="N228" s="27" t="str">
        <f t="shared" si="12"/>
        <v/>
      </c>
    </row>
    <row r="229" spans="1:14" x14ac:dyDescent="0.3">
      <c r="A229" s="116"/>
      <c r="B229" s="169"/>
      <c r="C229" s="170"/>
      <c r="D229" s="165"/>
      <c r="E229" s="119"/>
      <c r="F229" s="165"/>
      <c r="G229" s="126"/>
      <c r="H229" s="127"/>
      <c r="I229" s="128"/>
      <c r="J229" s="25" t="s">
        <v>59</v>
      </c>
      <c r="K229" s="27" t="e">
        <f t="array" ref="K229">INDEX(TXRESULT!$B$1:$I$1000,MATCH($D$228&amp;J229&amp;$F$228&amp;"SPUR1",TXRESULT!$C$1:$C$1000&amp;TXRESULT!$B$1:$B$1000&amp;TXRESULT!$H$1:$H$1000&amp;TXRESULT!$K$1:$K$1000,0),5)</f>
        <v>#N/A</v>
      </c>
      <c r="L229" s="146"/>
      <c r="M229" s="27" t="e">
        <f t="shared" ref="M229:M251" si="18">IF(ISBLANK(K229),"",IF(AND(K229*1&lt;-36),"PASS","FAIL"))</f>
        <v>#N/A</v>
      </c>
      <c r="N229" s="27" t="str">
        <f t="shared" si="12"/>
        <v/>
      </c>
    </row>
    <row r="230" spans="1:14" x14ac:dyDescent="0.3">
      <c r="A230" s="116"/>
      <c r="B230" s="169"/>
      <c r="C230" s="170"/>
      <c r="D230" s="165"/>
      <c r="E230" s="119"/>
      <c r="F230" s="165"/>
      <c r="G230" s="126"/>
      <c r="H230" s="127"/>
      <c r="I230" s="128"/>
      <c r="J230" s="25" t="s">
        <v>60</v>
      </c>
      <c r="K230" s="27" t="e">
        <f t="array" ref="K230">INDEX(TXRESULT!$B$1:$I$1000,MATCH($D$228&amp;J230&amp;$F$228&amp;"SPUR1",TXRESULT!$C$1:$C$1000&amp;TXRESULT!$B$1:$B$1000&amp;TXRESULT!$H$1:$H$1000&amp;TXRESULT!$K$1:$K$1000,0),5)</f>
        <v>#N/A</v>
      </c>
      <c r="L230" s="146"/>
      <c r="M230" s="27" t="e">
        <f t="shared" si="18"/>
        <v>#N/A</v>
      </c>
      <c r="N230" s="27" t="str">
        <f t="shared" si="12"/>
        <v/>
      </c>
    </row>
    <row r="231" spans="1:14" x14ac:dyDescent="0.3">
      <c r="A231" s="116"/>
      <c r="B231" s="169"/>
      <c r="C231" s="170"/>
      <c r="D231" s="165"/>
      <c r="E231" s="119"/>
      <c r="F231" s="165"/>
      <c r="G231" s="126"/>
      <c r="H231" s="127"/>
      <c r="I231" s="128"/>
      <c r="J231" s="25" t="s">
        <v>61</v>
      </c>
      <c r="K231" s="27" t="e">
        <f t="array" ref="K231">INDEX(TXRESULT!$B$1:$I$1000,MATCH($D$228&amp;J231&amp;$F$228&amp;"SPUR1",TXRESULT!$C$1:$C$1000&amp;TXRESULT!$B$1:$B$1000&amp;TXRESULT!$H$1:$H$1000&amp;TXRESULT!$K$1:$K$1000,0),5)</f>
        <v>#N/A</v>
      </c>
      <c r="L231" s="146"/>
      <c r="M231" s="27" t="e">
        <f t="shared" si="18"/>
        <v>#N/A</v>
      </c>
      <c r="N231" s="27" t="str">
        <f t="shared" si="12"/>
        <v/>
      </c>
    </row>
    <row r="232" spans="1:14" x14ac:dyDescent="0.3">
      <c r="A232" s="116"/>
      <c r="B232" s="169"/>
      <c r="C232" s="170"/>
      <c r="D232" s="165"/>
      <c r="E232" s="119"/>
      <c r="F232" s="165"/>
      <c r="G232" s="126"/>
      <c r="H232" s="127"/>
      <c r="I232" s="128"/>
      <c r="J232" s="25" t="s">
        <v>62</v>
      </c>
      <c r="K232" s="27" t="e">
        <f t="array" ref="K232">INDEX(TXRESULT!$B$1:$I$1000,MATCH($D$228&amp;J232&amp;$F$228&amp;"SPUR1",TXRESULT!$C$1:$C$1000&amp;TXRESULT!$B$1:$B$1000&amp;TXRESULT!$H$1:$H$1000&amp;TXRESULT!$K$1:$K$1000,0),5)</f>
        <v>#N/A</v>
      </c>
      <c r="L232" s="146"/>
      <c r="M232" s="27" t="e">
        <f t="shared" si="18"/>
        <v>#N/A</v>
      </c>
      <c r="N232" s="27" t="str">
        <f t="shared" si="12"/>
        <v/>
      </c>
    </row>
    <row r="233" spans="1:14" x14ac:dyDescent="0.3">
      <c r="A233" s="116"/>
      <c r="B233" s="169"/>
      <c r="C233" s="170"/>
      <c r="D233" s="165"/>
      <c r="E233" s="119"/>
      <c r="F233" s="165"/>
      <c r="G233" s="126"/>
      <c r="H233" s="127"/>
      <c r="I233" s="128"/>
      <c r="J233" s="25" t="s">
        <v>63</v>
      </c>
      <c r="K233" s="27" t="e">
        <f t="array" ref="K233">INDEX(TXRESULT!$B$1:$I$1000,MATCH($D$228&amp;J233&amp;$F$228&amp;"SPUR1",TXRESULT!$C$1:$C$1000&amp;TXRESULT!$B$1:$B$1000&amp;TXRESULT!$H$1:$H$1000&amp;TXRESULT!$K$1:$K$1000,0),5)</f>
        <v>#N/A</v>
      </c>
      <c r="L233" s="146"/>
      <c r="M233" s="27" t="e">
        <f t="shared" si="18"/>
        <v>#N/A</v>
      </c>
      <c r="N233" s="27" t="str">
        <f t="shared" si="12"/>
        <v/>
      </c>
    </row>
    <row r="234" spans="1:14" x14ac:dyDescent="0.3">
      <c r="A234" s="116"/>
      <c r="B234" s="169"/>
      <c r="C234" s="170"/>
      <c r="D234" s="165"/>
      <c r="E234" s="119"/>
      <c r="F234" s="165"/>
      <c r="G234" s="126"/>
      <c r="H234" s="127"/>
      <c r="I234" s="128"/>
      <c r="J234" s="25" t="s">
        <v>64</v>
      </c>
      <c r="K234" s="27" t="e">
        <f t="array" ref="K234">INDEX(TXRESULT!$B$1:$I$1000,MATCH($D$228&amp;J234&amp;$F$228&amp;"SPUR1",TXRESULT!$C$1:$C$1000&amp;TXRESULT!$B$1:$B$1000&amp;TXRESULT!$H$1:$H$1000&amp;TXRESULT!$K$1:$K$1000,0),5)</f>
        <v>#N/A</v>
      </c>
      <c r="L234" s="146"/>
      <c r="M234" s="27" t="e">
        <f t="shared" si="18"/>
        <v>#N/A</v>
      </c>
      <c r="N234" s="27" t="str">
        <f t="shared" si="12"/>
        <v/>
      </c>
    </row>
    <row r="235" spans="1:14" x14ac:dyDescent="0.3">
      <c r="A235" s="116"/>
      <c r="B235" s="169"/>
      <c r="C235" s="170"/>
      <c r="D235" s="165"/>
      <c r="E235" s="120"/>
      <c r="F235" s="166"/>
      <c r="G235" s="129"/>
      <c r="H235" s="130"/>
      <c r="I235" s="131"/>
      <c r="J235" s="25" t="s">
        <v>65</v>
      </c>
      <c r="K235" s="27" t="e">
        <f t="array" ref="K235">INDEX(TXRESULT!$B$1:$I$1000,MATCH($D$228&amp;J235&amp;$F$228&amp;"SPUR1",TXRESULT!$C$1:$C$1000&amp;TXRESULT!$B$1:$B$1000&amp;TXRESULT!$H$1:$H$1000&amp;TXRESULT!$K$1:$K$1000,0),5)</f>
        <v>#N/A</v>
      </c>
      <c r="L235" s="146"/>
      <c r="M235" s="27" t="e">
        <f t="shared" si="18"/>
        <v>#N/A</v>
      </c>
      <c r="N235" s="27" t="str">
        <f t="shared" si="12"/>
        <v/>
      </c>
    </row>
    <row r="236" spans="1:14" ht="15.75" customHeight="1" x14ac:dyDescent="0.3">
      <c r="A236" s="116"/>
      <c r="B236" s="169"/>
      <c r="C236" s="170"/>
      <c r="D236" s="165"/>
      <c r="E236" s="132" t="s">
        <v>52</v>
      </c>
      <c r="F236" s="164" t="s">
        <v>53</v>
      </c>
      <c r="G236" s="123" t="s">
        <v>128</v>
      </c>
      <c r="H236" s="124"/>
      <c r="I236" s="125"/>
      <c r="J236" s="25" t="s">
        <v>57</v>
      </c>
      <c r="K236" s="27" t="e">
        <f t="array" ref="K236">INDEX(TXRESULT!$B$1:$I$1000,MATCH($D$228&amp;J236&amp;$F$236&amp;"SPUR2",TXRESULT!$C$1:$C$1000&amp;TXRESULT!$B$1:$B$1000&amp;TXRESULT!$H$1:$H$1000&amp;TXRESULT!$K$1:$K$1000,0),5)</f>
        <v>#N/A</v>
      </c>
      <c r="L236" s="146"/>
      <c r="M236" s="27" t="e">
        <f t="shared" si="18"/>
        <v>#N/A</v>
      </c>
      <c r="N236" s="27" t="str">
        <f t="shared" ref="N236:N267" si="19">IF(ISBLANK(K236),"CHUADO","")</f>
        <v/>
      </c>
    </row>
    <row r="237" spans="1:14" x14ac:dyDescent="0.3">
      <c r="A237" s="116"/>
      <c r="B237" s="169"/>
      <c r="C237" s="170"/>
      <c r="D237" s="165"/>
      <c r="E237" s="119"/>
      <c r="F237" s="165"/>
      <c r="G237" s="126"/>
      <c r="H237" s="127"/>
      <c r="I237" s="128"/>
      <c r="J237" s="25" t="s">
        <v>59</v>
      </c>
      <c r="K237" s="27" t="e">
        <f t="array" ref="K237">INDEX(TXRESULT!$B$1:$I$1000,MATCH($D$228&amp;J237&amp;$F$236&amp;"SPUR2",TXRESULT!$C$1:$C$1000&amp;TXRESULT!$B$1:$B$1000&amp;TXRESULT!$H$1:$H$1000&amp;TXRESULT!$K$1:$K$1000,0),5)</f>
        <v>#N/A</v>
      </c>
      <c r="L237" s="146"/>
      <c r="M237" s="27" t="e">
        <f t="shared" si="18"/>
        <v>#N/A</v>
      </c>
      <c r="N237" s="27" t="str">
        <f t="shared" si="19"/>
        <v/>
      </c>
    </row>
    <row r="238" spans="1:14" x14ac:dyDescent="0.3">
      <c r="A238" s="116"/>
      <c r="B238" s="169"/>
      <c r="C238" s="170"/>
      <c r="D238" s="165"/>
      <c r="E238" s="119"/>
      <c r="F238" s="165"/>
      <c r="G238" s="126"/>
      <c r="H238" s="127"/>
      <c r="I238" s="128"/>
      <c r="J238" s="25" t="s">
        <v>60</v>
      </c>
      <c r="K238" s="27" t="e">
        <f t="array" ref="K238">INDEX(TXRESULT!$B$1:$I$1000,MATCH($D$228&amp;J238&amp;$F$236&amp;"SPUR2",TXRESULT!$C$1:$C$1000&amp;TXRESULT!$B$1:$B$1000&amp;TXRESULT!$H$1:$H$1000&amp;TXRESULT!$K$1:$K$1000,0),5)</f>
        <v>#N/A</v>
      </c>
      <c r="L238" s="146"/>
      <c r="M238" s="27" t="e">
        <f t="shared" si="18"/>
        <v>#N/A</v>
      </c>
      <c r="N238" s="27" t="str">
        <f t="shared" si="19"/>
        <v/>
      </c>
    </row>
    <row r="239" spans="1:14" x14ac:dyDescent="0.3">
      <c r="A239" s="116"/>
      <c r="B239" s="169"/>
      <c r="C239" s="170"/>
      <c r="D239" s="165"/>
      <c r="E239" s="119"/>
      <c r="F239" s="165"/>
      <c r="G239" s="126"/>
      <c r="H239" s="127"/>
      <c r="I239" s="128"/>
      <c r="J239" s="25" t="s">
        <v>61</v>
      </c>
      <c r="K239" s="27" t="e">
        <f t="array" ref="K239">INDEX(TXRESULT!$B$1:$I$1000,MATCH($D$228&amp;J239&amp;$F$236&amp;"SPUR2",TXRESULT!$C$1:$C$1000&amp;TXRESULT!$B$1:$B$1000&amp;TXRESULT!$H$1:$H$1000&amp;TXRESULT!$K$1:$K$1000,0),5)</f>
        <v>#N/A</v>
      </c>
      <c r="L239" s="146"/>
      <c r="M239" s="27" t="e">
        <f t="shared" si="18"/>
        <v>#N/A</v>
      </c>
      <c r="N239" s="27" t="str">
        <f t="shared" si="19"/>
        <v/>
      </c>
    </row>
    <row r="240" spans="1:14" x14ac:dyDescent="0.3">
      <c r="A240" s="116"/>
      <c r="B240" s="169"/>
      <c r="C240" s="170"/>
      <c r="D240" s="165"/>
      <c r="E240" s="119"/>
      <c r="F240" s="165"/>
      <c r="G240" s="126"/>
      <c r="H240" s="127"/>
      <c r="I240" s="128"/>
      <c r="J240" s="25" t="s">
        <v>62</v>
      </c>
      <c r="K240" s="27" t="e">
        <f t="array" ref="K240">INDEX(TXRESULT!$B$1:$I$1000,MATCH($D$228&amp;J240&amp;$F$236&amp;"SPUR2",TXRESULT!$C$1:$C$1000&amp;TXRESULT!$B$1:$B$1000&amp;TXRESULT!$H$1:$H$1000&amp;TXRESULT!$K$1:$K$1000,0),5)</f>
        <v>#N/A</v>
      </c>
      <c r="L240" s="146"/>
      <c r="M240" s="27" t="e">
        <f t="shared" si="18"/>
        <v>#N/A</v>
      </c>
      <c r="N240" s="27" t="str">
        <f t="shared" si="19"/>
        <v/>
      </c>
    </row>
    <row r="241" spans="1:14" x14ac:dyDescent="0.3">
      <c r="A241" s="116"/>
      <c r="B241" s="169"/>
      <c r="C241" s="170"/>
      <c r="D241" s="165"/>
      <c r="E241" s="119"/>
      <c r="F241" s="165"/>
      <c r="G241" s="126"/>
      <c r="H241" s="127"/>
      <c r="I241" s="128"/>
      <c r="J241" s="25" t="s">
        <v>63</v>
      </c>
      <c r="K241" s="27" t="e">
        <f t="array" ref="K241">INDEX(TXRESULT!$B$1:$I$1000,MATCH($D$228&amp;J241&amp;$F$236&amp;"SPUR2",TXRESULT!$C$1:$C$1000&amp;TXRESULT!$B$1:$B$1000&amp;TXRESULT!$H$1:$H$1000&amp;TXRESULT!$K$1:$K$1000,0),5)</f>
        <v>#N/A</v>
      </c>
      <c r="L241" s="146"/>
      <c r="M241" s="27" t="e">
        <f t="shared" si="18"/>
        <v>#N/A</v>
      </c>
      <c r="N241" s="27" t="str">
        <f t="shared" si="19"/>
        <v/>
      </c>
    </row>
    <row r="242" spans="1:14" x14ac:dyDescent="0.3">
      <c r="A242" s="116"/>
      <c r="B242" s="169"/>
      <c r="C242" s="170"/>
      <c r="D242" s="165"/>
      <c r="E242" s="119"/>
      <c r="F242" s="165"/>
      <c r="G242" s="126"/>
      <c r="H242" s="127"/>
      <c r="I242" s="128"/>
      <c r="J242" s="25" t="s">
        <v>64</v>
      </c>
      <c r="K242" s="27" t="e">
        <f t="array" ref="K242">INDEX(TXRESULT!$B$1:$I$1000,MATCH($D$228&amp;J242&amp;$F$236&amp;"SPUR2",TXRESULT!$C$1:$C$1000&amp;TXRESULT!$B$1:$B$1000&amp;TXRESULT!$H$1:$H$1000&amp;TXRESULT!$K$1:$K$1000,0),5)</f>
        <v>#N/A</v>
      </c>
      <c r="L242" s="146"/>
      <c r="M242" s="27" t="e">
        <f t="shared" si="18"/>
        <v>#N/A</v>
      </c>
      <c r="N242" s="27" t="str">
        <f t="shared" si="19"/>
        <v/>
      </c>
    </row>
    <row r="243" spans="1:14" x14ac:dyDescent="0.3">
      <c r="A243" s="116"/>
      <c r="B243" s="169"/>
      <c r="C243" s="170"/>
      <c r="D243" s="165"/>
      <c r="E243" s="120"/>
      <c r="F243" s="166"/>
      <c r="G243" s="129"/>
      <c r="H243" s="130"/>
      <c r="I243" s="131"/>
      <c r="J243" s="25" t="s">
        <v>65</v>
      </c>
      <c r="K243" s="27" t="e">
        <f t="array" ref="K243">INDEX(TXRESULT!$B$1:$I$1000,MATCH($D$228&amp;J243&amp;$F$236&amp;"SPUR2",TXRESULT!$C$1:$C$1000&amp;TXRESULT!$B$1:$B$1000&amp;TXRESULT!$H$1:$H$1000&amp;TXRESULT!$K$1:$K$1000,0),5)</f>
        <v>#N/A</v>
      </c>
      <c r="L243" s="146"/>
      <c r="M243" s="27" t="e">
        <f t="shared" si="18"/>
        <v>#N/A</v>
      </c>
      <c r="N243" s="27" t="str">
        <f t="shared" si="19"/>
        <v/>
      </c>
    </row>
    <row r="244" spans="1:14" ht="15.75" customHeight="1" x14ac:dyDescent="0.3">
      <c r="A244" s="116"/>
      <c r="B244" s="169"/>
      <c r="C244" s="170"/>
      <c r="D244" s="165"/>
      <c r="E244" s="132" t="s">
        <v>52</v>
      </c>
      <c r="F244" s="164" t="s">
        <v>53</v>
      </c>
      <c r="G244" s="123" t="s">
        <v>129</v>
      </c>
      <c r="H244" s="124"/>
      <c r="I244" s="125"/>
      <c r="J244" s="25" t="s">
        <v>57</v>
      </c>
      <c r="K244" s="27" t="e">
        <f t="array" ref="K244">INDEX(TXRESULT!$B$1:$I$1000,MATCH($D$228&amp;J244&amp;$F$244&amp;"SPUR3",TXRESULT!$C$1:$C$1000&amp;TXRESULT!$B$1:$B$1000&amp;TXRESULT!$H$1:$H$1000&amp;TXRESULT!$K$1:$K$1000,0),5)</f>
        <v>#N/A</v>
      </c>
      <c r="L244" s="146"/>
      <c r="M244" s="27" t="e">
        <f t="shared" si="18"/>
        <v>#N/A</v>
      </c>
      <c r="N244" s="27" t="str">
        <f t="shared" si="19"/>
        <v/>
      </c>
    </row>
    <row r="245" spans="1:14" x14ac:dyDescent="0.3">
      <c r="A245" s="116"/>
      <c r="B245" s="169"/>
      <c r="C245" s="170"/>
      <c r="D245" s="165"/>
      <c r="E245" s="119"/>
      <c r="F245" s="165"/>
      <c r="G245" s="126"/>
      <c r="H245" s="127"/>
      <c r="I245" s="128"/>
      <c r="J245" s="25" t="s">
        <v>59</v>
      </c>
      <c r="K245" s="27" t="e">
        <f t="array" ref="K245">INDEX(TXRESULT!$B$1:$I$1000,MATCH($D$228&amp;J245&amp;$F$244&amp;"SPUR3",TXRESULT!$C$1:$C$1000&amp;TXRESULT!$B$1:$B$1000&amp;TXRESULT!$H$1:$H$1000&amp;TXRESULT!$K$1:$K$1000,0),5)</f>
        <v>#N/A</v>
      </c>
      <c r="L245" s="146"/>
      <c r="M245" s="27" t="e">
        <f t="shared" si="18"/>
        <v>#N/A</v>
      </c>
      <c r="N245" s="27" t="str">
        <f t="shared" si="19"/>
        <v/>
      </c>
    </row>
    <row r="246" spans="1:14" x14ac:dyDescent="0.3">
      <c r="A246" s="116"/>
      <c r="B246" s="169"/>
      <c r="C246" s="170"/>
      <c r="D246" s="165"/>
      <c r="E246" s="119"/>
      <c r="F246" s="165"/>
      <c r="G246" s="126"/>
      <c r="H246" s="127"/>
      <c r="I246" s="128"/>
      <c r="J246" s="25" t="s">
        <v>60</v>
      </c>
      <c r="K246" s="27" t="e">
        <f t="array" ref="K246">INDEX(TXRESULT!$B$1:$I$1000,MATCH($D$228&amp;J246&amp;$F$244&amp;"SPUR3",TXRESULT!$C$1:$C$1000&amp;TXRESULT!$B$1:$B$1000&amp;TXRESULT!$H$1:$H$1000&amp;TXRESULT!$K$1:$K$1000,0),5)</f>
        <v>#N/A</v>
      </c>
      <c r="L246" s="146"/>
      <c r="M246" s="27" t="e">
        <f t="shared" si="18"/>
        <v>#N/A</v>
      </c>
      <c r="N246" s="27" t="str">
        <f t="shared" si="19"/>
        <v/>
      </c>
    </row>
    <row r="247" spans="1:14" x14ac:dyDescent="0.3">
      <c r="A247" s="116"/>
      <c r="B247" s="169"/>
      <c r="C247" s="170"/>
      <c r="D247" s="165"/>
      <c r="E247" s="119"/>
      <c r="F247" s="165"/>
      <c r="G247" s="126"/>
      <c r="H247" s="127"/>
      <c r="I247" s="128"/>
      <c r="J247" s="25" t="s">
        <v>61</v>
      </c>
      <c r="K247" s="27" t="e">
        <f t="array" ref="K247">INDEX(TXRESULT!$B$1:$I$1000,MATCH($D$228&amp;J247&amp;$F$244&amp;"SPUR3",TXRESULT!$C$1:$C$1000&amp;TXRESULT!$B$1:$B$1000&amp;TXRESULT!$H$1:$H$1000&amp;TXRESULT!$K$1:$K$1000,0),5)</f>
        <v>#N/A</v>
      </c>
      <c r="L247" s="146"/>
      <c r="M247" s="27" t="e">
        <f t="shared" si="18"/>
        <v>#N/A</v>
      </c>
      <c r="N247" s="27" t="str">
        <f t="shared" si="19"/>
        <v/>
      </c>
    </row>
    <row r="248" spans="1:14" x14ac:dyDescent="0.3">
      <c r="A248" s="116"/>
      <c r="B248" s="169"/>
      <c r="C248" s="170"/>
      <c r="D248" s="165"/>
      <c r="E248" s="119"/>
      <c r="F248" s="165"/>
      <c r="G248" s="126"/>
      <c r="H248" s="127"/>
      <c r="I248" s="128"/>
      <c r="J248" s="25" t="s">
        <v>62</v>
      </c>
      <c r="K248" s="27" t="e">
        <f t="array" ref="K248">INDEX(TXRESULT!$B$1:$I$1000,MATCH($D$228&amp;J248&amp;$F$244&amp;"SPUR3",TXRESULT!$C$1:$C$1000&amp;TXRESULT!$B$1:$B$1000&amp;TXRESULT!$H$1:$H$1000&amp;TXRESULT!$K$1:$K$1000,0),5)</f>
        <v>#N/A</v>
      </c>
      <c r="L248" s="146"/>
      <c r="M248" s="27" t="e">
        <f t="shared" si="18"/>
        <v>#N/A</v>
      </c>
      <c r="N248" s="27" t="str">
        <f t="shared" si="19"/>
        <v/>
      </c>
    </row>
    <row r="249" spans="1:14" x14ac:dyDescent="0.3">
      <c r="A249" s="116"/>
      <c r="B249" s="169"/>
      <c r="C249" s="170"/>
      <c r="D249" s="165"/>
      <c r="E249" s="119"/>
      <c r="F249" s="165"/>
      <c r="G249" s="126"/>
      <c r="H249" s="127"/>
      <c r="I249" s="128"/>
      <c r="J249" s="25" t="s">
        <v>63</v>
      </c>
      <c r="K249" s="27" t="e">
        <f t="array" ref="K249">INDEX(TXRESULT!$B$1:$I$1000,MATCH($D$228&amp;J249&amp;$F$244&amp;"SPUR3",TXRESULT!$C$1:$C$1000&amp;TXRESULT!$B$1:$B$1000&amp;TXRESULT!$H$1:$H$1000&amp;TXRESULT!$K$1:$K$1000,0),5)</f>
        <v>#N/A</v>
      </c>
      <c r="L249" s="146"/>
      <c r="M249" s="27" t="e">
        <f t="shared" si="18"/>
        <v>#N/A</v>
      </c>
      <c r="N249" s="27" t="str">
        <f t="shared" si="19"/>
        <v/>
      </c>
    </row>
    <row r="250" spans="1:14" x14ac:dyDescent="0.3">
      <c r="A250" s="116"/>
      <c r="B250" s="169"/>
      <c r="C250" s="170"/>
      <c r="D250" s="165"/>
      <c r="E250" s="119"/>
      <c r="F250" s="165"/>
      <c r="G250" s="126"/>
      <c r="H250" s="127"/>
      <c r="I250" s="128"/>
      <c r="J250" s="25" t="s">
        <v>64</v>
      </c>
      <c r="K250" s="27" t="e">
        <f t="array" ref="K250">INDEX(TXRESULT!$B$1:$I$1000,MATCH($D$228&amp;J250&amp;$F$244&amp;"SPUR3",TXRESULT!$C$1:$C$1000&amp;TXRESULT!$B$1:$B$1000&amp;TXRESULT!$H$1:$H$1000&amp;TXRESULT!$K$1:$K$1000,0),5)</f>
        <v>#N/A</v>
      </c>
      <c r="L250" s="146"/>
      <c r="M250" s="27" t="e">
        <f t="shared" si="18"/>
        <v>#N/A</v>
      </c>
      <c r="N250" s="27" t="str">
        <f t="shared" si="19"/>
        <v/>
      </c>
    </row>
    <row r="251" spans="1:14" x14ac:dyDescent="0.3">
      <c r="A251" s="116"/>
      <c r="B251" s="169"/>
      <c r="C251" s="170"/>
      <c r="D251" s="165"/>
      <c r="E251" s="120"/>
      <c r="F251" s="166"/>
      <c r="G251" s="129"/>
      <c r="H251" s="130"/>
      <c r="I251" s="131"/>
      <c r="J251" s="25" t="s">
        <v>65</v>
      </c>
      <c r="K251" s="27" t="e">
        <f t="array" ref="K251">INDEX(TXRESULT!$B$1:$I$1000,MATCH($D$228&amp;J251&amp;$F$244&amp;"SPUR3",TXRESULT!$C$1:$C$1000&amp;TXRESULT!$B$1:$B$1000&amp;TXRESULT!$H$1:$H$1000&amp;TXRESULT!$K$1:$K$1000,0),5)</f>
        <v>#N/A</v>
      </c>
      <c r="L251" s="146"/>
      <c r="M251" s="27" t="e">
        <f t="shared" si="18"/>
        <v>#N/A</v>
      </c>
      <c r="N251" s="27" t="str">
        <f t="shared" si="19"/>
        <v/>
      </c>
    </row>
    <row r="252" spans="1:14" ht="15.75" customHeight="1" x14ac:dyDescent="0.3">
      <c r="A252" s="116"/>
      <c r="B252" s="169"/>
      <c r="C252" s="170"/>
      <c r="D252" s="165"/>
      <c r="E252" s="132" t="s">
        <v>52</v>
      </c>
      <c r="F252" s="164" t="s">
        <v>53</v>
      </c>
      <c r="G252" s="123" t="s">
        <v>130</v>
      </c>
      <c r="H252" s="124"/>
      <c r="I252" s="125"/>
      <c r="J252" s="25" t="s">
        <v>57</v>
      </c>
      <c r="K252" s="27" t="e">
        <f t="array" ref="K252">INDEX(TXRESULT!$B$1:$I$1000,MATCH($D$228&amp;J252&amp;$F$252&amp;"SPUR4",TXRESULT!$C$1:$C$1000&amp;TXRESULT!$B$1:$B$1000&amp;TXRESULT!$H$1:$H$1000&amp;TXRESULT!$K$1:$K$1000,0),5)</f>
        <v>#N/A</v>
      </c>
      <c r="L252" s="146"/>
      <c r="M252" s="27" t="e">
        <f>IF(ISBLANK(K252),"",IF(AND(K252*1&lt;-30),"PASS","FAIL"))</f>
        <v>#N/A</v>
      </c>
      <c r="N252" s="27" t="str">
        <f t="shared" si="19"/>
        <v/>
      </c>
    </row>
    <row r="253" spans="1:14" x14ac:dyDescent="0.3">
      <c r="A253" s="116"/>
      <c r="B253" s="169"/>
      <c r="C253" s="170"/>
      <c r="D253" s="165"/>
      <c r="E253" s="119"/>
      <c r="F253" s="165"/>
      <c r="G253" s="126"/>
      <c r="H253" s="127"/>
      <c r="I253" s="128"/>
      <c r="J253" s="25" t="s">
        <v>59</v>
      </c>
      <c r="K253" s="27" t="e">
        <f t="array" ref="K253">INDEX(TXRESULT!$B$1:$I$1000,MATCH($D$228&amp;J253&amp;$F$252&amp;"SPUR4",TXRESULT!$C$1:$C$1000&amp;TXRESULT!$B$1:$B$1000&amp;TXRESULT!$H$1:$H$1000&amp;TXRESULT!$K$1:$K$1000,0),5)</f>
        <v>#N/A</v>
      </c>
      <c r="L253" s="146"/>
      <c r="M253" s="27" t="e">
        <f t="shared" ref="M253:M267" si="20">IF(ISBLANK(K253),"",IF(AND(K253*1&lt;-30),"PASS","FAIL"))</f>
        <v>#N/A</v>
      </c>
      <c r="N253" s="27" t="str">
        <f t="shared" si="19"/>
        <v/>
      </c>
    </row>
    <row r="254" spans="1:14" x14ac:dyDescent="0.3">
      <c r="A254" s="116"/>
      <c r="B254" s="169"/>
      <c r="C254" s="170"/>
      <c r="D254" s="165"/>
      <c r="E254" s="119"/>
      <c r="F254" s="165"/>
      <c r="G254" s="126"/>
      <c r="H254" s="127"/>
      <c r="I254" s="128"/>
      <c r="J254" s="25" t="s">
        <v>60</v>
      </c>
      <c r="K254" s="27" t="e">
        <f t="array" ref="K254">INDEX(TXRESULT!$B$1:$I$1000,MATCH($D$228&amp;J254&amp;$F$252&amp;"SPUR4",TXRESULT!$C$1:$C$1000&amp;TXRESULT!$B$1:$B$1000&amp;TXRESULT!$H$1:$H$1000&amp;TXRESULT!$K$1:$K$1000,0),5)</f>
        <v>#N/A</v>
      </c>
      <c r="L254" s="146"/>
      <c r="M254" s="27" t="e">
        <f t="shared" si="20"/>
        <v>#N/A</v>
      </c>
      <c r="N254" s="27" t="str">
        <f t="shared" si="19"/>
        <v/>
      </c>
    </row>
    <row r="255" spans="1:14" x14ac:dyDescent="0.3">
      <c r="A255" s="116"/>
      <c r="B255" s="169"/>
      <c r="C255" s="170"/>
      <c r="D255" s="165"/>
      <c r="E255" s="119"/>
      <c r="F255" s="165"/>
      <c r="G255" s="126"/>
      <c r="H255" s="127"/>
      <c r="I255" s="128"/>
      <c r="J255" s="25" t="s">
        <v>61</v>
      </c>
      <c r="K255" s="27" t="e">
        <f t="array" ref="K255">INDEX(TXRESULT!$B$1:$I$1000,MATCH($D$228&amp;J255&amp;$F$252&amp;"SPUR4",TXRESULT!$C$1:$C$1000&amp;TXRESULT!$B$1:$B$1000&amp;TXRESULT!$H$1:$H$1000&amp;TXRESULT!$K$1:$K$1000,0),5)</f>
        <v>#N/A</v>
      </c>
      <c r="L255" s="146"/>
      <c r="M255" s="27" t="e">
        <f t="shared" si="20"/>
        <v>#N/A</v>
      </c>
      <c r="N255" s="27" t="str">
        <f t="shared" si="19"/>
        <v/>
      </c>
    </row>
    <row r="256" spans="1:14" x14ac:dyDescent="0.3">
      <c r="A256" s="116"/>
      <c r="B256" s="169"/>
      <c r="C256" s="170"/>
      <c r="D256" s="165"/>
      <c r="E256" s="119"/>
      <c r="F256" s="165"/>
      <c r="G256" s="126"/>
      <c r="H256" s="127"/>
      <c r="I256" s="128"/>
      <c r="J256" s="25" t="s">
        <v>62</v>
      </c>
      <c r="K256" s="27" t="e">
        <f t="array" ref="K256">INDEX(TXRESULT!$B$1:$I$1000,MATCH($D$228&amp;J256&amp;$F$252&amp;"SPUR4",TXRESULT!$C$1:$C$1000&amp;TXRESULT!$B$1:$B$1000&amp;TXRESULT!$H$1:$H$1000&amp;TXRESULT!$K$1:$K$1000,0),5)</f>
        <v>#N/A</v>
      </c>
      <c r="L256" s="146"/>
      <c r="M256" s="27" t="e">
        <f t="shared" si="20"/>
        <v>#N/A</v>
      </c>
      <c r="N256" s="27" t="str">
        <f t="shared" si="19"/>
        <v/>
      </c>
    </row>
    <row r="257" spans="1:14" x14ac:dyDescent="0.3">
      <c r="A257" s="116"/>
      <c r="B257" s="169"/>
      <c r="C257" s="170"/>
      <c r="D257" s="165"/>
      <c r="E257" s="119"/>
      <c r="F257" s="165"/>
      <c r="G257" s="126"/>
      <c r="H257" s="127"/>
      <c r="I257" s="128"/>
      <c r="J257" s="25" t="s">
        <v>63</v>
      </c>
      <c r="K257" s="27" t="e">
        <f t="array" ref="K257">INDEX(TXRESULT!$B$1:$I$1000,MATCH($D$228&amp;J257&amp;$F$252&amp;"SPUR4",TXRESULT!$C$1:$C$1000&amp;TXRESULT!$B$1:$B$1000&amp;TXRESULT!$H$1:$H$1000&amp;TXRESULT!$K$1:$K$1000,0),5)</f>
        <v>#N/A</v>
      </c>
      <c r="L257" s="146"/>
      <c r="M257" s="27" t="e">
        <f t="shared" si="20"/>
        <v>#N/A</v>
      </c>
      <c r="N257" s="27" t="str">
        <f t="shared" si="19"/>
        <v/>
      </c>
    </row>
    <row r="258" spans="1:14" x14ac:dyDescent="0.3">
      <c r="A258" s="116"/>
      <c r="B258" s="169"/>
      <c r="C258" s="170"/>
      <c r="D258" s="165"/>
      <c r="E258" s="119"/>
      <c r="F258" s="165"/>
      <c r="G258" s="126"/>
      <c r="H258" s="127"/>
      <c r="I258" s="128"/>
      <c r="J258" s="25" t="s">
        <v>64</v>
      </c>
      <c r="K258" s="27" t="e">
        <f t="array" ref="K258">INDEX(TXRESULT!$B$1:$I$1000,MATCH($D$228&amp;J258&amp;$F$252&amp;"SPUR4",TXRESULT!$C$1:$C$1000&amp;TXRESULT!$B$1:$B$1000&amp;TXRESULT!$H$1:$H$1000&amp;TXRESULT!$K$1:$K$1000,0),5)</f>
        <v>#N/A</v>
      </c>
      <c r="L258" s="146"/>
      <c r="M258" s="27" t="e">
        <f t="shared" si="20"/>
        <v>#N/A</v>
      </c>
      <c r="N258" s="27" t="str">
        <f t="shared" si="19"/>
        <v/>
      </c>
    </row>
    <row r="259" spans="1:14" x14ac:dyDescent="0.3">
      <c r="A259" s="116"/>
      <c r="B259" s="169"/>
      <c r="C259" s="170"/>
      <c r="D259" s="165"/>
      <c r="E259" s="120"/>
      <c r="F259" s="166"/>
      <c r="G259" s="129"/>
      <c r="H259" s="130"/>
      <c r="I259" s="131"/>
      <c r="J259" s="25" t="s">
        <v>65</v>
      </c>
      <c r="K259" s="27" t="e">
        <f t="array" ref="K259">INDEX(TXRESULT!$B$1:$I$1000,MATCH($D$228&amp;J259&amp;$F$252&amp;"SPUR4",TXRESULT!$C$1:$C$1000&amp;TXRESULT!$B$1:$B$1000&amp;TXRESULT!$H$1:$H$1000&amp;TXRESULT!$K$1:$K$1000,0),5)</f>
        <v>#N/A</v>
      </c>
      <c r="L259" s="146"/>
      <c r="M259" s="27" t="e">
        <f t="shared" si="20"/>
        <v>#N/A</v>
      </c>
      <c r="N259" s="27" t="str">
        <f t="shared" si="19"/>
        <v/>
      </c>
    </row>
    <row r="260" spans="1:14" ht="15.75" customHeight="1" x14ac:dyDescent="0.3">
      <c r="A260" s="116"/>
      <c r="B260" s="169"/>
      <c r="C260" s="170"/>
      <c r="D260" s="165"/>
      <c r="E260" s="132" t="s">
        <v>52</v>
      </c>
      <c r="F260" s="164" t="s">
        <v>53</v>
      </c>
      <c r="G260" s="123" t="s">
        <v>131</v>
      </c>
      <c r="H260" s="124"/>
      <c r="I260" s="125"/>
      <c r="J260" s="25" t="s">
        <v>57</v>
      </c>
      <c r="K260" s="27" t="e">
        <f t="array" ref="K260">INDEX(TXRESULT!$B$1:$I$1000,MATCH($D$228&amp;J260&amp;$F$260&amp;"SPUR5",TXRESULT!$C$1:$C$1000&amp;TXRESULT!$B$1:$B$1000&amp;TXRESULT!$H$1:$H$1000&amp;TXRESULT!$K$1:$K$1000,0),5)</f>
        <v>#N/A</v>
      </c>
      <c r="L260" s="146"/>
      <c r="M260" s="27" t="e">
        <f t="shared" si="20"/>
        <v>#N/A</v>
      </c>
      <c r="N260" s="27" t="str">
        <f t="shared" si="19"/>
        <v/>
      </c>
    </row>
    <row r="261" spans="1:14" x14ac:dyDescent="0.3">
      <c r="A261" s="116"/>
      <c r="B261" s="169"/>
      <c r="C261" s="170"/>
      <c r="D261" s="165"/>
      <c r="E261" s="119"/>
      <c r="F261" s="165"/>
      <c r="G261" s="126"/>
      <c r="H261" s="127"/>
      <c r="I261" s="128"/>
      <c r="J261" s="25" t="s">
        <v>59</v>
      </c>
      <c r="K261" s="27" t="e">
        <f t="array" ref="K261">INDEX(TXRESULT!$B$1:$I$1000,MATCH($D$228&amp;J261&amp;$F$260&amp;"SPUR5",TXRESULT!$C$1:$C$1000&amp;TXRESULT!$B$1:$B$1000&amp;TXRESULT!$H$1:$H$1000&amp;TXRESULT!$K$1:$K$1000,0),5)</f>
        <v>#N/A</v>
      </c>
      <c r="L261" s="146"/>
      <c r="M261" s="27" t="e">
        <f t="shared" si="20"/>
        <v>#N/A</v>
      </c>
      <c r="N261" s="27" t="str">
        <f t="shared" si="19"/>
        <v/>
      </c>
    </row>
    <row r="262" spans="1:14" x14ac:dyDescent="0.3">
      <c r="A262" s="116"/>
      <c r="B262" s="169"/>
      <c r="C262" s="170"/>
      <c r="D262" s="165"/>
      <c r="E262" s="119"/>
      <c r="F262" s="165"/>
      <c r="G262" s="126"/>
      <c r="H262" s="127"/>
      <c r="I262" s="128"/>
      <c r="J262" s="25" t="s">
        <v>60</v>
      </c>
      <c r="K262" s="27" t="e">
        <f t="array" ref="K262">INDEX(TXRESULT!$B$1:$I$1000,MATCH($D$228&amp;J262&amp;$F$260&amp;"SPUR5",TXRESULT!$C$1:$C$1000&amp;TXRESULT!$B$1:$B$1000&amp;TXRESULT!$H$1:$H$1000&amp;TXRESULT!$K$1:$K$1000,0),5)</f>
        <v>#N/A</v>
      </c>
      <c r="L262" s="146"/>
      <c r="M262" s="27" t="e">
        <f t="shared" si="20"/>
        <v>#N/A</v>
      </c>
      <c r="N262" s="27" t="str">
        <f t="shared" si="19"/>
        <v/>
      </c>
    </row>
    <row r="263" spans="1:14" x14ac:dyDescent="0.3">
      <c r="A263" s="116"/>
      <c r="B263" s="169"/>
      <c r="C263" s="170"/>
      <c r="D263" s="165"/>
      <c r="E263" s="119"/>
      <c r="F263" s="165"/>
      <c r="G263" s="126"/>
      <c r="H263" s="127"/>
      <c r="I263" s="128"/>
      <c r="J263" s="25" t="s">
        <v>61</v>
      </c>
      <c r="K263" s="27" t="e">
        <f t="array" ref="K263">INDEX(TXRESULT!$B$1:$I$1000,MATCH($D$228&amp;J263&amp;$F$260&amp;"SPUR5",TXRESULT!$C$1:$C$1000&amp;TXRESULT!$B$1:$B$1000&amp;TXRESULT!$H$1:$H$1000&amp;TXRESULT!$K$1:$K$1000,0),5)</f>
        <v>#N/A</v>
      </c>
      <c r="L263" s="146"/>
      <c r="M263" s="27" t="e">
        <f t="shared" si="20"/>
        <v>#N/A</v>
      </c>
      <c r="N263" s="27" t="str">
        <f t="shared" si="19"/>
        <v/>
      </c>
    </row>
    <row r="264" spans="1:14" x14ac:dyDescent="0.3">
      <c r="A264" s="116"/>
      <c r="B264" s="169"/>
      <c r="C264" s="170"/>
      <c r="D264" s="165"/>
      <c r="E264" s="119"/>
      <c r="F264" s="165"/>
      <c r="G264" s="126"/>
      <c r="H264" s="127"/>
      <c r="I264" s="128"/>
      <c r="J264" s="25" t="s">
        <v>62</v>
      </c>
      <c r="K264" s="27" t="e">
        <f t="array" ref="K264">INDEX(TXRESULT!$B$1:$I$1000,MATCH($D$228&amp;J264&amp;$F$260&amp;"SPUR5",TXRESULT!$C$1:$C$1000&amp;TXRESULT!$B$1:$B$1000&amp;TXRESULT!$H$1:$H$1000&amp;TXRESULT!$K$1:$K$1000,0),5)</f>
        <v>#N/A</v>
      </c>
      <c r="L264" s="146"/>
      <c r="M264" s="27" t="e">
        <f t="shared" si="20"/>
        <v>#N/A</v>
      </c>
      <c r="N264" s="27" t="str">
        <f t="shared" si="19"/>
        <v/>
      </c>
    </row>
    <row r="265" spans="1:14" x14ac:dyDescent="0.3">
      <c r="A265" s="116"/>
      <c r="B265" s="169"/>
      <c r="C265" s="170"/>
      <c r="D265" s="165"/>
      <c r="E265" s="119"/>
      <c r="F265" s="165"/>
      <c r="G265" s="126"/>
      <c r="H265" s="127"/>
      <c r="I265" s="128"/>
      <c r="J265" s="25" t="s">
        <v>63</v>
      </c>
      <c r="K265" s="27" t="e">
        <f t="array" ref="K265">INDEX(TXRESULT!$B$1:$I$1000,MATCH($D$228&amp;J265&amp;$F$260&amp;"SPUR5",TXRESULT!$C$1:$C$1000&amp;TXRESULT!$B$1:$B$1000&amp;TXRESULT!$H$1:$H$1000&amp;TXRESULT!$K$1:$K$1000,0),5)</f>
        <v>#N/A</v>
      </c>
      <c r="L265" s="146"/>
      <c r="M265" s="27" t="e">
        <f t="shared" si="20"/>
        <v>#N/A</v>
      </c>
      <c r="N265" s="27" t="str">
        <f t="shared" si="19"/>
        <v/>
      </c>
    </row>
    <row r="266" spans="1:14" x14ac:dyDescent="0.3">
      <c r="A266" s="116"/>
      <c r="B266" s="169"/>
      <c r="C266" s="170"/>
      <c r="D266" s="165"/>
      <c r="E266" s="119"/>
      <c r="F266" s="165"/>
      <c r="G266" s="126"/>
      <c r="H266" s="127"/>
      <c r="I266" s="128"/>
      <c r="J266" s="25" t="s">
        <v>64</v>
      </c>
      <c r="K266" s="27" t="e">
        <f t="array" ref="K266">INDEX(TXRESULT!$B$1:$I$1000,MATCH($D$228&amp;J266&amp;$F$260&amp;"SPUR5",TXRESULT!$C$1:$C$1000&amp;TXRESULT!$B$1:$B$1000&amp;TXRESULT!$H$1:$H$1000&amp;TXRESULT!$K$1:$K$1000,0),5)</f>
        <v>#N/A</v>
      </c>
      <c r="L266" s="146"/>
      <c r="M266" s="27" t="e">
        <f t="shared" si="20"/>
        <v>#N/A</v>
      </c>
      <c r="N266" s="27" t="str">
        <f t="shared" si="19"/>
        <v/>
      </c>
    </row>
    <row r="267" spans="1:14" x14ac:dyDescent="0.3">
      <c r="A267" s="117"/>
      <c r="B267" s="171"/>
      <c r="C267" s="172"/>
      <c r="D267" s="166"/>
      <c r="E267" s="120"/>
      <c r="F267" s="166"/>
      <c r="G267" s="129"/>
      <c r="H267" s="130"/>
      <c r="I267" s="131"/>
      <c r="J267" s="25" t="s">
        <v>65</v>
      </c>
      <c r="K267" s="27" t="e">
        <f t="array" ref="K267">INDEX(TXRESULT!$B$1:$I$1000,MATCH($D$228&amp;J267&amp;$F$260&amp;"SPUR5",TXRESULT!$C$1:$C$1000&amp;TXRESULT!$B$1:$B$1000&amp;TXRESULT!$H$1:$H$1000&amp;TXRESULT!$K$1:$K$1000,0),5)</f>
        <v>#N/A</v>
      </c>
      <c r="L267" s="147"/>
      <c r="M267" s="27" t="e">
        <f t="shared" si="20"/>
        <v>#N/A</v>
      </c>
      <c r="N267" s="27" t="str">
        <f t="shared" si="19"/>
        <v/>
      </c>
    </row>
    <row r="268" spans="1:14" ht="15.6" customHeight="1" x14ac:dyDescent="0.3">
      <c r="A268" s="148" t="s">
        <v>38</v>
      </c>
      <c r="B268" s="151" t="s">
        <v>39</v>
      </c>
      <c r="C268" s="152"/>
      <c r="D268" s="153"/>
      <c r="E268" s="148" t="s">
        <v>40</v>
      </c>
      <c r="F268" s="160" t="s">
        <v>41</v>
      </c>
      <c r="G268" s="161"/>
      <c r="H268" s="161"/>
      <c r="I268" s="162"/>
      <c r="J268" s="151" t="s">
        <v>42</v>
      </c>
      <c r="K268" s="153"/>
      <c r="L268" s="148" t="s">
        <v>43</v>
      </c>
      <c r="M268" s="133" t="s">
        <v>44</v>
      </c>
      <c r="N268" s="133" t="s">
        <v>45</v>
      </c>
    </row>
    <row r="269" spans="1:14" ht="15.6" customHeight="1" x14ac:dyDescent="0.3">
      <c r="A269" s="149"/>
      <c r="B269" s="154"/>
      <c r="C269" s="155"/>
      <c r="D269" s="156"/>
      <c r="E269" s="149"/>
      <c r="F269" s="163" t="s">
        <v>199</v>
      </c>
      <c r="G269" s="163"/>
      <c r="H269" s="163" t="s">
        <v>200</v>
      </c>
      <c r="I269" s="163"/>
      <c r="J269" s="154"/>
      <c r="K269" s="156"/>
      <c r="L269" s="149"/>
      <c r="M269" s="134"/>
      <c r="N269" s="134"/>
    </row>
    <row r="270" spans="1:14" ht="15.6" customHeight="1" x14ac:dyDescent="0.3">
      <c r="A270" s="150"/>
      <c r="B270" s="157"/>
      <c r="C270" s="158"/>
      <c r="D270" s="159"/>
      <c r="E270" s="150"/>
      <c r="F270" s="59" t="s">
        <v>201</v>
      </c>
      <c r="G270" s="59" t="s">
        <v>202</v>
      </c>
      <c r="H270" s="59" t="s">
        <v>201</v>
      </c>
      <c r="I270" s="59" t="s">
        <v>202</v>
      </c>
      <c r="J270" s="157"/>
      <c r="K270" s="159"/>
      <c r="L270" s="150"/>
      <c r="M270" s="135"/>
      <c r="N270" s="135"/>
    </row>
    <row r="271" spans="1:14" x14ac:dyDescent="0.3">
      <c r="A271" s="14" t="s">
        <v>135</v>
      </c>
      <c r="B271" s="15" t="s">
        <v>136</v>
      </c>
      <c r="C271" s="16"/>
      <c r="D271" s="16"/>
      <c r="E271" s="16"/>
      <c r="F271" s="16"/>
      <c r="G271" s="40"/>
      <c r="H271" s="40"/>
      <c r="I271" s="40"/>
      <c r="J271" s="40"/>
      <c r="K271" s="41"/>
      <c r="L271" s="40"/>
      <c r="M271" s="27"/>
      <c r="N271" s="42"/>
    </row>
    <row r="272" spans="1:14" x14ac:dyDescent="0.3">
      <c r="A272" s="115" t="s">
        <v>137</v>
      </c>
      <c r="B272" s="136" t="s">
        <v>138</v>
      </c>
      <c r="C272" s="137"/>
      <c r="D272" s="138"/>
      <c r="E272" s="114" t="s">
        <v>52</v>
      </c>
      <c r="F272" s="115" t="s">
        <v>220</v>
      </c>
      <c r="G272" s="43" t="s">
        <v>139</v>
      </c>
      <c r="H272" s="132" t="s">
        <v>225</v>
      </c>
      <c r="I272" s="43" t="s">
        <v>225</v>
      </c>
      <c r="J272" s="25" t="s">
        <v>57</v>
      </c>
      <c r="K272" s="27">
        <f>VLOOKUP($B$272&amp;J272,RXRESULT!$A$1:$J$289,6,FALSE)</f>
        <v>-95</v>
      </c>
      <c r="L272" s="145" t="s">
        <v>140</v>
      </c>
      <c r="M272" s="27" t="str">
        <f>IF(ISBLANK(K272),"",IF(AND(K272*1&lt;=G272*1),"PASS","FAIL"))</f>
        <v>PASS</v>
      </c>
      <c r="N272" s="27">
        <f>IF(ISBLANK(K272),"CHUADO",VLOOKUP($B$272&amp;J272,RXRESULT!$A$1:$J$289,8,FALSE))</f>
        <v>98.9</v>
      </c>
    </row>
    <row r="273" spans="1:14" x14ac:dyDescent="0.3">
      <c r="A273" s="116"/>
      <c r="B273" s="139"/>
      <c r="C273" s="140"/>
      <c r="D273" s="141"/>
      <c r="E273" s="114"/>
      <c r="F273" s="116"/>
      <c r="G273" s="43" t="str">
        <f>G272</f>
        <v>-94.9</v>
      </c>
      <c r="H273" s="119"/>
      <c r="I273" s="58" t="s">
        <v>225</v>
      </c>
      <c r="J273" s="25" t="s">
        <v>59</v>
      </c>
      <c r="K273" s="27">
        <f>VLOOKUP($B$272&amp;J273,RXRESULT!$A$1:$J$289,6,FALSE)</f>
        <v>-95</v>
      </c>
      <c r="L273" s="146"/>
      <c r="M273" s="27" t="str">
        <f t="shared" ref="M273:M279" si="21">IF(ISBLANK(K273),"",IF(AND(K273*1&lt;=G273*1),"PASS","FAIL"))</f>
        <v>PASS</v>
      </c>
      <c r="N273" s="27">
        <f>IF(ISBLANK(K273),"CHUADO",VLOOKUP($B$272&amp;J273,RXRESULT!$A$1:$J$289,8,FALSE))</f>
        <v>99.8</v>
      </c>
    </row>
    <row r="274" spans="1:14" x14ac:dyDescent="0.3">
      <c r="A274" s="116"/>
      <c r="B274" s="139"/>
      <c r="C274" s="140"/>
      <c r="D274" s="141"/>
      <c r="E274" s="114"/>
      <c r="F274" s="116"/>
      <c r="G274" s="43" t="str">
        <f t="shared" ref="G274:G279" si="22">G273</f>
        <v>-94.9</v>
      </c>
      <c r="H274" s="119"/>
      <c r="I274" s="58" t="s">
        <v>225</v>
      </c>
      <c r="J274" s="25" t="s">
        <v>60</v>
      </c>
      <c r="K274" s="27">
        <f>VLOOKUP($B$272&amp;J274,RXRESULT!$A$1:$J$289,6,FALSE)</f>
        <v>-95</v>
      </c>
      <c r="L274" s="146"/>
      <c r="M274" s="27" t="str">
        <f t="shared" si="21"/>
        <v>PASS</v>
      </c>
      <c r="N274" s="27">
        <f>IF(ISBLANK(K274),"CHUADO",VLOOKUP($B$272&amp;J274,RXRESULT!$A$1:$J$289,8,FALSE))</f>
        <v>99.8</v>
      </c>
    </row>
    <row r="275" spans="1:14" x14ac:dyDescent="0.3">
      <c r="A275" s="116"/>
      <c r="B275" s="139"/>
      <c r="C275" s="140"/>
      <c r="D275" s="141"/>
      <c r="E275" s="114"/>
      <c r="F275" s="116"/>
      <c r="G275" s="43" t="str">
        <f t="shared" si="22"/>
        <v>-94.9</v>
      </c>
      <c r="H275" s="119"/>
      <c r="I275" s="58" t="s">
        <v>225</v>
      </c>
      <c r="J275" s="25" t="s">
        <v>61</v>
      </c>
      <c r="K275" s="27">
        <f>VLOOKUP($B$272&amp;J275,RXRESULT!$A$1:$J$289,6,FALSE)</f>
        <v>-95</v>
      </c>
      <c r="L275" s="146"/>
      <c r="M275" s="27" t="str">
        <f t="shared" si="21"/>
        <v>PASS</v>
      </c>
      <c r="N275" s="27">
        <f>IF(ISBLANK(K275),"CHUADO",VLOOKUP($B$272&amp;J275,RXRESULT!$A$1:$J$289,8,FALSE))</f>
        <v>99.8</v>
      </c>
    </row>
    <row r="276" spans="1:14" x14ac:dyDescent="0.3">
      <c r="A276" s="116"/>
      <c r="B276" s="139"/>
      <c r="C276" s="140"/>
      <c r="D276" s="141"/>
      <c r="E276" s="114"/>
      <c r="F276" s="116"/>
      <c r="G276" s="43" t="str">
        <f t="shared" si="22"/>
        <v>-94.9</v>
      </c>
      <c r="H276" s="119"/>
      <c r="I276" s="58" t="s">
        <v>225</v>
      </c>
      <c r="J276" s="25" t="s">
        <v>62</v>
      </c>
      <c r="K276" s="27">
        <f>VLOOKUP($B$272&amp;J276,RXRESULT!$A$1:$J$289,6,FALSE)</f>
        <v>-95</v>
      </c>
      <c r="L276" s="146"/>
      <c r="M276" s="27" t="str">
        <f t="shared" si="21"/>
        <v>PASS</v>
      </c>
      <c r="N276" s="27">
        <f>IF(ISBLANK(K276),"CHUADO",VLOOKUP($B$272&amp;J276,RXRESULT!$A$1:$J$289,8,FALSE))</f>
        <v>99.8</v>
      </c>
    </row>
    <row r="277" spans="1:14" x14ac:dyDescent="0.3">
      <c r="A277" s="116"/>
      <c r="B277" s="139"/>
      <c r="C277" s="140"/>
      <c r="D277" s="141"/>
      <c r="E277" s="114"/>
      <c r="F277" s="116"/>
      <c r="G277" s="43" t="str">
        <f t="shared" si="22"/>
        <v>-94.9</v>
      </c>
      <c r="H277" s="119"/>
      <c r="I277" s="58" t="s">
        <v>225</v>
      </c>
      <c r="J277" s="25" t="s">
        <v>63</v>
      </c>
      <c r="K277" s="27">
        <f>VLOOKUP($B$272&amp;J277,RXRESULT!$A$1:$J$289,6,FALSE)</f>
        <v>-95</v>
      </c>
      <c r="L277" s="146"/>
      <c r="M277" s="27" t="str">
        <f t="shared" si="21"/>
        <v>PASS</v>
      </c>
      <c r="N277" s="27">
        <f>IF(ISBLANK(K277),"CHUADO",VLOOKUP($B$272&amp;J277,RXRESULT!$A$1:$J$289,8,FALSE))</f>
        <v>99.8</v>
      </c>
    </row>
    <row r="278" spans="1:14" x14ac:dyDescent="0.3">
      <c r="A278" s="116"/>
      <c r="B278" s="139"/>
      <c r="C278" s="140"/>
      <c r="D278" s="141"/>
      <c r="E278" s="114"/>
      <c r="F278" s="116"/>
      <c r="G278" s="43" t="str">
        <f t="shared" si="22"/>
        <v>-94.9</v>
      </c>
      <c r="H278" s="119"/>
      <c r="I278" s="58" t="s">
        <v>225</v>
      </c>
      <c r="J278" s="25" t="s">
        <v>64</v>
      </c>
      <c r="K278" s="27">
        <f>VLOOKUP($B$272&amp;J278,RXRESULT!$A$1:$J$289,6,FALSE)</f>
        <v>-95</v>
      </c>
      <c r="L278" s="146"/>
      <c r="M278" s="27" t="str">
        <f t="shared" si="21"/>
        <v>PASS</v>
      </c>
      <c r="N278" s="27">
        <f>IF(ISBLANK(K278),"CHUADO",VLOOKUP($B$272&amp;J278,RXRESULT!$A$1:$J$289,8,FALSE))</f>
        <v>99.8</v>
      </c>
    </row>
    <row r="279" spans="1:14" x14ac:dyDescent="0.3">
      <c r="A279" s="117"/>
      <c r="B279" s="142"/>
      <c r="C279" s="143"/>
      <c r="D279" s="144"/>
      <c r="E279" s="114"/>
      <c r="F279" s="117"/>
      <c r="G279" s="43" t="str">
        <f t="shared" si="22"/>
        <v>-94.9</v>
      </c>
      <c r="H279" s="120"/>
      <c r="I279" s="58" t="s">
        <v>225</v>
      </c>
      <c r="J279" s="25" t="s">
        <v>65</v>
      </c>
      <c r="K279" s="27">
        <f>VLOOKUP($B$272&amp;J279,RXRESULT!$A$1:$J$289,6,FALSE)</f>
        <v>-95</v>
      </c>
      <c r="L279" s="147"/>
      <c r="M279" s="27" t="str">
        <f t="shared" si="21"/>
        <v>PASS</v>
      </c>
      <c r="N279" s="27">
        <f>IF(ISBLANK(K279),"CHUADO",VLOOKUP($B$272&amp;J279,RXRESULT!$A$1:$J$289,8,FALSE))</f>
        <v>99.8</v>
      </c>
    </row>
    <row r="280" spans="1:14" x14ac:dyDescent="0.3">
      <c r="A280" s="104" t="s">
        <v>141</v>
      </c>
      <c r="B280" s="105" t="s">
        <v>266</v>
      </c>
      <c r="C280" s="106"/>
      <c r="D280" s="107"/>
      <c r="E280" s="114" t="s">
        <v>52</v>
      </c>
      <c r="F280" s="115" t="s">
        <v>221</v>
      </c>
      <c r="G280" s="43" t="s">
        <v>204</v>
      </c>
      <c r="H280" s="132" t="s">
        <v>203</v>
      </c>
      <c r="I280" s="43" t="s">
        <v>142</v>
      </c>
      <c r="J280" s="25" t="s">
        <v>57</v>
      </c>
      <c r="K280" s="27">
        <f>VLOOKUP($B$280&amp;J280,RXRESULT!$A$1:$J$289,6,FALSE)</f>
        <v>-67.099999999999994</v>
      </c>
      <c r="L280" s="118" t="s">
        <v>143</v>
      </c>
      <c r="M280" s="27" t="str">
        <f>IF(ISBLANK(K280),"",IF(AND(K280*1&gt;=I280*1),"PASS","FAIL"))</f>
        <v>PASS</v>
      </c>
      <c r="N280" s="27">
        <f>IF(ISBLANK(K280),"CHUADO",VLOOKUP($B$280&amp;J280,RXRESULT!$A$1:$J$289,8,FALSE))</f>
        <v>98.9</v>
      </c>
    </row>
    <row r="281" spans="1:14" x14ac:dyDescent="0.3">
      <c r="A281" s="104"/>
      <c r="B281" s="108"/>
      <c r="C281" s="109"/>
      <c r="D281" s="110"/>
      <c r="E281" s="114"/>
      <c r="F281" s="116"/>
      <c r="G281" s="43" t="s">
        <v>204</v>
      </c>
      <c r="H281" s="119"/>
      <c r="I281" s="43" t="str">
        <f>I280</f>
        <v>-69.1</v>
      </c>
      <c r="J281" s="25" t="s">
        <v>59</v>
      </c>
      <c r="K281" s="27">
        <f>VLOOKUP($B$280&amp;J281,RXRESULT!$A$1:$J$289,6,FALSE)</f>
        <v>-67.099999999999994</v>
      </c>
      <c r="L281" s="118"/>
      <c r="M281" s="27" t="str">
        <f t="shared" ref="M281:M287" si="23">IF(ISBLANK(K281),"",IF(AND(K281*1&gt;=I281*1),"PASS","FAIL"))</f>
        <v>PASS</v>
      </c>
      <c r="N281" s="27">
        <f>IF(ISBLANK(K281),"CHUADO",VLOOKUP($B$280&amp;J281,RXRESULT!$A$1:$J$289,8,FALSE))</f>
        <v>99.8</v>
      </c>
    </row>
    <row r="282" spans="1:14" x14ac:dyDescent="0.3">
      <c r="A282" s="104"/>
      <c r="B282" s="108"/>
      <c r="C282" s="109"/>
      <c r="D282" s="110"/>
      <c r="E282" s="114"/>
      <c r="F282" s="116"/>
      <c r="G282" s="43" t="s">
        <v>204</v>
      </c>
      <c r="H282" s="119"/>
      <c r="I282" s="43" t="str">
        <f t="shared" ref="I282:I287" si="24">I281</f>
        <v>-69.1</v>
      </c>
      <c r="J282" s="25" t="s">
        <v>60</v>
      </c>
      <c r="K282" s="27">
        <f>VLOOKUP($B$280&amp;J282,RXRESULT!$A$1:$J$289,6,FALSE)</f>
        <v>-67.099999999999994</v>
      </c>
      <c r="L282" s="118"/>
      <c r="M282" s="27" t="str">
        <f t="shared" si="23"/>
        <v>PASS</v>
      </c>
      <c r="N282" s="27">
        <f>IF(ISBLANK(K282),"CHUADO",VLOOKUP($B$280&amp;J282,RXRESULT!$A$1:$J$289,8,FALSE))</f>
        <v>99.8</v>
      </c>
    </row>
    <row r="283" spans="1:14" x14ac:dyDescent="0.3">
      <c r="A283" s="104"/>
      <c r="B283" s="108"/>
      <c r="C283" s="109"/>
      <c r="D283" s="110"/>
      <c r="E283" s="114"/>
      <c r="F283" s="116"/>
      <c r="G283" s="43" t="s">
        <v>204</v>
      </c>
      <c r="H283" s="119"/>
      <c r="I283" s="43" t="str">
        <f t="shared" si="24"/>
        <v>-69.1</v>
      </c>
      <c r="J283" s="25" t="s">
        <v>61</v>
      </c>
      <c r="K283" s="27">
        <f>VLOOKUP($B$280&amp;J283,RXRESULT!$A$1:$J$289,6,FALSE)</f>
        <v>-67.099999999999994</v>
      </c>
      <c r="L283" s="118"/>
      <c r="M283" s="27" t="str">
        <f t="shared" si="23"/>
        <v>PASS</v>
      </c>
      <c r="N283" s="27">
        <f>IF(ISBLANK(K283),"CHUADO",VLOOKUP($B$280&amp;J283,RXRESULT!$A$1:$J$289,8,FALSE))</f>
        <v>99.8</v>
      </c>
    </row>
    <row r="284" spans="1:14" x14ac:dyDescent="0.3">
      <c r="A284" s="104"/>
      <c r="B284" s="108"/>
      <c r="C284" s="109"/>
      <c r="D284" s="110"/>
      <c r="E284" s="114"/>
      <c r="F284" s="116"/>
      <c r="G284" s="43" t="s">
        <v>204</v>
      </c>
      <c r="H284" s="119"/>
      <c r="I284" s="43" t="str">
        <f t="shared" si="24"/>
        <v>-69.1</v>
      </c>
      <c r="J284" s="25" t="s">
        <v>62</v>
      </c>
      <c r="K284" s="27">
        <f>VLOOKUP($B$280&amp;J284,RXRESULT!$A$1:$J$289,6,FALSE)</f>
        <v>-67.099999999999994</v>
      </c>
      <c r="L284" s="118"/>
      <c r="M284" s="27" t="str">
        <f t="shared" si="23"/>
        <v>PASS</v>
      </c>
      <c r="N284" s="27">
        <f>IF(ISBLANK(K284),"CHUADO",VLOOKUP($B$280&amp;J284,RXRESULT!$A$1:$J$289,8,FALSE))</f>
        <v>99.8</v>
      </c>
    </row>
    <row r="285" spans="1:14" x14ac:dyDescent="0.3">
      <c r="A285" s="104"/>
      <c r="B285" s="108"/>
      <c r="C285" s="109"/>
      <c r="D285" s="110"/>
      <c r="E285" s="114"/>
      <c r="F285" s="116"/>
      <c r="G285" s="43" t="s">
        <v>204</v>
      </c>
      <c r="H285" s="119"/>
      <c r="I285" s="43" t="str">
        <f t="shared" si="24"/>
        <v>-69.1</v>
      </c>
      <c r="J285" s="25" t="s">
        <v>63</v>
      </c>
      <c r="K285" s="27">
        <f>VLOOKUP($B$280&amp;J285,RXRESULT!$A$1:$J$289,6,FALSE)</f>
        <v>-67.099999999999994</v>
      </c>
      <c r="L285" s="118"/>
      <c r="M285" s="27" t="str">
        <f t="shared" si="23"/>
        <v>PASS</v>
      </c>
      <c r="N285" s="27">
        <f>IF(ISBLANK(K285),"CHUADO",VLOOKUP($B$280&amp;J285,RXRESULT!$A$1:$J$289,8,FALSE))</f>
        <v>99.8</v>
      </c>
    </row>
    <row r="286" spans="1:14" x14ac:dyDescent="0.3">
      <c r="A286" s="104"/>
      <c r="B286" s="108"/>
      <c r="C286" s="109"/>
      <c r="D286" s="110"/>
      <c r="E286" s="114"/>
      <c r="F286" s="116"/>
      <c r="G286" s="43" t="s">
        <v>204</v>
      </c>
      <c r="H286" s="119"/>
      <c r="I286" s="43" t="str">
        <f t="shared" si="24"/>
        <v>-69.1</v>
      </c>
      <c r="J286" s="25" t="s">
        <v>64</v>
      </c>
      <c r="K286" s="27">
        <f>VLOOKUP($B$280&amp;J286,RXRESULT!$A$1:$J$289,6,FALSE)</f>
        <v>-67.099999999999994</v>
      </c>
      <c r="L286" s="118"/>
      <c r="M286" s="27" t="str">
        <f t="shared" si="23"/>
        <v>PASS</v>
      </c>
      <c r="N286" s="27">
        <f>IF(ISBLANK(K286),"CHUADO",VLOOKUP($B$280&amp;J286,RXRESULT!$A$1:$J$289,8,FALSE))</f>
        <v>99.8</v>
      </c>
    </row>
    <row r="287" spans="1:14" x14ac:dyDescent="0.3">
      <c r="A287" s="104"/>
      <c r="B287" s="111"/>
      <c r="C287" s="112"/>
      <c r="D287" s="113"/>
      <c r="E287" s="114"/>
      <c r="F287" s="117"/>
      <c r="G287" s="43" t="s">
        <v>204</v>
      </c>
      <c r="H287" s="120"/>
      <c r="I287" s="43" t="str">
        <f t="shared" si="24"/>
        <v>-69.1</v>
      </c>
      <c r="J287" s="25" t="s">
        <v>65</v>
      </c>
      <c r="K287" s="27">
        <f>VLOOKUP($B$280&amp;J287,RXRESULT!$A$1:$J$289,6,FALSE)</f>
        <v>-67.099999999999994</v>
      </c>
      <c r="L287" s="118"/>
      <c r="M287" s="27" t="str">
        <f t="shared" si="23"/>
        <v>PASS</v>
      </c>
      <c r="N287" s="27">
        <f>IF(ISBLANK(K287),"CHUADO",VLOOKUP($B$280&amp;J287,RXRESULT!$A$1:$J$289,8,FALSE))</f>
        <v>99.8</v>
      </c>
    </row>
    <row r="288" spans="1:14" x14ac:dyDescent="0.3">
      <c r="A288" s="104" t="s">
        <v>144</v>
      </c>
      <c r="B288" s="105" t="s">
        <v>267</v>
      </c>
      <c r="C288" s="106"/>
      <c r="D288" s="107"/>
      <c r="E288" s="114" t="s">
        <v>52</v>
      </c>
      <c r="F288" s="115" t="s">
        <v>220</v>
      </c>
      <c r="G288" s="43">
        <f t="shared" ref="G288:G319" si="25">$G$272*1+6</f>
        <v>-88.9</v>
      </c>
      <c r="H288" s="115" t="s">
        <v>205</v>
      </c>
      <c r="I288" s="43" t="s">
        <v>145</v>
      </c>
      <c r="J288" s="25" t="s">
        <v>57</v>
      </c>
      <c r="K288" s="27">
        <f>VLOOKUP($B$288&amp;J288,RXRESULT!$A$1:$J$289,6,FALSE)</f>
        <v>-47</v>
      </c>
      <c r="L288" s="118" t="s">
        <v>146</v>
      </c>
      <c r="M288" s="27" t="str">
        <f>IF(ISBLANK(K288),"",IF(AND(K288*1&gt;=I288*1),"PASS","FAIL"))</f>
        <v>PASS</v>
      </c>
      <c r="N288" s="27">
        <f>IF(ISBLANK(K288),"CHUADO",VLOOKUP($B$288&amp;J288,RXRESULT!$A$1:$J$289,8,FALSE))</f>
        <v>98.9</v>
      </c>
    </row>
    <row r="289" spans="1:14" ht="15.6" customHeight="1" x14ac:dyDescent="0.3">
      <c r="A289" s="104"/>
      <c r="B289" s="108"/>
      <c r="C289" s="109"/>
      <c r="D289" s="110"/>
      <c r="E289" s="114"/>
      <c r="F289" s="116"/>
      <c r="G289" s="43">
        <f t="shared" si="25"/>
        <v>-88.9</v>
      </c>
      <c r="H289" s="116"/>
      <c r="I289" s="43" t="str">
        <f>I288</f>
        <v>-52</v>
      </c>
      <c r="J289" s="25" t="s">
        <v>59</v>
      </c>
      <c r="K289" s="27">
        <f>VLOOKUP($B$288&amp;J289,RXRESULT!$A$1:$J$289,6,FALSE)</f>
        <v>-47</v>
      </c>
      <c r="L289" s="118"/>
      <c r="M289" s="27" t="str">
        <f t="shared" ref="M289:M295" si="26">IF(ISBLANK(K289),"",IF(AND(K289*1&gt;=I289*1),"PASS","FAIL"))</f>
        <v>PASS</v>
      </c>
      <c r="N289" s="27">
        <f>IF(ISBLANK(K289),"CHUADO",VLOOKUP($B$288&amp;J289,RXRESULT!$A$1:$J$289,8,FALSE))</f>
        <v>99.8</v>
      </c>
    </row>
    <row r="290" spans="1:14" x14ac:dyDescent="0.3">
      <c r="A290" s="104"/>
      <c r="B290" s="108"/>
      <c r="C290" s="109"/>
      <c r="D290" s="110"/>
      <c r="E290" s="114"/>
      <c r="F290" s="116"/>
      <c r="G290" s="43">
        <f t="shared" si="25"/>
        <v>-88.9</v>
      </c>
      <c r="H290" s="116"/>
      <c r="I290" s="43" t="str">
        <f t="shared" ref="I290:I295" si="27">I289</f>
        <v>-52</v>
      </c>
      <c r="J290" s="25" t="s">
        <v>60</v>
      </c>
      <c r="K290" s="27">
        <f>VLOOKUP($B$288&amp;J290,RXRESULT!$A$1:$J$289,6,FALSE)</f>
        <v>-47</v>
      </c>
      <c r="L290" s="118"/>
      <c r="M290" s="27" t="str">
        <f t="shared" si="26"/>
        <v>PASS</v>
      </c>
      <c r="N290" s="27">
        <f>IF(ISBLANK(K290),"CHUADO",VLOOKUP($B$288&amp;J290,RXRESULT!$A$1:$J$289,8,FALSE))</f>
        <v>99.8</v>
      </c>
    </row>
    <row r="291" spans="1:14" x14ac:dyDescent="0.3">
      <c r="A291" s="104"/>
      <c r="B291" s="108"/>
      <c r="C291" s="109"/>
      <c r="D291" s="110"/>
      <c r="E291" s="114"/>
      <c r="F291" s="116"/>
      <c r="G291" s="43">
        <f t="shared" si="25"/>
        <v>-88.9</v>
      </c>
      <c r="H291" s="116"/>
      <c r="I291" s="43" t="str">
        <f t="shared" si="27"/>
        <v>-52</v>
      </c>
      <c r="J291" s="25" t="s">
        <v>61</v>
      </c>
      <c r="K291" s="27">
        <f>VLOOKUP($B$288&amp;J291,RXRESULT!$A$1:$J$289,6,FALSE)</f>
        <v>-47</v>
      </c>
      <c r="L291" s="118"/>
      <c r="M291" s="27" t="str">
        <f t="shared" si="26"/>
        <v>PASS</v>
      </c>
      <c r="N291" s="27">
        <f>IF(ISBLANK(K291),"CHUADO",VLOOKUP($B$288&amp;J291,RXRESULT!$A$1:$J$289,8,FALSE))</f>
        <v>99.8</v>
      </c>
    </row>
    <row r="292" spans="1:14" x14ac:dyDescent="0.3">
      <c r="A292" s="104"/>
      <c r="B292" s="108"/>
      <c r="C292" s="109"/>
      <c r="D292" s="110"/>
      <c r="E292" s="114"/>
      <c r="F292" s="116"/>
      <c r="G292" s="43">
        <f t="shared" si="25"/>
        <v>-88.9</v>
      </c>
      <c r="H292" s="116"/>
      <c r="I292" s="43" t="str">
        <f t="shared" si="27"/>
        <v>-52</v>
      </c>
      <c r="J292" s="25" t="s">
        <v>62</v>
      </c>
      <c r="K292" s="27">
        <f>VLOOKUP($B$288&amp;J292,RXRESULT!$A$1:$J$289,6,FALSE)</f>
        <v>-47</v>
      </c>
      <c r="L292" s="118"/>
      <c r="M292" s="27" t="str">
        <f t="shared" si="26"/>
        <v>PASS</v>
      </c>
      <c r="N292" s="27">
        <f>IF(ISBLANK(K292),"CHUADO",VLOOKUP($B$288&amp;J292,RXRESULT!$A$1:$J$289,8,FALSE))</f>
        <v>99.8</v>
      </c>
    </row>
    <row r="293" spans="1:14" x14ac:dyDescent="0.3">
      <c r="A293" s="104"/>
      <c r="B293" s="108"/>
      <c r="C293" s="109"/>
      <c r="D293" s="110"/>
      <c r="E293" s="114"/>
      <c r="F293" s="116"/>
      <c r="G293" s="43">
        <f t="shared" si="25"/>
        <v>-88.9</v>
      </c>
      <c r="H293" s="116"/>
      <c r="I293" s="43" t="str">
        <f t="shared" si="27"/>
        <v>-52</v>
      </c>
      <c r="J293" s="25" t="s">
        <v>63</v>
      </c>
      <c r="K293" s="27">
        <f>VLOOKUP($B$288&amp;J293,RXRESULT!$A$1:$J$289,6,FALSE)</f>
        <v>-47</v>
      </c>
      <c r="L293" s="118"/>
      <c r="M293" s="27" t="str">
        <f t="shared" si="26"/>
        <v>PASS</v>
      </c>
      <c r="N293" s="27">
        <f>IF(ISBLANK(K293),"CHUADO",VLOOKUP($B$288&amp;J293,RXRESULT!$A$1:$J$289,8,FALSE))</f>
        <v>99.8</v>
      </c>
    </row>
    <row r="294" spans="1:14" x14ac:dyDescent="0.3">
      <c r="A294" s="104"/>
      <c r="B294" s="108"/>
      <c r="C294" s="109"/>
      <c r="D294" s="110"/>
      <c r="E294" s="114"/>
      <c r="F294" s="116"/>
      <c r="G294" s="43">
        <f t="shared" si="25"/>
        <v>-88.9</v>
      </c>
      <c r="H294" s="116"/>
      <c r="I294" s="43" t="str">
        <f t="shared" si="27"/>
        <v>-52</v>
      </c>
      <c r="J294" s="25" t="s">
        <v>64</v>
      </c>
      <c r="K294" s="27">
        <f>VLOOKUP($B$288&amp;J294,RXRESULT!$A$1:$J$289,6,FALSE)</f>
        <v>-47</v>
      </c>
      <c r="L294" s="118"/>
      <c r="M294" s="27" t="str">
        <f t="shared" si="26"/>
        <v>PASS</v>
      </c>
      <c r="N294" s="27">
        <f>IF(ISBLANK(K294),"CHUADO",VLOOKUP($B$288&amp;J294,RXRESULT!$A$1:$J$289,8,FALSE))</f>
        <v>99.8</v>
      </c>
    </row>
    <row r="295" spans="1:14" x14ac:dyDescent="0.3">
      <c r="A295" s="104"/>
      <c r="B295" s="111"/>
      <c r="C295" s="112"/>
      <c r="D295" s="113"/>
      <c r="E295" s="114"/>
      <c r="F295" s="117"/>
      <c r="G295" s="43">
        <f t="shared" si="25"/>
        <v>-88.9</v>
      </c>
      <c r="H295" s="117"/>
      <c r="I295" s="43" t="str">
        <f t="shared" si="27"/>
        <v>-52</v>
      </c>
      <c r="J295" s="25" t="s">
        <v>65</v>
      </c>
      <c r="K295" s="27">
        <f>VLOOKUP($B$288&amp;J295,RXRESULT!$A$1:$J$289,6,FALSE)</f>
        <v>-47</v>
      </c>
      <c r="L295" s="118"/>
      <c r="M295" s="27" t="str">
        <f t="shared" si="26"/>
        <v>PASS</v>
      </c>
      <c r="N295" s="27">
        <f>IF(ISBLANK(K295),"CHUADO",VLOOKUP($B$288&amp;J295,RXRESULT!$A$1:$J$289,8,FALSE))</f>
        <v>99.8</v>
      </c>
    </row>
    <row r="296" spans="1:14" x14ac:dyDescent="0.3">
      <c r="A296" s="104" t="s">
        <v>147</v>
      </c>
      <c r="B296" s="105" t="s">
        <v>148</v>
      </c>
      <c r="C296" s="106"/>
      <c r="D296" s="107"/>
      <c r="E296" s="114" t="s">
        <v>52</v>
      </c>
      <c r="F296" s="115" t="s">
        <v>220</v>
      </c>
      <c r="G296" s="43">
        <f t="shared" si="25"/>
        <v>-88.9</v>
      </c>
      <c r="H296" s="115" t="s">
        <v>205</v>
      </c>
      <c r="I296" s="43" t="s">
        <v>149</v>
      </c>
      <c r="J296" s="25" t="s">
        <v>57</v>
      </c>
      <c r="K296" s="27">
        <f>VLOOKUP($B$296&amp;J296,RXRESULT!$A$1:$J$289,6,FALSE)</f>
        <v>-38</v>
      </c>
      <c r="L296" s="118" t="s">
        <v>150</v>
      </c>
      <c r="M296" s="27" t="str">
        <f>IF(ISBLANK(K296),"",IF(AND(K296*1&gt;=I296*1),"PASS","FAIL"))</f>
        <v>PASS</v>
      </c>
      <c r="N296" s="27">
        <f>IF(ISBLANK(K296),"CHUADO",VLOOKUP($B$296&amp;J296,RXRESULT!$A$1:$J$289,8,FALSE))</f>
        <v>98.9</v>
      </c>
    </row>
    <row r="297" spans="1:14" ht="15.6" customHeight="1" x14ac:dyDescent="0.3">
      <c r="A297" s="104"/>
      <c r="B297" s="108"/>
      <c r="C297" s="109"/>
      <c r="D297" s="110"/>
      <c r="E297" s="114"/>
      <c r="F297" s="116"/>
      <c r="G297" s="43">
        <f t="shared" si="25"/>
        <v>-88.9</v>
      </c>
      <c r="H297" s="116"/>
      <c r="I297" s="43" t="str">
        <f>I296</f>
        <v>-43</v>
      </c>
      <c r="J297" s="25" t="s">
        <v>59</v>
      </c>
      <c r="K297" s="27">
        <f>VLOOKUP($B$296&amp;J297,RXRESULT!$A$1:$J$289,6,FALSE)</f>
        <v>-38</v>
      </c>
      <c r="L297" s="118"/>
      <c r="M297" s="27" t="str">
        <f t="shared" ref="M297:M360" si="28">IF(ISBLANK(K297),"",IF(AND(K297*1&gt;=I297*1),"PASS","FAIL"))</f>
        <v>PASS</v>
      </c>
      <c r="N297" s="27">
        <f>IF(ISBLANK(K297),"CHUADO",VLOOKUP($B$296&amp;J297,RXRESULT!$A$1:$J$289,8,FALSE))</f>
        <v>99.8</v>
      </c>
    </row>
    <row r="298" spans="1:14" x14ac:dyDescent="0.3">
      <c r="A298" s="104"/>
      <c r="B298" s="108"/>
      <c r="C298" s="109"/>
      <c r="D298" s="110"/>
      <c r="E298" s="114"/>
      <c r="F298" s="116"/>
      <c r="G298" s="43">
        <f t="shared" si="25"/>
        <v>-88.9</v>
      </c>
      <c r="H298" s="116"/>
      <c r="I298" s="43" t="str">
        <f>I296</f>
        <v>-43</v>
      </c>
      <c r="J298" s="25" t="s">
        <v>60</v>
      </c>
      <c r="K298" s="27">
        <f>VLOOKUP($B$296&amp;J298,RXRESULT!$A$1:$J$289,6,FALSE)</f>
        <v>-38</v>
      </c>
      <c r="L298" s="118"/>
      <c r="M298" s="27" t="str">
        <f t="shared" si="28"/>
        <v>PASS</v>
      </c>
      <c r="N298" s="27">
        <f>IF(ISBLANK(K298),"CHUADO",VLOOKUP($B$296&amp;J298,RXRESULT!$A$1:$J$289,8,FALSE))</f>
        <v>99.8</v>
      </c>
    </row>
    <row r="299" spans="1:14" x14ac:dyDescent="0.3">
      <c r="A299" s="104"/>
      <c r="B299" s="108"/>
      <c r="C299" s="109"/>
      <c r="D299" s="110"/>
      <c r="E299" s="114"/>
      <c r="F299" s="116"/>
      <c r="G299" s="43">
        <f t="shared" si="25"/>
        <v>-88.9</v>
      </c>
      <c r="H299" s="116"/>
      <c r="I299" s="43" t="str">
        <f>I296</f>
        <v>-43</v>
      </c>
      <c r="J299" s="25" t="s">
        <v>61</v>
      </c>
      <c r="K299" s="27">
        <f>VLOOKUP($B$296&amp;J299,RXRESULT!$A$1:$J$289,6,FALSE)</f>
        <v>-38</v>
      </c>
      <c r="L299" s="118"/>
      <c r="M299" s="27" t="str">
        <f t="shared" si="28"/>
        <v>PASS</v>
      </c>
      <c r="N299" s="27">
        <f>IF(ISBLANK(K299),"CHUADO",VLOOKUP($B$296&amp;J299,RXRESULT!$A$1:$J$289,8,FALSE))</f>
        <v>99.8</v>
      </c>
    </row>
    <row r="300" spans="1:14" x14ac:dyDescent="0.3">
      <c r="A300" s="104"/>
      <c r="B300" s="108"/>
      <c r="C300" s="109"/>
      <c r="D300" s="110"/>
      <c r="E300" s="114"/>
      <c r="F300" s="116"/>
      <c r="G300" s="43">
        <f t="shared" si="25"/>
        <v>-88.9</v>
      </c>
      <c r="H300" s="116"/>
      <c r="I300" s="43" t="str">
        <f>I296</f>
        <v>-43</v>
      </c>
      <c r="J300" s="25" t="s">
        <v>62</v>
      </c>
      <c r="K300" s="27">
        <f>VLOOKUP($B$296&amp;J300,RXRESULT!$A$1:$J$289,6,FALSE)</f>
        <v>-38</v>
      </c>
      <c r="L300" s="118"/>
      <c r="M300" s="27" t="str">
        <f t="shared" si="28"/>
        <v>PASS</v>
      </c>
      <c r="N300" s="27">
        <f>IF(ISBLANK(K300),"CHUADO",VLOOKUP($B$296&amp;J300,RXRESULT!$A$1:$J$289,8,FALSE))</f>
        <v>99.8</v>
      </c>
    </row>
    <row r="301" spans="1:14" x14ac:dyDescent="0.3">
      <c r="A301" s="104"/>
      <c r="B301" s="108"/>
      <c r="C301" s="109"/>
      <c r="D301" s="110"/>
      <c r="E301" s="114"/>
      <c r="F301" s="116"/>
      <c r="G301" s="43">
        <f t="shared" si="25"/>
        <v>-88.9</v>
      </c>
      <c r="H301" s="116"/>
      <c r="I301" s="43" t="str">
        <f>I296</f>
        <v>-43</v>
      </c>
      <c r="J301" s="25" t="s">
        <v>63</v>
      </c>
      <c r="K301" s="27">
        <f>VLOOKUP($B$296&amp;J301,RXRESULT!$A$1:$J$289,6,FALSE)</f>
        <v>-38</v>
      </c>
      <c r="L301" s="118"/>
      <c r="M301" s="27" t="str">
        <f t="shared" si="28"/>
        <v>PASS</v>
      </c>
      <c r="N301" s="27">
        <f>IF(ISBLANK(K301),"CHUADO",VLOOKUP($B$296&amp;J301,RXRESULT!$A$1:$J$289,8,FALSE))</f>
        <v>99.8</v>
      </c>
    </row>
    <row r="302" spans="1:14" x14ac:dyDescent="0.3">
      <c r="A302" s="104"/>
      <c r="B302" s="108"/>
      <c r="C302" s="109"/>
      <c r="D302" s="110"/>
      <c r="E302" s="114"/>
      <c r="F302" s="116"/>
      <c r="G302" s="43">
        <f t="shared" si="25"/>
        <v>-88.9</v>
      </c>
      <c r="H302" s="116"/>
      <c r="I302" s="43" t="str">
        <f>I296</f>
        <v>-43</v>
      </c>
      <c r="J302" s="25" t="s">
        <v>64</v>
      </c>
      <c r="K302" s="27">
        <f>VLOOKUP($B$296&amp;J302,RXRESULT!$A$1:$J$289,6,FALSE)</f>
        <v>-38</v>
      </c>
      <c r="L302" s="118"/>
      <c r="M302" s="27" t="str">
        <f t="shared" si="28"/>
        <v>PASS</v>
      </c>
      <c r="N302" s="27">
        <f>IF(ISBLANK(K302),"CHUADO",VLOOKUP($B$296&amp;J302,RXRESULT!$A$1:$J$289,8,FALSE))</f>
        <v>99.8</v>
      </c>
    </row>
    <row r="303" spans="1:14" x14ac:dyDescent="0.3">
      <c r="A303" s="104"/>
      <c r="B303" s="111"/>
      <c r="C303" s="112"/>
      <c r="D303" s="113"/>
      <c r="E303" s="114"/>
      <c r="F303" s="117"/>
      <c r="G303" s="43">
        <f t="shared" si="25"/>
        <v>-88.9</v>
      </c>
      <c r="H303" s="117"/>
      <c r="I303" s="43" t="str">
        <f>I296</f>
        <v>-43</v>
      </c>
      <c r="J303" s="25" t="s">
        <v>65</v>
      </c>
      <c r="K303" s="27">
        <f>VLOOKUP($B$296&amp;J303,RXRESULT!$A$1:$J$289,6,FALSE)</f>
        <v>-38</v>
      </c>
      <c r="L303" s="118"/>
      <c r="M303" s="27" t="str">
        <f t="shared" si="28"/>
        <v>PASS</v>
      </c>
      <c r="N303" s="27">
        <f>IF(ISBLANK(K303),"CHUADO",VLOOKUP($B$296&amp;J303,RXRESULT!$A$1:$J$289,8,FALSE))</f>
        <v>99.8</v>
      </c>
    </row>
    <row r="304" spans="1:14" x14ac:dyDescent="0.3">
      <c r="A304" s="104" t="s">
        <v>151</v>
      </c>
      <c r="B304" s="105" t="s">
        <v>152</v>
      </c>
      <c r="C304" s="106"/>
      <c r="D304" s="107"/>
      <c r="E304" s="114" t="s">
        <v>52</v>
      </c>
      <c r="F304" s="115" t="s">
        <v>220</v>
      </c>
      <c r="G304" s="43">
        <f t="shared" si="25"/>
        <v>-88.9</v>
      </c>
      <c r="H304" s="115" t="s">
        <v>206</v>
      </c>
      <c r="I304" s="44" t="s">
        <v>153</v>
      </c>
      <c r="J304" s="25" t="s">
        <v>57</v>
      </c>
      <c r="K304" s="27">
        <f>VLOOKUP($B$304&amp;J304,RXRESULT!$A$1:$J$289,6,FALSE)</f>
        <v>-44</v>
      </c>
      <c r="L304" s="118" t="s">
        <v>154</v>
      </c>
      <c r="M304" s="27" t="str">
        <f t="shared" si="28"/>
        <v>PASS</v>
      </c>
      <c r="N304" s="27">
        <f>IF(ISBLANK(K304),"CHUADO",VLOOKUP($B$304&amp;J304,RXRESULT!$A$1:$J$289,8,FALSE))</f>
        <v>98.9</v>
      </c>
    </row>
    <row r="305" spans="1:14" ht="15.6" customHeight="1" x14ac:dyDescent="0.3">
      <c r="A305" s="104"/>
      <c r="B305" s="108"/>
      <c r="C305" s="109"/>
      <c r="D305" s="110"/>
      <c r="E305" s="114"/>
      <c r="F305" s="116"/>
      <c r="G305" s="43">
        <f t="shared" si="25"/>
        <v>-88.9</v>
      </c>
      <c r="H305" s="116"/>
      <c r="I305" s="43" t="str">
        <f>I304</f>
        <v>-49</v>
      </c>
      <c r="J305" s="25" t="s">
        <v>59</v>
      </c>
      <c r="K305" s="27">
        <f>VLOOKUP($B$304&amp;J305,RXRESULT!$A$1:$J$289,6,FALSE)</f>
        <v>-44</v>
      </c>
      <c r="L305" s="118"/>
      <c r="M305" s="27" t="str">
        <f t="shared" si="28"/>
        <v>PASS</v>
      </c>
      <c r="N305" s="27">
        <f>IF(ISBLANK(K305),"CHUADO",VLOOKUP($B$304&amp;J305,RXRESULT!$A$1:$J$289,8,FALSE))</f>
        <v>99.8</v>
      </c>
    </row>
    <row r="306" spans="1:14" x14ac:dyDescent="0.3">
      <c r="A306" s="104"/>
      <c r="B306" s="108"/>
      <c r="C306" s="109"/>
      <c r="D306" s="110"/>
      <c r="E306" s="114"/>
      <c r="F306" s="116"/>
      <c r="G306" s="43">
        <f t="shared" si="25"/>
        <v>-88.9</v>
      </c>
      <c r="H306" s="116"/>
      <c r="I306" s="43" t="str">
        <f>I304</f>
        <v>-49</v>
      </c>
      <c r="J306" s="25" t="s">
        <v>60</v>
      </c>
      <c r="K306" s="27">
        <f>VLOOKUP($B$304&amp;J306,RXRESULT!$A$1:$J$289,6,FALSE)</f>
        <v>-44</v>
      </c>
      <c r="L306" s="118"/>
      <c r="M306" s="27" t="str">
        <f t="shared" si="28"/>
        <v>PASS</v>
      </c>
      <c r="N306" s="27">
        <f>IF(ISBLANK(K306),"CHUADO",VLOOKUP($B$304&amp;J306,RXRESULT!$A$1:$J$289,8,FALSE))</f>
        <v>99.8</v>
      </c>
    </row>
    <row r="307" spans="1:14" x14ac:dyDescent="0.3">
      <c r="A307" s="104"/>
      <c r="B307" s="108"/>
      <c r="C307" s="109"/>
      <c r="D307" s="110"/>
      <c r="E307" s="114"/>
      <c r="F307" s="116"/>
      <c r="G307" s="43">
        <f t="shared" si="25"/>
        <v>-88.9</v>
      </c>
      <c r="H307" s="116"/>
      <c r="I307" s="43" t="str">
        <f>I304</f>
        <v>-49</v>
      </c>
      <c r="J307" s="25" t="s">
        <v>61</v>
      </c>
      <c r="K307" s="27">
        <f>VLOOKUP($B$304&amp;J307,RXRESULT!$A$1:$J$289,6,FALSE)</f>
        <v>-44</v>
      </c>
      <c r="L307" s="118"/>
      <c r="M307" s="27" t="str">
        <f t="shared" si="28"/>
        <v>PASS</v>
      </c>
      <c r="N307" s="27">
        <f>IF(ISBLANK(K307),"CHUADO",VLOOKUP($B$304&amp;J307,RXRESULT!$A$1:$J$289,8,FALSE))</f>
        <v>99.8</v>
      </c>
    </row>
    <row r="308" spans="1:14" x14ac:dyDescent="0.3">
      <c r="A308" s="104"/>
      <c r="B308" s="108"/>
      <c r="C308" s="109"/>
      <c r="D308" s="110"/>
      <c r="E308" s="114"/>
      <c r="F308" s="116"/>
      <c r="G308" s="43">
        <f t="shared" si="25"/>
        <v>-88.9</v>
      </c>
      <c r="H308" s="116"/>
      <c r="I308" s="43" t="str">
        <f>I304</f>
        <v>-49</v>
      </c>
      <c r="J308" s="25" t="s">
        <v>62</v>
      </c>
      <c r="K308" s="27">
        <f>VLOOKUP($B$304&amp;J308,RXRESULT!$A$1:$J$289,6,FALSE)</f>
        <v>-44</v>
      </c>
      <c r="L308" s="118"/>
      <c r="M308" s="27" t="str">
        <f t="shared" si="28"/>
        <v>PASS</v>
      </c>
      <c r="N308" s="27">
        <f>IF(ISBLANK(K308),"CHUADO",VLOOKUP($B$304&amp;J308,RXRESULT!$A$1:$J$289,8,FALSE))</f>
        <v>99.8</v>
      </c>
    </row>
    <row r="309" spans="1:14" x14ac:dyDescent="0.3">
      <c r="A309" s="104"/>
      <c r="B309" s="108"/>
      <c r="C309" s="109"/>
      <c r="D309" s="110"/>
      <c r="E309" s="114"/>
      <c r="F309" s="116"/>
      <c r="G309" s="43">
        <f t="shared" si="25"/>
        <v>-88.9</v>
      </c>
      <c r="H309" s="116"/>
      <c r="I309" s="43" t="str">
        <f>I304</f>
        <v>-49</v>
      </c>
      <c r="J309" s="25" t="s">
        <v>63</v>
      </c>
      <c r="K309" s="27">
        <f>VLOOKUP($B$304&amp;J309,RXRESULT!$A$1:$J$289,6,FALSE)</f>
        <v>-44</v>
      </c>
      <c r="L309" s="118"/>
      <c r="M309" s="27" t="str">
        <f t="shared" si="28"/>
        <v>PASS</v>
      </c>
      <c r="N309" s="27">
        <f>IF(ISBLANK(K309),"CHUADO",VLOOKUP($B$304&amp;J309,RXRESULT!$A$1:$J$289,8,FALSE))</f>
        <v>99.8</v>
      </c>
    </row>
    <row r="310" spans="1:14" x14ac:dyDescent="0.3">
      <c r="A310" s="104"/>
      <c r="B310" s="108"/>
      <c r="C310" s="109"/>
      <c r="D310" s="110"/>
      <c r="E310" s="114"/>
      <c r="F310" s="116"/>
      <c r="G310" s="43">
        <f t="shared" si="25"/>
        <v>-88.9</v>
      </c>
      <c r="H310" s="116"/>
      <c r="I310" s="43" t="str">
        <f>I304</f>
        <v>-49</v>
      </c>
      <c r="J310" s="25" t="s">
        <v>64</v>
      </c>
      <c r="K310" s="27">
        <f>VLOOKUP($B$304&amp;J310,RXRESULT!$A$1:$J$289,6,FALSE)</f>
        <v>-44</v>
      </c>
      <c r="L310" s="118"/>
      <c r="M310" s="27" t="str">
        <f t="shared" si="28"/>
        <v>PASS</v>
      </c>
      <c r="N310" s="27">
        <f>IF(ISBLANK(K310),"CHUADO",VLOOKUP($B$304&amp;J310,RXRESULT!$A$1:$J$289,8,FALSE))</f>
        <v>99.8</v>
      </c>
    </row>
    <row r="311" spans="1:14" x14ac:dyDescent="0.3">
      <c r="A311" s="104"/>
      <c r="B311" s="111"/>
      <c r="C311" s="112"/>
      <c r="D311" s="113"/>
      <c r="E311" s="114"/>
      <c r="F311" s="117"/>
      <c r="G311" s="43">
        <f t="shared" si="25"/>
        <v>-88.9</v>
      </c>
      <c r="H311" s="117"/>
      <c r="I311" s="43" t="str">
        <f>I304</f>
        <v>-49</v>
      </c>
      <c r="J311" s="25" t="s">
        <v>65</v>
      </c>
      <c r="K311" s="27">
        <f>VLOOKUP($B$304&amp;J311,RXRESULT!$A$1:$J$289,6,FALSE)</f>
        <v>-44</v>
      </c>
      <c r="L311" s="118"/>
      <c r="M311" s="27" t="str">
        <f t="shared" si="28"/>
        <v>PASS</v>
      </c>
      <c r="N311" s="27">
        <f>IF(ISBLANK(K311),"CHUADO",VLOOKUP($B$312&amp;J311,RXRESULT!$A$1:$J$289,8,FALSE))</f>
        <v>99.8</v>
      </c>
    </row>
    <row r="312" spans="1:14" x14ac:dyDescent="0.3">
      <c r="A312" s="104" t="s">
        <v>155</v>
      </c>
      <c r="B312" s="105" t="s">
        <v>156</v>
      </c>
      <c r="C312" s="106"/>
      <c r="D312" s="107"/>
      <c r="E312" s="114" t="s">
        <v>52</v>
      </c>
      <c r="F312" s="115" t="s">
        <v>220</v>
      </c>
      <c r="G312" s="43">
        <f t="shared" si="25"/>
        <v>-88.9</v>
      </c>
      <c r="H312" s="132" t="s">
        <v>207</v>
      </c>
      <c r="I312" s="43" t="s">
        <v>157</v>
      </c>
      <c r="J312" s="25" t="s">
        <v>57</v>
      </c>
      <c r="K312" s="27">
        <f>VLOOKUP($B$312&amp;J312,RXRESULT!$A$1:$J$289,6,FALSE)</f>
        <v>-10</v>
      </c>
      <c r="L312" s="118" t="s">
        <v>158</v>
      </c>
      <c r="M312" s="27" t="str">
        <f t="shared" si="28"/>
        <v>PASS</v>
      </c>
      <c r="N312" s="27">
        <f>IF(ISBLANK(K312),"CHUADO",VLOOKUP($B$304&amp;J312,RXRESULT!$A$1:$J$289,8,FALSE))</f>
        <v>98.9</v>
      </c>
    </row>
    <row r="313" spans="1:14" x14ac:dyDescent="0.3">
      <c r="A313" s="104"/>
      <c r="B313" s="108"/>
      <c r="C313" s="109"/>
      <c r="D313" s="110"/>
      <c r="E313" s="114"/>
      <c r="F313" s="116"/>
      <c r="G313" s="43">
        <f t="shared" si="25"/>
        <v>-88.9</v>
      </c>
      <c r="H313" s="119"/>
      <c r="I313" s="43" t="str">
        <f>I312</f>
        <v>-15</v>
      </c>
      <c r="J313" s="25" t="s">
        <v>59</v>
      </c>
      <c r="K313" s="27">
        <f>VLOOKUP($B$312&amp;J313,RXRESULT!$A$1:$J$289,6,FALSE)</f>
        <v>-10</v>
      </c>
      <c r="L313" s="118"/>
      <c r="M313" s="27" t="str">
        <f t="shared" si="28"/>
        <v>PASS</v>
      </c>
      <c r="N313" s="27">
        <f>IF(ISBLANK(K313),"CHUADO",VLOOKUP($B$304&amp;J313,RXRESULT!$A$1:$J$289,8,FALSE))</f>
        <v>99.8</v>
      </c>
    </row>
    <row r="314" spans="1:14" x14ac:dyDescent="0.3">
      <c r="A314" s="104"/>
      <c r="B314" s="108"/>
      <c r="C314" s="109"/>
      <c r="D314" s="110"/>
      <c r="E314" s="114"/>
      <c r="F314" s="116"/>
      <c r="G314" s="43">
        <f t="shared" si="25"/>
        <v>-88.9</v>
      </c>
      <c r="H314" s="119"/>
      <c r="I314" s="43" t="str">
        <f>I312</f>
        <v>-15</v>
      </c>
      <c r="J314" s="25" t="s">
        <v>60</v>
      </c>
      <c r="K314" s="27">
        <f>VLOOKUP($B$312&amp;J314,RXRESULT!$A$1:$J$289,6,FALSE)</f>
        <v>-10</v>
      </c>
      <c r="L314" s="118"/>
      <c r="M314" s="27" t="str">
        <f t="shared" si="28"/>
        <v>PASS</v>
      </c>
      <c r="N314" s="27">
        <f>IF(ISBLANK(K314),"CHUADO",VLOOKUP($B$304&amp;J314,RXRESULT!$A$1:$J$289,8,FALSE))</f>
        <v>99.8</v>
      </c>
    </row>
    <row r="315" spans="1:14" x14ac:dyDescent="0.3">
      <c r="A315" s="104"/>
      <c r="B315" s="108"/>
      <c r="C315" s="109"/>
      <c r="D315" s="110"/>
      <c r="E315" s="114"/>
      <c r="F315" s="116"/>
      <c r="G315" s="43">
        <f t="shared" si="25"/>
        <v>-88.9</v>
      </c>
      <c r="H315" s="119"/>
      <c r="I315" s="43" t="str">
        <f>I312</f>
        <v>-15</v>
      </c>
      <c r="J315" s="25" t="s">
        <v>61</v>
      </c>
      <c r="K315" s="27">
        <f>VLOOKUP($B$312&amp;J315,RXRESULT!$A$1:$J$289,6,FALSE)</f>
        <v>-10</v>
      </c>
      <c r="L315" s="118"/>
      <c r="M315" s="27" t="str">
        <f t="shared" si="28"/>
        <v>PASS</v>
      </c>
      <c r="N315" s="27">
        <f>IF(ISBLANK(K315),"CHUADO",VLOOKUP($B$304&amp;J315,RXRESULT!$A$1:$J$289,8,FALSE))</f>
        <v>99.8</v>
      </c>
    </row>
    <row r="316" spans="1:14" x14ac:dyDescent="0.3">
      <c r="A316" s="104"/>
      <c r="B316" s="108"/>
      <c r="C316" s="109"/>
      <c r="D316" s="110"/>
      <c r="E316" s="114"/>
      <c r="F316" s="116"/>
      <c r="G316" s="43">
        <f t="shared" si="25"/>
        <v>-88.9</v>
      </c>
      <c r="H316" s="119"/>
      <c r="I316" s="43" t="str">
        <f>I312</f>
        <v>-15</v>
      </c>
      <c r="J316" s="25" t="s">
        <v>62</v>
      </c>
      <c r="K316" s="27">
        <f>VLOOKUP($B$312&amp;J316,RXRESULT!$A$1:$J$289,6,FALSE)</f>
        <v>-10</v>
      </c>
      <c r="L316" s="118"/>
      <c r="M316" s="27" t="str">
        <f t="shared" si="28"/>
        <v>PASS</v>
      </c>
      <c r="N316" s="27">
        <f>IF(ISBLANK(K316),"CHUADO",VLOOKUP($B$304&amp;J316,RXRESULT!$A$1:$J$289,8,FALSE))</f>
        <v>99.8</v>
      </c>
    </row>
    <row r="317" spans="1:14" x14ac:dyDescent="0.3">
      <c r="A317" s="104"/>
      <c r="B317" s="108"/>
      <c r="C317" s="109"/>
      <c r="D317" s="110"/>
      <c r="E317" s="114"/>
      <c r="F317" s="116"/>
      <c r="G317" s="43">
        <f t="shared" si="25"/>
        <v>-88.9</v>
      </c>
      <c r="H317" s="119"/>
      <c r="I317" s="43" t="str">
        <f>I312</f>
        <v>-15</v>
      </c>
      <c r="J317" s="25" t="s">
        <v>63</v>
      </c>
      <c r="K317" s="27">
        <f>VLOOKUP($B$312&amp;J317,RXRESULT!$A$1:$J$289,6,FALSE)</f>
        <v>-10</v>
      </c>
      <c r="L317" s="118"/>
      <c r="M317" s="27" t="str">
        <f t="shared" si="28"/>
        <v>PASS</v>
      </c>
      <c r="N317" s="27">
        <f>IF(ISBLANK(K317),"CHUADO",VLOOKUP($B$304&amp;J317,RXRESULT!$A$1:$J$289,8,FALSE))</f>
        <v>99.8</v>
      </c>
    </row>
    <row r="318" spans="1:14" x14ac:dyDescent="0.3">
      <c r="A318" s="104"/>
      <c r="B318" s="108"/>
      <c r="C318" s="109"/>
      <c r="D318" s="110"/>
      <c r="E318" s="114"/>
      <c r="F318" s="116"/>
      <c r="G318" s="43">
        <f t="shared" si="25"/>
        <v>-88.9</v>
      </c>
      <c r="H318" s="119"/>
      <c r="I318" s="43" t="str">
        <f>I312</f>
        <v>-15</v>
      </c>
      <c r="J318" s="25" t="s">
        <v>64</v>
      </c>
      <c r="K318" s="27">
        <f>VLOOKUP($B$312&amp;J318,RXRESULT!$A$1:$J$289,6,FALSE)</f>
        <v>-10</v>
      </c>
      <c r="L318" s="118"/>
      <c r="M318" s="27" t="str">
        <f t="shared" si="28"/>
        <v>PASS</v>
      </c>
      <c r="N318" s="27">
        <f>IF(ISBLANK(K318),"CHUADO",VLOOKUP($B$304&amp;J318,RXRESULT!$A$1:$J$289,8,FALSE))</f>
        <v>99.8</v>
      </c>
    </row>
    <row r="319" spans="1:14" x14ac:dyDescent="0.3">
      <c r="A319" s="104"/>
      <c r="B319" s="111"/>
      <c r="C319" s="112"/>
      <c r="D319" s="113"/>
      <c r="E319" s="114"/>
      <c r="F319" s="117"/>
      <c r="G319" s="43">
        <f t="shared" si="25"/>
        <v>-88.9</v>
      </c>
      <c r="H319" s="120"/>
      <c r="I319" s="43" t="str">
        <f>I312</f>
        <v>-15</v>
      </c>
      <c r="J319" s="25" t="s">
        <v>65</v>
      </c>
      <c r="K319" s="27">
        <f>VLOOKUP($B$312&amp;J319,RXRESULT!$A$1:$J$289,6,FALSE)</f>
        <v>-10</v>
      </c>
      <c r="L319" s="118"/>
      <c r="M319" s="27" t="str">
        <f t="shared" si="28"/>
        <v>PASS</v>
      </c>
      <c r="N319" s="27">
        <f>IF(ISBLANK(K319),"CHUADO",VLOOKUP($B$304&amp;J319,RXRESULT!$A$1:$J$289,8,FALSE))</f>
        <v>99.8</v>
      </c>
    </row>
    <row r="320" spans="1:14" ht="15.75" customHeight="1" x14ac:dyDescent="0.3">
      <c r="A320" s="115" t="s">
        <v>159</v>
      </c>
      <c r="B320" s="105" t="s">
        <v>160</v>
      </c>
      <c r="C320" s="106"/>
      <c r="D320" s="107"/>
      <c r="E320" s="114" t="s">
        <v>52</v>
      </c>
      <c r="F320" s="115"/>
      <c r="G320" s="123" t="s">
        <v>222</v>
      </c>
      <c r="H320" s="124"/>
      <c r="I320" s="125"/>
      <c r="J320" s="25" t="s">
        <v>57</v>
      </c>
      <c r="K320" s="27"/>
      <c r="L320" s="118" t="s">
        <v>161</v>
      </c>
      <c r="M320" s="27" t="str">
        <f t="shared" si="28"/>
        <v/>
      </c>
      <c r="N320" s="27" t="str">
        <f t="shared" ref="N320:N336" si="29">IF(ISBLANK(K320),"CHUADO","")</f>
        <v>CHUADO</v>
      </c>
    </row>
    <row r="321" spans="1:14" ht="15.6" customHeight="1" x14ac:dyDescent="0.3">
      <c r="A321" s="116"/>
      <c r="B321" s="108"/>
      <c r="C321" s="109"/>
      <c r="D321" s="110"/>
      <c r="E321" s="114"/>
      <c r="F321" s="116"/>
      <c r="G321" s="126"/>
      <c r="H321" s="127"/>
      <c r="I321" s="128"/>
      <c r="J321" s="25" t="s">
        <v>59</v>
      </c>
      <c r="K321" s="27"/>
      <c r="L321" s="118"/>
      <c r="M321" s="27" t="str">
        <f t="shared" si="28"/>
        <v/>
      </c>
      <c r="N321" s="27" t="str">
        <f t="shared" si="29"/>
        <v>CHUADO</v>
      </c>
    </row>
    <row r="322" spans="1:14" x14ac:dyDescent="0.3">
      <c r="A322" s="116"/>
      <c r="B322" s="108"/>
      <c r="C322" s="109"/>
      <c r="D322" s="110"/>
      <c r="E322" s="114"/>
      <c r="F322" s="116"/>
      <c r="G322" s="126"/>
      <c r="H322" s="127"/>
      <c r="I322" s="128"/>
      <c r="J322" s="25" t="s">
        <v>60</v>
      </c>
      <c r="K322" s="27"/>
      <c r="L322" s="118"/>
      <c r="M322" s="27" t="str">
        <f t="shared" si="28"/>
        <v/>
      </c>
      <c r="N322" s="27" t="str">
        <f t="shared" si="29"/>
        <v>CHUADO</v>
      </c>
    </row>
    <row r="323" spans="1:14" x14ac:dyDescent="0.3">
      <c r="A323" s="116"/>
      <c r="B323" s="108"/>
      <c r="C323" s="109"/>
      <c r="D323" s="110"/>
      <c r="E323" s="114"/>
      <c r="F323" s="116"/>
      <c r="G323" s="126"/>
      <c r="H323" s="127"/>
      <c r="I323" s="128"/>
      <c r="J323" s="25" t="s">
        <v>61</v>
      </c>
      <c r="K323" s="27"/>
      <c r="L323" s="118"/>
      <c r="M323" s="27" t="str">
        <f t="shared" si="28"/>
        <v/>
      </c>
      <c r="N323" s="27" t="str">
        <f t="shared" si="29"/>
        <v>CHUADO</v>
      </c>
    </row>
    <row r="324" spans="1:14" x14ac:dyDescent="0.3">
      <c r="A324" s="116"/>
      <c r="B324" s="108"/>
      <c r="C324" s="109"/>
      <c r="D324" s="110"/>
      <c r="E324" s="114"/>
      <c r="F324" s="116"/>
      <c r="G324" s="126"/>
      <c r="H324" s="127"/>
      <c r="I324" s="128"/>
      <c r="J324" s="25" t="s">
        <v>62</v>
      </c>
      <c r="K324" s="27"/>
      <c r="L324" s="118"/>
      <c r="M324" s="27" t="str">
        <f t="shared" si="28"/>
        <v/>
      </c>
      <c r="N324" s="27" t="str">
        <f t="shared" si="29"/>
        <v>CHUADO</v>
      </c>
    </row>
    <row r="325" spans="1:14" x14ac:dyDescent="0.3">
      <c r="A325" s="116"/>
      <c r="B325" s="108"/>
      <c r="C325" s="109"/>
      <c r="D325" s="110"/>
      <c r="E325" s="114"/>
      <c r="F325" s="116"/>
      <c r="G325" s="126"/>
      <c r="H325" s="127"/>
      <c r="I325" s="128"/>
      <c r="J325" s="25" t="s">
        <v>63</v>
      </c>
      <c r="K325" s="27"/>
      <c r="L325" s="118"/>
      <c r="M325" s="27" t="str">
        <f t="shared" si="28"/>
        <v/>
      </c>
      <c r="N325" s="27" t="str">
        <f t="shared" si="29"/>
        <v>CHUADO</v>
      </c>
    </row>
    <row r="326" spans="1:14" x14ac:dyDescent="0.3">
      <c r="A326" s="116"/>
      <c r="B326" s="108"/>
      <c r="C326" s="109"/>
      <c r="D326" s="110"/>
      <c r="E326" s="114"/>
      <c r="F326" s="116"/>
      <c r="G326" s="126"/>
      <c r="H326" s="127"/>
      <c r="I326" s="128"/>
      <c r="J326" s="25" t="s">
        <v>64</v>
      </c>
      <c r="K326" s="27"/>
      <c r="L326" s="118"/>
      <c r="M326" s="27" t="str">
        <f t="shared" si="28"/>
        <v/>
      </c>
      <c r="N326" s="27" t="str">
        <f t="shared" si="29"/>
        <v>CHUADO</v>
      </c>
    </row>
    <row r="327" spans="1:14" x14ac:dyDescent="0.3">
      <c r="A327" s="116"/>
      <c r="B327" s="108"/>
      <c r="C327" s="109"/>
      <c r="D327" s="110"/>
      <c r="E327" s="114"/>
      <c r="F327" s="117"/>
      <c r="G327" s="129"/>
      <c r="H327" s="130"/>
      <c r="I327" s="131"/>
      <c r="J327" s="25" t="s">
        <v>65</v>
      </c>
      <c r="K327" s="27"/>
      <c r="L327" s="118"/>
      <c r="M327" s="27" t="str">
        <f t="shared" si="28"/>
        <v/>
      </c>
      <c r="N327" s="27" t="str">
        <f t="shared" si="29"/>
        <v>CHUADO</v>
      </c>
    </row>
    <row r="328" spans="1:14" ht="15.6" customHeight="1" x14ac:dyDescent="0.3">
      <c r="A328" s="116"/>
      <c r="B328" s="108"/>
      <c r="C328" s="109"/>
      <c r="D328" s="110"/>
      <c r="E328" s="114" t="s">
        <v>52</v>
      </c>
      <c r="F328" s="115"/>
      <c r="G328" s="123" t="s">
        <v>223</v>
      </c>
      <c r="H328" s="124"/>
      <c r="I328" s="125"/>
      <c r="J328" s="25" t="s">
        <v>57</v>
      </c>
      <c r="K328" s="27"/>
      <c r="L328" s="118" t="s">
        <v>161</v>
      </c>
      <c r="M328" s="27" t="str">
        <f t="shared" si="28"/>
        <v/>
      </c>
      <c r="N328" s="27" t="str">
        <f t="shared" si="29"/>
        <v>CHUADO</v>
      </c>
    </row>
    <row r="329" spans="1:14" ht="15.6" customHeight="1" x14ac:dyDescent="0.3">
      <c r="A329" s="116"/>
      <c r="B329" s="108"/>
      <c r="C329" s="109"/>
      <c r="D329" s="110"/>
      <c r="E329" s="114"/>
      <c r="F329" s="116"/>
      <c r="G329" s="126"/>
      <c r="H329" s="127"/>
      <c r="I329" s="128"/>
      <c r="J329" s="25" t="s">
        <v>59</v>
      </c>
      <c r="K329" s="27"/>
      <c r="L329" s="118"/>
      <c r="M329" s="27" t="str">
        <f t="shared" si="28"/>
        <v/>
      </c>
      <c r="N329" s="27" t="str">
        <f t="shared" si="29"/>
        <v>CHUADO</v>
      </c>
    </row>
    <row r="330" spans="1:14" x14ac:dyDescent="0.3">
      <c r="A330" s="116"/>
      <c r="B330" s="108"/>
      <c r="C330" s="109"/>
      <c r="D330" s="110"/>
      <c r="E330" s="114"/>
      <c r="F330" s="116"/>
      <c r="G330" s="126"/>
      <c r="H330" s="127"/>
      <c r="I330" s="128"/>
      <c r="J330" s="25" t="s">
        <v>60</v>
      </c>
      <c r="K330" s="27"/>
      <c r="L330" s="118"/>
      <c r="M330" s="27" t="str">
        <f t="shared" si="28"/>
        <v/>
      </c>
      <c r="N330" s="27" t="str">
        <f t="shared" si="29"/>
        <v>CHUADO</v>
      </c>
    </row>
    <row r="331" spans="1:14" x14ac:dyDescent="0.3">
      <c r="A331" s="116"/>
      <c r="B331" s="108"/>
      <c r="C331" s="109"/>
      <c r="D331" s="110"/>
      <c r="E331" s="114"/>
      <c r="F331" s="116"/>
      <c r="G331" s="126"/>
      <c r="H331" s="127"/>
      <c r="I331" s="128"/>
      <c r="J331" s="25" t="s">
        <v>61</v>
      </c>
      <c r="K331" s="27"/>
      <c r="L331" s="118"/>
      <c r="M331" s="27" t="str">
        <f t="shared" si="28"/>
        <v/>
      </c>
      <c r="N331" s="27" t="str">
        <f t="shared" si="29"/>
        <v>CHUADO</v>
      </c>
    </row>
    <row r="332" spans="1:14" x14ac:dyDescent="0.3">
      <c r="A332" s="116"/>
      <c r="B332" s="108"/>
      <c r="C332" s="109"/>
      <c r="D332" s="110"/>
      <c r="E332" s="114"/>
      <c r="F332" s="116"/>
      <c r="G332" s="126"/>
      <c r="H332" s="127"/>
      <c r="I332" s="128"/>
      <c r="J332" s="25" t="s">
        <v>62</v>
      </c>
      <c r="K332" s="27"/>
      <c r="L332" s="118"/>
      <c r="M332" s="27" t="str">
        <f t="shared" si="28"/>
        <v/>
      </c>
      <c r="N332" s="27" t="str">
        <f t="shared" si="29"/>
        <v>CHUADO</v>
      </c>
    </row>
    <row r="333" spans="1:14" x14ac:dyDescent="0.3">
      <c r="A333" s="116"/>
      <c r="B333" s="108"/>
      <c r="C333" s="109"/>
      <c r="D333" s="110"/>
      <c r="E333" s="114"/>
      <c r="F333" s="116"/>
      <c r="G333" s="126"/>
      <c r="H333" s="127"/>
      <c r="I333" s="128"/>
      <c r="J333" s="25" t="s">
        <v>63</v>
      </c>
      <c r="K333" s="27"/>
      <c r="L333" s="118"/>
      <c r="M333" s="27" t="str">
        <f t="shared" si="28"/>
        <v/>
      </c>
      <c r="N333" s="27" t="str">
        <f t="shared" si="29"/>
        <v>CHUADO</v>
      </c>
    </row>
    <row r="334" spans="1:14" x14ac:dyDescent="0.3">
      <c r="A334" s="116"/>
      <c r="B334" s="108"/>
      <c r="C334" s="109"/>
      <c r="D334" s="110"/>
      <c r="E334" s="114"/>
      <c r="F334" s="116"/>
      <c r="G334" s="126"/>
      <c r="H334" s="127"/>
      <c r="I334" s="128"/>
      <c r="J334" s="25" t="s">
        <v>64</v>
      </c>
      <c r="K334" s="27"/>
      <c r="L334" s="118"/>
      <c r="M334" s="27" t="str">
        <f t="shared" si="28"/>
        <v/>
      </c>
      <c r="N334" s="27" t="str">
        <f t="shared" si="29"/>
        <v>CHUADO</v>
      </c>
    </row>
    <row r="335" spans="1:14" x14ac:dyDescent="0.3">
      <c r="A335" s="116"/>
      <c r="B335" s="108"/>
      <c r="C335" s="109"/>
      <c r="D335" s="110"/>
      <c r="E335" s="114"/>
      <c r="F335" s="117"/>
      <c r="G335" s="129"/>
      <c r="H335" s="130"/>
      <c r="I335" s="131"/>
      <c r="J335" s="25" t="s">
        <v>65</v>
      </c>
      <c r="K335" s="27"/>
      <c r="L335" s="118"/>
      <c r="M335" s="27" t="str">
        <f t="shared" si="28"/>
        <v/>
      </c>
      <c r="N335" s="27" t="str">
        <f t="shared" si="29"/>
        <v>CHUADO</v>
      </c>
    </row>
    <row r="336" spans="1:14" ht="15.6" customHeight="1" x14ac:dyDescent="0.3">
      <c r="A336" s="116"/>
      <c r="B336" s="108"/>
      <c r="C336" s="109"/>
      <c r="D336" s="110"/>
      <c r="E336" s="114" t="s">
        <v>52</v>
      </c>
      <c r="F336" s="115"/>
      <c r="G336" s="123" t="s">
        <v>224</v>
      </c>
      <c r="H336" s="124"/>
      <c r="I336" s="125"/>
      <c r="J336" s="25" t="s">
        <v>57</v>
      </c>
      <c r="K336" s="27"/>
      <c r="L336" s="118" t="s">
        <v>161</v>
      </c>
      <c r="M336" s="27" t="str">
        <f t="shared" si="28"/>
        <v/>
      </c>
      <c r="N336" s="27" t="str">
        <f t="shared" si="29"/>
        <v>CHUADO</v>
      </c>
    </row>
    <row r="337" spans="1:14" ht="15.6" customHeight="1" x14ac:dyDescent="0.3">
      <c r="A337" s="116"/>
      <c r="B337" s="108"/>
      <c r="C337" s="109"/>
      <c r="D337" s="110"/>
      <c r="E337" s="114"/>
      <c r="F337" s="116"/>
      <c r="G337" s="126"/>
      <c r="H337" s="127"/>
      <c r="I337" s="128"/>
      <c r="J337" s="25" t="s">
        <v>59</v>
      </c>
      <c r="K337" s="27"/>
      <c r="L337" s="118"/>
      <c r="M337" s="27" t="str">
        <f t="shared" si="28"/>
        <v/>
      </c>
      <c r="N337" s="27" t="str">
        <f t="shared" ref="N337:N343" si="30">IF(ISBLANK(K337),"CHUADO","")</f>
        <v>CHUADO</v>
      </c>
    </row>
    <row r="338" spans="1:14" x14ac:dyDescent="0.3">
      <c r="A338" s="116"/>
      <c r="B338" s="108"/>
      <c r="C338" s="109"/>
      <c r="D338" s="110"/>
      <c r="E338" s="114"/>
      <c r="F338" s="116"/>
      <c r="G338" s="126"/>
      <c r="H338" s="127"/>
      <c r="I338" s="128"/>
      <c r="J338" s="25" t="s">
        <v>60</v>
      </c>
      <c r="K338" s="27"/>
      <c r="L338" s="118"/>
      <c r="M338" s="27" t="str">
        <f t="shared" si="28"/>
        <v/>
      </c>
      <c r="N338" s="27" t="str">
        <f t="shared" si="30"/>
        <v>CHUADO</v>
      </c>
    </row>
    <row r="339" spans="1:14" x14ac:dyDescent="0.3">
      <c r="A339" s="116"/>
      <c r="B339" s="108"/>
      <c r="C339" s="109"/>
      <c r="D339" s="110"/>
      <c r="E339" s="114"/>
      <c r="F339" s="116"/>
      <c r="G339" s="126"/>
      <c r="H339" s="127"/>
      <c r="I339" s="128"/>
      <c r="J339" s="25" t="s">
        <v>61</v>
      </c>
      <c r="K339" s="27"/>
      <c r="L339" s="118"/>
      <c r="M339" s="27" t="str">
        <f t="shared" si="28"/>
        <v/>
      </c>
      <c r="N339" s="27" t="str">
        <f t="shared" si="30"/>
        <v>CHUADO</v>
      </c>
    </row>
    <row r="340" spans="1:14" x14ac:dyDescent="0.3">
      <c r="A340" s="116"/>
      <c r="B340" s="108"/>
      <c r="C340" s="109"/>
      <c r="D340" s="110"/>
      <c r="E340" s="114"/>
      <c r="F340" s="116"/>
      <c r="G340" s="126"/>
      <c r="H340" s="127"/>
      <c r="I340" s="128"/>
      <c r="J340" s="25" t="s">
        <v>62</v>
      </c>
      <c r="K340" s="27"/>
      <c r="L340" s="118"/>
      <c r="M340" s="27" t="str">
        <f t="shared" si="28"/>
        <v/>
      </c>
      <c r="N340" s="27" t="str">
        <f t="shared" si="30"/>
        <v>CHUADO</v>
      </c>
    </row>
    <row r="341" spans="1:14" x14ac:dyDescent="0.3">
      <c r="A341" s="116"/>
      <c r="B341" s="108"/>
      <c r="C341" s="109"/>
      <c r="D341" s="110"/>
      <c r="E341" s="114"/>
      <c r="F341" s="116"/>
      <c r="G341" s="126"/>
      <c r="H341" s="127"/>
      <c r="I341" s="128"/>
      <c r="J341" s="25" t="s">
        <v>63</v>
      </c>
      <c r="K341" s="27"/>
      <c r="L341" s="118"/>
      <c r="M341" s="27" t="str">
        <f t="shared" si="28"/>
        <v/>
      </c>
      <c r="N341" s="27" t="str">
        <f t="shared" si="30"/>
        <v>CHUADO</v>
      </c>
    </row>
    <row r="342" spans="1:14" x14ac:dyDescent="0.3">
      <c r="A342" s="116"/>
      <c r="B342" s="108"/>
      <c r="C342" s="109"/>
      <c r="D342" s="110"/>
      <c r="E342" s="114"/>
      <c r="F342" s="116"/>
      <c r="G342" s="126"/>
      <c r="H342" s="127"/>
      <c r="I342" s="128"/>
      <c r="J342" s="25" t="s">
        <v>64</v>
      </c>
      <c r="K342" s="27"/>
      <c r="L342" s="118"/>
      <c r="M342" s="27" t="str">
        <f t="shared" si="28"/>
        <v/>
      </c>
      <c r="N342" s="27" t="str">
        <f t="shared" si="30"/>
        <v>CHUADO</v>
      </c>
    </row>
    <row r="343" spans="1:14" x14ac:dyDescent="0.3">
      <c r="A343" s="117"/>
      <c r="B343" s="111"/>
      <c r="C343" s="112"/>
      <c r="D343" s="113"/>
      <c r="E343" s="114"/>
      <c r="F343" s="117"/>
      <c r="G343" s="129"/>
      <c r="H343" s="130"/>
      <c r="I343" s="131"/>
      <c r="J343" s="25" t="s">
        <v>65</v>
      </c>
      <c r="K343" s="27"/>
      <c r="L343" s="118"/>
      <c r="M343" s="27" t="str">
        <f t="shared" si="28"/>
        <v/>
      </c>
      <c r="N343" s="27" t="str">
        <f t="shared" si="30"/>
        <v>CHUADO</v>
      </c>
    </row>
    <row r="344" spans="1:14" ht="15.75" customHeight="1" x14ac:dyDescent="0.3">
      <c r="A344" s="104" t="s">
        <v>162</v>
      </c>
      <c r="B344" s="105" t="s">
        <v>163</v>
      </c>
      <c r="C344" s="106"/>
      <c r="D344" s="107"/>
      <c r="E344" s="114" t="s">
        <v>52</v>
      </c>
      <c r="F344" s="115" t="s">
        <v>220</v>
      </c>
      <c r="G344" s="43">
        <f>$G$272*1+6</f>
        <v>-88.9</v>
      </c>
      <c r="H344" s="115" t="s">
        <v>217</v>
      </c>
      <c r="I344" s="43" t="s">
        <v>145</v>
      </c>
      <c r="J344" s="25" t="s">
        <v>57</v>
      </c>
      <c r="K344" s="27">
        <f>VLOOKUP($B$344&amp;J344,RXRESULT!$A$1:$J$289,6,FALSE)</f>
        <v>-47</v>
      </c>
      <c r="L344" s="118" t="s">
        <v>164</v>
      </c>
      <c r="M344" s="27" t="str">
        <f t="shared" si="28"/>
        <v>PASS</v>
      </c>
      <c r="N344" s="27">
        <f>IF(ISBLANK(K344),"CHUADO",VLOOKUP($B$344&amp;J344,RXRESULT!$A$1:$J$289,8,FALSE))</f>
        <v>98.9</v>
      </c>
    </row>
    <row r="345" spans="1:14" ht="15.6" customHeight="1" x14ac:dyDescent="0.3">
      <c r="A345" s="104"/>
      <c r="B345" s="108"/>
      <c r="C345" s="109"/>
      <c r="D345" s="110"/>
      <c r="E345" s="114"/>
      <c r="F345" s="116"/>
      <c r="G345" s="43">
        <f t="shared" ref="G345:G359" si="31">$G$272*1+6</f>
        <v>-88.9</v>
      </c>
      <c r="H345" s="119"/>
      <c r="I345" s="43" t="s">
        <v>145</v>
      </c>
      <c r="J345" s="25" t="s">
        <v>59</v>
      </c>
      <c r="K345" s="27">
        <f>VLOOKUP($B$344&amp;J345,RXRESULT!$A$1:$J$289,6,FALSE)</f>
        <v>-47</v>
      </c>
      <c r="L345" s="118"/>
      <c r="M345" s="27" t="str">
        <f t="shared" si="28"/>
        <v>PASS</v>
      </c>
      <c r="N345" s="27">
        <f>IF(ISBLANK(K345),"CHUADO",VLOOKUP($B$344&amp;J345,RXRESULT!$A$1:$J$289,8,FALSE))</f>
        <v>99.8</v>
      </c>
    </row>
    <row r="346" spans="1:14" x14ac:dyDescent="0.3">
      <c r="A346" s="104"/>
      <c r="B346" s="108"/>
      <c r="C346" s="109"/>
      <c r="D346" s="110"/>
      <c r="E346" s="114"/>
      <c r="F346" s="116"/>
      <c r="G346" s="43">
        <f t="shared" si="31"/>
        <v>-88.9</v>
      </c>
      <c r="H346" s="119"/>
      <c r="I346" s="43" t="s">
        <v>145</v>
      </c>
      <c r="J346" s="25" t="s">
        <v>60</v>
      </c>
      <c r="K346" s="27">
        <f>VLOOKUP($B$344&amp;J346,RXRESULT!$A$1:$J$289,6,FALSE)</f>
        <v>-47</v>
      </c>
      <c r="L346" s="118"/>
      <c r="M346" s="27" t="str">
        <f t="shared" si="28"/>
        <v>PASS</v>
      </c>
      <c r="N346" s="27">
        <f>IF(ISBLANK(K346),"CHUADO",VLOOKUP($B$344&amp;J346,RXRESULT!$A$1:$J$289,8,FALSE))</f>
        <v>99.8</v>
      </c>
    </row>
    <row r="347" spans="1:14" x14ac:dyDescent="0.3">
      <c r="A347" s="104"/>
      <c r="B347" s="108"/>
      <c r="C347" s="109"/>
      <c r="D347" s="110"/>
      <c r="E347" s="114"/>
      <c r="F347" s="116"/>
      <c r="G347" s="43">
        <f t="shared" si="31"/>
        <v>-88.9</v>
      </c>
      <c r="H347" s="119"/>
      <c r="I347" s="43" t="s">
        <v>145</v>
      </c>
      <c r="J347" s="25" t="s">
        <v>61</v>
      </c>
      <c r="K347" s="27">
        <f>VLOOKUP($B$344&amp;J347,RXRESULT!$A$1:$J$289,6,FALSE)</f>
        <v>-47</v>
      </c>
      <c r="L347" s="118"/>
      <c r="M347" s="27" t="str">
        <f t="shared" si="28"/>
        <v>PASS</v>
      </c>
      <c r="N347" s="27">
        <f>IF(ISBLANK(K347),"CHUADO",VLOOKUP($B$344&amp;J347,RXRESULT!$A$1:$J$289,8,FALSE))</f>
        <v>99.8</v>
      </c>
    </row>
    <row r="348" spans="1:14" x14ac:dyDescent="0.3">
      <c r="A348" s="104"/>
      <c r="B348" s="108"/>
      <c r="C348" s="109"/>
      <c r="D348" s="110"/>
      <c r="E348" s="114"/>
      <c r="F348" s="116"/>
      <c r="G348" s="43">
        <f t="shared" si="31"/>
        <v>-88.9</v>
      </c>
      <c r="H348" s="119"/>
      <c r="I348" s="43" t="s">
        <v>145</v>
      </c>
      <c r="J348" s="25" t="s">
        <v>62</v>
      </c>
      <c r="K348" s="27">
        <f>VLOOKUP($B$344&amp;J348,RXRESULT!$A$1:$J$289,6,FALSE)</f>
        <v>-47</v>
      </c>
      <c r="L348" s="118"/>
      <c r="M348" s="27" t="str">
        <f t="shared" si="28"/>
        <v>PASS</v>
      </c>
      <c r="N348" s="27">
        <f>IF(ISBLANK(K348),"CHUADO",VLOOKUP($B$344&amp;J348,RXRESULT!$A$1:$J$289,8,FALSE))</f>
        <v>99.8</v>
      </c>
    </row>
    <row r="349" spans="1:14" x14ac:dyDescent="0.3">
      <c r="A349" s="104"/>
      <c r="B349" s="108"/>
      <c r="C349" s="109"/>
      <c r="D349" s="110"/>
      <c r="E349" s="114"/>
      <c r="F349" s="116"/>
      <c r="G349" s="43">
        <f t="shared" si="31"/>
        <v>-88.9</v>
      </c>
      <c r="H349" s="119"/>
      <c r="I349" s="43" t="s">
        <v>145</v>
      </c>
      <c r="J349" s="25" t="s">
        <v>63</v>
      </c>
      <c r="K349" s="27">
        <f>VLOOKUP($B$344&amp;J349,RXRESULT!$A$1:$J$289,6,FALSE)</f>
        <v>-47</v>
      </c>
      <c r="L349" s="118"/>
      <c r="M349" s="27" t="str">
        <f t="shared" si="28"/>
        <v>PASS</v>
      </c>
      <c r="N349" s="27">
        <f>IF(ISBLANK(K349),"CHUADO",VLOOKUP($B$344&amp;J349,RXRESULT!$A$1:$J$289,8,FALSE))</f>
        <v>99.8</v>
      </c>
    </row>
    <row r="350" spans="1:14" x14ac:dyDescent="0.3">
      <c r="A350" s="104"/>
      <c r="B350" s="108"/>
      <c r="C350" s="109"/>
      <c r="D350" s="110"/>
      <c r="E350" s="114"/>
      <c r="F350" s="116"/>
      <c r="G350" s="43">
        <f t="shared" si="31"/>
        <v>-88.9</v>
      </c>
      <c r="H350" s="119"/>
      <c r="I350" s="43" t="s">
        <v>145</v>
      </c>
      <c r="J350" s="25" t="s">
        <v>64</v>
      </c>
      <c r="K350" s="27">
        <f>VLOOKUP($B$344&amp;J350,RXRESULT!$A$1:$J$289,6,FALSE)</f>
        <v>-47</v>
      </c>
      <c r="L350" s="118"/>
      <c r="M350" s="27" t="str">
        <f t="shared" si="28"/>
        <v>PASS</v>
      </c>
      <c r="N350" s="27">
        <f>IF(ISBLANK(K350),"CHUADO",VLOOKUP($B$344&amp;J350,RXRESULT!$A$1:$J$289,8,FALSE))</f>
        <v>99.8</v>
      </c>
    </row>
    <row r="351" spans="1:14" x14ac:dyDescent="0.3">
      <c r="A351" s="104"/>
      <c r="B351" s="111"/>
      <c r="C351" s="112"/>
      <c r="D351" s="113"/>
      <c r="E351" s="114"/>
      <c r="F351" s="117"/>
      <c r="G351" s="43">
        <f t="shared" si="31"/>
        <v>-88.9</v>
      </c>
      <c r="H351" s="120"/>
      <c r="I351" s="43" t="s">
        <v>145</v>
      </c>
      <c r="J351" s="25" t="s">
        <v>65</v>
      </c>
      <c r="K351" s="27">
        <f>VLOOKUP($B$344&amp;J351,RXRESULT!$A$1:$J$289,6,FALSE)</f>
        <v>-47</v>
      </c>
      <c r="L351" s="118"/>
      <c r="M351" s="27" t="str">
        <f t="shared" si="28"/>
        <v>PASS</v>
      </c>
      <c r="N351" s="27">
        <f>IF(ISBLANK(K351),"CHUADO",VLOOKUP($B$344&amp;J351,RXRESULT!$A$1:$J$289,8,FALSE))</f>
        <v>99.8</v>
      </c>
    </row>
    <row r="352" spans="1:14" x14ac:dyDescent="0.3">
      <c r="A352" s="104" t="s">
        <v>165</v>
      </c>
      <c r="B352" s="105" t="s">
        <v>166</v>
      </c>
      <c r="C352" s="106"/>
      <c r="D352" s="107"/>
      <c r="E352" s="114" t="s">
        <v>52</v>
      </c>
      <c r="F352" s="115" t="s">
        <v>220</v>
      </c>
      <c r="G352" s="43">
        <f t="shared" si="31"/>
        <v>-88.9</v>
      </c>
      <c r="H352" s="115" t="s">
        <v>218</v>
      </c>
      <c r="I352" s="43" t="s">
        <v>145</v>
      </c>
      <c r="J352" s="25" t="s">
        <v>57</v>
      </c>
      <c r="K352" s="27">
        <f>VLOOKUP($B$352&amp;J352,RXRESULT!$A$1:$J$289,6,FALSE)</f>
        <v>-47</v>
      </c>
      <c r="L352" s="118" t="s">
        <v>167</v>
      </c>
      <c r="M352" s="27" t="str">
        <f>IF(ISBLANK(K352),"",IF(AND(K352*1&gt;=I352*1),"PASS","FAIL"))</f>
        <v>PASS</v>
      </c>
      <c r="N352" s="27">
        <f>IF(ISBLANK(K352),"CHUADO",VLOOKUP($B$352&amp;J352,RXRESULT!$A$1:$J$289,8,FALSE))</f>
        <v>98.9</v>
      </c>
    </row>
    <row r="353" spans="1:14" ht="15.6" customHeight="1" x14ac:dyDescent="0.3">
      <c r="A353" s="104"/>
      <c r="B353" s="108"/>
      <c r="C353" s="109"/>
      <c r="D353" s="110"/>
      <c r="E353" s="114"/>
      <c r="F353" s="116"/>
      <c r="G353" s="43">
        <f t="shared" si="31"/>
        <v>-88.9</v>
      </c>
      <c r="H353" s="119"/>
      <c r="I353" s="43" t="str">
        <f>I352</f>
        <v>-52</v>
      </c>
      <c r="J353" s="25" t="s">
        <v>59</v>
      </c>
      <c r="K353" s="27">
        <f>VLOOKUP($B$352&amp;J353,RXRESULT!$A$1:$J$289,6,FALSE)</f>
        <v>-47</v>
      </c>
      <c r="L353" s="118"/>
      <c r="M353" s="27" t="str">
        <f t="shared" si="28"/>
        <v>PASS</v>
      </c>
      <c r="N353" s="27">
        <f>IF(ISBLANK(K353),"CHUADO",VLOOKUP($B$352&amp;J353,RXRESULT!$A$1:$J$289,8,FALSE))</f>
        <v>99.8</v>
      </c>
    </row>
    <row r="354" spans="1:14" x14ac:dyDescent="0.3">
      <c r="A354" s="104"/>
      <c r="B354" s="108"/>
      <c r="C354" s="109"/>
      <c r="D354" s="110"/>
      <c r="E354" s="114"/>
      <c r="F354" s="116"/>
      <c r="G354" s="43">
        <f t="shared" si="31"/>
        <v>-88.9</v>
      </c>
      <c r="H354" s="119"/>
      <c r="I354" s="43" t="str">
        <f>I352</f>
        <v>-52</v>
      </c>
      <c r="J354" s="25" t="s">
        <v>60</v>
      </c>
      <c r="K354" s="27">
        <f>VLOOKUP($B$352&amp;J354,RXRESULT!$A$1:$J$289,6,FALSE)</f>
        <v>-47</v>
      </c>
      <c r="L354" s="118"/>
      <c r="M354" s="27" t="str">
        <f t="shared" si="28"/>
        <v>PASS</v>
      </c>
      <c r="N354" s="27">
        <f>IF(ISBLANK(K354),"CHUADO",VLOOKUP($B$352&amp;J354,RXRESULT!$A$1:$J$289,8,FALSE))</f>
        <v>99.8</v>
      </c>
    </row>
    <row r="355" spans="1:14" x14ac:dyDescent="0.3">
      <c r="A355" s="104"/>
      <c r="B355" s="108"/>
      <c r="C355" s="109"/>
      <c r="D355" s="110"/>
      <c r="E355" s="114"/>
      <c r="F355" s="116"/>
      <c r="G355" s="43">
        <f t="shared" si="31"/>
        <v>-88.9</v>
      </c>
      <c r="H355" s="119"/>
      <c r="I355" s="43" t="str">
        <f>I352</f>
        <v>-52</v>
      </c>
      <c r="J355" s="25" t="s">
        <v>61</v>
      </c>
      <c r="K355" s="27">
        <f>VLOOKUP($B$352&amp;J355,RXRESULT!$A$1:$J$289,6,FALSE)</f>
        <v>-47</v>
      </c>
      <c r="L355" s="118"/>
      <c r="M355" s="27" t="str">
        <f t="shared" si="28"/>
        <v>PASS</v>
      </c>
      <c r="N355" s="27">
        <f>IF(ISBLANK(K355),"CHUADO",VLOOKUP($B$352&amp;J355,RXRESULT!$A$1:$J$289,8,FALSE))</f>
        <v>99.8</v>
      </c>
    </row>
    <row r="356" spans="1:14" x14ac:dyDescent="0.3">
      <c r="A356" s="104"/>
      <c r="B356" s="108"/>
      <c r="C356" s="109"/>
      <c r="D356" s="110"/>
      <c r="E356" s="114"/>
      <c r="F356" s="116"/>
      <c r="G356" s="43">
        <f t="shared" si="31"/>
        <v>-88.9</v>
      </c>
      <c r="H356" s="119"/>
      <c r="I356" s="43" t="str">
        <f>I352</f>
        <v>-52</v>
      </c>
      <c r="J356" s="25" t="s">
        <v>62</v>
      </c>
      <c r="K356" s="27">
        <f>VLOOKUP($B$352&amp;J356,RXRESULT!$A$1:$J$289,6,FALSE)</f>
        <v>-47</v>
      </c>
      <c r="L356" s="118"/>
      <c r="M356" s="27" t="str">
        <f t="shared" si="28"/>
        <v>PASS</v>
      </c>
      <c r="N356" s="27">
        <f>IF(ISBLANK(K356),"CHUADO",VLOOKUP($B$352&amp;J356,RXRESULT!$A$1:$J$289,8,FALSE))</f>
        <v>99.8</v>
      </c>
    </row>
    <row r="357" spans="1:14" x14ac:dyDescent="0.3">
      <c r="A357" s="104"/>
      <c r="B357" s="108"/>
      <c r="C357" s="109"/>
      <c r="D357" s="110"/>
      <c r="E357" s="114"/>
      <c r="F357" s="116"/>
      <c r="G357" s="43">
        <f t="shared" si="31"/>
        <v>-88.9</v>
      </c>
      <c r="H357" s="119"/>
      <c r="I357" s="43" t="str">
        <f>I352</f>
        <v>-52</v>
      </c>
      <c r="J357" s="25" t="s">
        <v>63</v>
      </c>
      <c r="K357" s="27">
        <f>VLOOKUP($B$352&amp;J357,RXRESULT!$A$1:$J$289,6,FALSE)</f>
        <v>-47</v>
      </c>
      <c r="L357" s="118"/>
      <c r="M357" s="27" t="str">
        <f t="shared" si="28"/>
        <v>PASS</v>
      </c>
      <c r="N357" s="27">
        <f>IF(ISBLANK(K357),"CHUADO",VLOOKUP($B$352&amp;J357,RXRESULT!$A$1:$J$289,8,FALSE))</f>
        <v>99.8</v>
      </c>
    </row>
    <row r="358" spans="1:14" x14ac:dyDescent="0.3">
      <c r="A358" s="104"/>
      <c r="B358" s="108"/>
      <c r="C358" s="109"/>
      <c r="D358" s="110"/>
      <c r="E358" s="114"/>
      <c r="F358" s="116"/>
      <c r="G358" s="43">
        <f t="shared" si="31"/>
        <v>-88.9</v>
      </c>
      <c r="H358" s="119"/>
      <c r="I358" s="43" t="str">
        <f>I352</f>
        <v>-52</v>
      </c>
      <c r="J358" s="25" t="s">
        <v>64</v>
      </c>
      <c r="K358" s="27">
        <f>VLOOKUP($B$352&amp;J358,RXRESULT!$A$1:$J$289,6,FALSE)</f>
        <v>-47</v>
      </c>
      <c r="L358" s="118"/>
      <c r="M358" s="27" t="str">
        <f t="shared" si="28"/>
        <v>PASS</v>
      </c>
      <c r="N358" s="27">
        <f>IF(ISBLANK(K358),"CHUADO",VLOOKUP($B$352&amp;J358,RXRESULT!$A$1:$J$289,8,FALSE))</f>
        <v>99.8</v>
      </c>
    </row>
    <row r="359" spans="1:14" x14ac:dyDescent="0.3">
      <c r="A359" s="104"/>
      <c r="B359" s="111"/>
      <c r="C359" s="112"/>
      <c r="D359" s="113"/>
      <c r="E359" s="114"/>
      <c r="F359" s="117"/>
      <c r="G359" s="43">
        <f t="shared" si="31"/>
        <v>-88.9</v>
      </c>
      <c r="H359" s="120"/>
      <c r="I359" s="43" t="str">
        <f>I352</f>
        <v>-52</v>
      </c>
      <c r="J359" s="25" t="s">
        <v>65</v>
      </c>
      <c r="K359" s="27">
        <f>VLOOKUP($B$352&amp;J359,RXRESULT!$A$1:$J$289,6,FALSE)</f>
        <v>-47</v>
      </c>
      <c r="L359" s="118"/>
      <c r="M359" s="27" t="str">
        <f t="shared" si="28"/>
        <v>PASS</v>
      </c>
      <c r="N359" s="27">
        <f>IF(ISBLANK(K359),"CHUADO",VLOOKUP($B$352&amp;J359,RXRESULT!$A$1:$J$289,8,FALSE))</f>
        <v>99.8</v>
      </c>
    </row>
    <row r="360" spans="1:14" x14ac:dyDescent="0.3">
      <c r="A360" s="104" t="s">
        <v>168</v>
      </c>
      <c r="B360" s="105" t="s">
        <v>169</v>
      </c>
      <c r="C360" s="106"/>
      <c r="D360" s="107"/>
      <c r="E360" s="114" t="s">
        <v>52</v>
      </c>
      <c r="F360" s="115" t="s">
        <v>220</v>
      </c>
      <c r="G360" s="43" t="s">
        <v>209</v>
      </c>
      <c r="H360" s="115" t="s">
        <v>208</v>
      </c>
      <c r="I360" s="43" t="s">
        <v>170</v>
      </c>
      <c r="J360" s="25" t="s">
        <v>57</v>
      </c>
      <c r="K360" s="27">
        <f>VLOOKUP($B$360&amp;J360,RXRESULT!$A$1:$J$289,6,FALSE)</f>
        <v>-55.4</v>
      </c>
      <c r="L360" s="118" t="s">
        <v>171</v>
      </c>
      <c r="M360" s="27" t="str">
        <f t="shared" si="28"/>
        <v>PASS</v>
      </c>
      <c r="N360" s="27">
        <f>IF(ISBLANK(K360),"CHUADO",VLOOKUP($B$360&amp;J360,RXRESULT!$A$1:$J$289,8,FALSE))</f>
        <v>98.9</v>
      </c>
    </row>
    <row r="361" spans="1:14" ht="15.6" customHeight="1" x14ac:dyDescent="0.3">
      <c r="A361" s="104"/>
      <c r="B361" s="108"/>
      <c r="C361" s="109"/>
      <c r="D361" s="110"/>
      <c r="E361" s="114"/>
      <c r="F361" s="116"/>
      <c r="G361" s="43" t="s">
        <v>210</v>
      </c>
      <c r="H361" s="116"/>
      <c r="I361" s="43" t="str">
        <f>I360</f>
        <v>-71.4</v>
      </c>
      <c r="J361" s="25" t="s">
        <v>59</v>
      </c>
      <c r="K361" s="27">
        <f>VLOOKUP($B$360&amp;J361,RXRESULT!$A$1:$J$289,6,FALSE)</f>
        <v>-55.4</v>
      </c>
      <c r="L361" s="118"/>
      <c r="M361" s="27" t="str">
        <f t="shared" ref="M361:M367" si="32">IF(ISBLANK(K361),"",IF(AND(K361*1&gt;=I361*1),"PASS","FAIL"))</f>
        <v>PASS</v>
      </c>
      <c r="N361" s="27">
        <f>IF(ISBLANK(K361),"CHUADO",VLOOKUP($B$360&amp;J361,RXRESULT!$A$1:$J$289,8,FALSE))</f>
        <v>99.8</v>
      </c>
    </row>
    <row r="362" spans="1:14" x14ac:dyDescent="0.3">
      <c r="A362" s="104"/>
      <c r="B362" s="108"/>
      <c r="C362" s="109"/>
      <c r="D362" s="110"/>
      <c r="E362" s="114"/>
      <c r="F362" s="116"/>
      <c r="G362" s="43" t="s">
        <v>211</v>
      </c>
      <c r="H362" s="116"/>
      <c r="I362" s="43" t="str">
        <f>I360</f>
        <v>-71.4</v>
      </c>
      <c r="J362" s="25" t="s">
        <v>60</v>
      </c>
      <c r="K362" s="27">
        <f>VLOOKUP($B$360&amp;J362,RXRESULT!$A$1:$J$289,6,FALSE)</f>
        <v>-55.4</v>
      </c>
      <c r="L362" s="118"/>
      <c r="M362" s="27" t="str">
        <f t="shared" si="32"/>
        <v>PASS</v>
      </c>
      <c r="N362" s="27">
        <f>IF(ISBLANK(K362),"CHUADO",VLOOKUP($B$360&amp;J362,RXRESULT!$A$1:$J$289,8,FALSE))</f>
        <v>99.8</v>
      </c>
    </row>
    <row r="363" spans="1:14" x14ac:dyDescent="0.3">
      <c r="A363" s="104"/>
      <c r="B363" s="108"/>
      <c r="C363" s="109"/>
      <c r="D363" s="110"/>
      <c r="E363" s="114"/>
      <c r="F363" s="116"/>
      <c r="G363" s="43" t="s">
        <v>212</v>
      </c>
      <c r="H363" s="116"/>
      <c r="I363" s="43" t="str">
        <f>I360</f>
        <v>-71.4</v>
      </c>
      <c r="J363" s="25" t="s">
        <v>61</v>
      </c>
      <c r="K363" s="27">
        <f>VLOOKUP($B$360&amp;J363,RXRESULT!$A$1:$J$289,6,FALSE)</f>
        <v>-55.4</v>
      </c>
      <c r="L363" s="118"/>
      <c r="M363" s="27" t="str">
        <f t="shared" si="32"/>
        <v>PASS</v>
      </c>
      <c r="N363" s="27">
        <f>IF(ISBLANK(K363),"CHUADO",VLOOKUP($B$360&amp;J363,RXRESULT!$A$1:$J$289,8,FALSE))</f>
        <v>99.8</v>
      </c>
    </row>
    <row r="364" spans="1:14" x14ac:dyDescent="0.3">
      <c r="A364" s="104"/>
      <c r="B364" s="108"/>
      <c r="C364" s="109"/>
      <c r="D364" s="110"/>
      <c r="E364" s="114"/>
      <c r="F364" s="116"/>
      <c r="G364" s="43" t="s">
        <v>213</v>
      </c>
      <c r="H364" s="116"/>
      <c r="I364" s="43" t="str">
        <f>I360</f>
        <v>-71.4</v>
      </c>
      <c r="J364" s="25" t="s">
        <v>62</v>
      </c>
      <c r="K364" s="27">
        <f>VLOOKUP($B$360&amp;J364,RXRESULT!$A$1:$J$289,6,FALSE)</f>
        <v>-55.4</v>
      </c>
      <c r="L364" s="118"/>
      <c r="M364" s="27" t="str">
        <f t="shared" si="32"/>
        <v>PASS</v>
      </c>
      <c r="N364" s="27">
        <f>IF(ISBLANK(K364),"CHUADO",VLOOKUP($B$360&amp;J364,RXRESULT!$A$1:$J$289,8,FALSE))</f>
        <v>99.8</v>
      </c>
    </row>
    <row r="365" spans="1:14" x14ac:dyDescent="0.3">
      <c r="A365" s="104"/>
      <c r="B365" s="108"/>
      <c r="C365" s="109"/>
      <c r="D365" s="110"/>
      <c r="E365" s="114"/>
      <c r="F365" s="116"/>
      <c r="G365" s="43" t="s">
        <v>214</v>
      </c>
      <c r="H365" s="116"/>
      <c r="I365" s="43" t="str">
        <f>I360</f>
        <v>-71.4</v>
      </c>
      <c r="J365" s="25" t="s">
        <v>63</v>
      </c>
      <c r="K365" s="27">
        <f>VLOOKUP($B$360&amp;J365,RXRESULT!$A$1:$J$289,6,FALSE)</f>
        <v>-55.4</v>
      </c>
      <c r="L365" s="118"/>
      <c r="M365" s="27" t="str">
        <f t="shared" si="32"/>
        <v>PASS</v>
      </c>
      <c r="N365" s="27">
        <f>IF(ISBLANK(K365),"CHUADO",VLOOKUP($B$360&amp;J365,RXRESULT!$A$1:$J$289,8,FALSE))</f>
        <v>99.8</v>
      </c>
    </row>
    <row r="366" spans="1:14" x14ac:dyDescent="0.3">
      <c r="A366" s="104"/>
      <c r="B366" s="108"/>
      <c r="C366" s="109"/>
      <c r="D366" s="110"/>
      <c r="E366" s="114"/>
      <c r="F366" s="116"/>
      <c r="G366" s="43" t="s">
        <v>215</v>
      </c>
      <c r="H366" s="116"/>
      <c r="I366" s="43" t="str">
        <f>I360</f>
        <v>-71.4</v>
      </c>
      <c r="J366" s="25" t="s">
        <v>64</v>
      </c>
      <c r="K366" s="27">
        <f>VLOOKUP($B$360&amp;J366,RXRESULT!$A$1:$J$289,6,FALSE)</f>
        <v>-55.4</v>
      </c>
      <c r="L366" s="118"/>
      <c r="M366" s="27" t="str">
        <f t="shared" si="32"/>
        <v>PASS</v>
      </c>
      <c r="N366" s="27">
        <f>IF(ISBLANK(K366),"CHUADO",VLOOKUP($B$360&amp;J366,RXRESULT!$A$1:$J$289,8,FALSE))</f>
        <v>99.8</v>
      </c>
    </row>
    <row r="367" spans="1:14" x14ac:dyDescent="0.3">
      <c r="A367" s="104"/>
      <c r="B367" s="111"/>
      <c r="C367" s="112"/>
      <c r="D367" s="113"/>
      <c r="E367" s="114"/>
      <c r="F367" s="117"/>
      <c r="G367" s="43" t="s">
        <v>216</v>
      </c>
      <c r="H367" s="117"/>
      <c r="I367" s="43" t="str">
        <f>I360</f>
        <v>-71.4</v>
      </c>
      <c r="J367" s="25" t="s">
        <v>65</v>
      </c>
      <c r="K367" s="27">
        <f>VLOOKUP($B$360&amp;J367,RXRESULT!$A$1:$J$289,6,FALSE)</f>
        <v>-55.4</v>
      </c>
      <c r="L367" s="118"/>
      <c r="M367" s="27" t="str">
        <f t="shared" si="32"/>
        <v>PASS</v>
      </c>
      <c r="N367" s="27">
        <f>IF(ISBLANK(K367),"CHUADO",VLOOKUP($B$360&amp;J367,RXRESULT!$A$1:$J$289,8,FALSE))</f>
        <v>99.8</v>
      </c>
    </row>
    <row r="368" spans="1:14" x14ac:dyDescent="0.3">
      <c r="A368" s="45"/>
      <c r="B368" s="45"/>
      <c r="C368" s="45"/>
      <c r="D368" s="46"/>
      <c r="E368" s="47"/>
      <c r="F368" s="47"/>
      <c r="G368" s="47"/>
      <c r="H368" s="47"/>
      <c r="I368" s="47"/>
      <c r="J368" s="47"/>
      <c r="K368" s="48"/>
      <c r="L368" s="45"/>
      <c r="M368" s="48"/>
      <c r="N368" s="49"/>
    </row>
    <row r="369" spans="1:14" x14ac:dyDescent="0.3">
      <c r="A369" s="50"/>
      <c r="B369" s="50"/>
      <c r="C369" s="50"/>
      <c r="D369" s="51"/>
      <c r="E369" s="52"/>
      <c r="F369" s="52"/>
      <c r="G369" s="52"/>
      <c r="H369" s="52"/>
      <c r="I369" s="52"/>
      <c r="J369" s="52"/>
      <c r="K369" s="53"/>
      <c r="L369" s="50"/>
      <c r="M369" s="53"/>
      <c r="N369" s="54"/>
    </row>
    <row r="370" spans="1:14" ht="15.75" customHeight="1" x14ac:dyDescent="0.3">
      <c r="A370" s="122" t="s">
        <v>172</v>
      </c>
      <c r="B370" s="122"/>
      <c r="C370" s="122"/>
      <c r="D370" s="122"/>
      <c r="E370" s="122"/>
      <c r="F370" s="122"/>
      <c r="G370" s="55"/>
      <c r="H370" s="55"/>
      <c r="I370" s="55"/>
      <c r="J370" s="55"/>
      <c r="K370" s="122" t="s">
        <v>172</v>
      </c>
      <c r="L370" s="122"/>
      <c r="M370" s="122"/>
      <c r="N370" s="122"/>
    </row>
    <row r="371" spans="1:14" ht="15.75" customHeight="1" x14ac:dyDescent="0.3">
      <c r="A371" s="121" t="s">
        <v>173</v>
      </c>
      <c r="B371" s="121"/>
      <c r="C371" s="121"/>
      <c r="D371" s="121"/>
      <c r="E371" s="121"/>
      <c r="F371" s="121"/>
      <c r="G371" s="55"/>
      <c r="H371" s="55"/>
      <c r="I371" s="55"/>
      <c r="J371" s="55"/>
      <c r="K371" s="121" t="s">
        <v>174</v>
      </c>
      <c r="L371" s="121"/>
      <c r="M371" s="121"/>
      <c r="N371" s="121"/>
    </row>
    <row r="372" spans="1:14" x14ac:dyDescent="0.3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4"/>
      <c r="L372" s="52"/>
      <c r="M372" s="54"/>
      <c r="N372" s="54"/>
    </row>
    <row r="373" spans="1:14" x14ac:dyDescent="0.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4"/>
      <c r="L373" s="52"/>
      <c r="M373" s="54"/>
      <c r="N373" s="54"/>
    </row>
    <row r="374" spans="1:14" x14ac:dyDescent="0.3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4"/>
      <c r="L374" s="52"/>
      <c r="M374" s="54"/>
      <c r="N374" s="54"/>
    </row>
    <row r="375" spans="1:14" x14ac:dyDescent="0.3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4"/>
      <c r="L375" s="52"/>
      <c r="M375" s="54"/>
      <c r="N375" s="54"/>
    </row>
    <row r="376" spans="1:14" x14ac:dyDescent="0.3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4"/>
      <c r="L376" s="52"/>
      <c r="M376" s="54"/>
      <c r="N376" s="54"/>
    </row>
    <row r="377" spans="1:14" x14ac:dyDescent="0.3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4"/>
      <c r="L377" s="52"/>
      <c r="M377" s="54"/>
      <c r="N377" s="54"/>
    </row>
  </sheetData>
  <mergeCells count="236">
    <mergeCell ref="A1:D4"/>
    <mergeCell ref="E1:L1"/>
    <mergeCell ref="E2:L3"/>
    <mergeCell ref="E4:L4"/>
    <mergeCell ref="A5:D9"/>
    <mergeCell ref="F5:H5"/>
    <mergeCell ref="J5:K5"/>
    <mergeCell ref="F6:H6"/>
    <mergeCell ref="J6:K6"/>
    <mergeCell ref="F7:H7"/>
    <mergeCell ref="J7:K7"/>
    <mergeCell ref="F8:H8"/>
    <mergeCell ref="J8:K8"/>
    <mergeCell ref="F9:H9"/>
    <mergeCell ref="J9:K9"/>
    <mergeCell ref="A10:D12"/>
    <mergeCell ref="F10:N10"/>
    <mergeCell ref="F11:H11"/>
    <mergeCell ref="I11:K11"/>
    <mergeCell ref="F12:H12"/>
    <mergeCell ref="L13:L14"/>
    <mergeCell ref="M13:M14"/>
    <mergeCell ref="N13:N14"/>
    <mergeCell ref="A16:A23"/>
    <mergeCell ref="B16:D23"/>
    <mergeCell ref="E16:E23"/>
    <mergeCell ref="F16:F23"/>
    <mergeCell ref="L16:L23"/>
    <mergeCell ref="I12:K12"/>
    <mergeCell ref="A13:A14"/>
    <mergeCell ref="B13:D14"/>
    <mergeCell ref="E13:E14"/>
    <mergeCell ref="F13:I13"/>
    <mergeCell ref="J13:K14"/>
    <mergeCell ref="A25:A32"/>
    <mergeCell ref="B25:D32"/>
    <mergeCell ref="E25:E32"/>
    <mergeCell ref="F25:F32"/>
    <mergeCell ref="L25:L32"/>
    <mergeCell ref="A34:A41"/>
    <mergeCell ref="B34:D41"/>
    <mergeCell ref="E34:E41"/>
    <mergeCell ref="F34:F41"/>
    <mergeCell ref="L34:L41"/>
    <mergeCell ref="A42:A49"/>
    <mergeCell ref="B42:D49"/>
    <mergeCell ref="E42:E49"/>
    <mergeCell ref="F42:F49"/>
    <mergeCell ref="L42:L49"/>
    <mergeCell ref="A51:A58"/>
    <mergeCell ref="B51:D58"/>
    <mergeCell ref="E51:E58"/>
    <mergeCell ref="F51:F58"/>
    <mergeCell ref="L51:L58"/>
    <mergeCell ref="A59:A98"/>
    <mergeCell ref="B59:B66"/>
    <mergeCell ref="E59:E66"/>
    <mergeCell ref="F59:F66"/>
    <mergeCell ref="L59:L106"/>
    <mergeCell ref="B67:B74"/>
    <mergeCell ref="E67:E74"/>
    <mergeCell ref="F67:F74"/>
    <mergeCell ref="B91:B106"/>
    <mergeCell ref="E91:E98"/>
    <mergeCell ref="F91:F98"/>
    <mergeCell ref="E99:E106"/>
    <mergeCell ref="F99:F106"/>
    <mergeCell ref="B75:B90"/>
    <mergeCell ref="E75:E82"/>
    <mergeCell ref="F75:F82"/>
    <mergeCell ref="E83:E90"/>
    <mergeCell ref="F83:F90"/>
    <mergeCell ref="C59:D106"/>
    <mergeCell ref="A107:A114"/>
    <mergeCell ref="B107:D114"/>
    <mergeCell ref="E107:E114"/>
    <mergeCell ref="F107:F114"/>
    <mergeCell ref="L107:L114"/>
    <mergeCell ref="A116:A123"/>
    <mergeCell ref="B116:D123"/>
    <mergeCell ref="E116:E123"/>
    <mergeCell ref="F116:F123"/>
    <mergeCell ref="L116:L123"/>
    <mergeCell ref="L132:L139"/>
    <mergeCell ref="E140:E147"/>
    <mergeCell ref="G140:I147"/>
    <mergeCell ref="L140:L147"/>
    <mergeCell ref="E148:E155"/>
    <mergeCell ref="G148:I155"/>
    <mergeCell ref="L148:L155"/>
    <mergeCell ref="A124:A131"/>
    <mergeCell ref="B124:D131"/>
    <mergeCell ref="E124:E131"/>
    <mergeCell ref="F124:F131"/>
    <mergeCell ref="L124:L131"/>
    <mergeCell ref="A132:A155"/>
    <mergeCell ref="B132:D155"/>
    <mergeCell ref="E132:E139"/>
    <mergeCell ref="F132:F155"/>
    <mergeCell ref="G132:I139"/>
    <mergeCell ref="E172:E179"/>
    <mergeCell ref="F172:F179"/>
    <mergeCell ref="G172:I179"/>
    <mergeCell ref="L172:L179"/>
    <mergeCell ref="E180:E187"/>
    <mergeCell ref="F180:F187"/>
    <mergeCell ref="G180:I187"/>
    <mergeCell ref="L180:L187"/>
    <mergeCell ref="A156:A195"/>
    <mergeCell ref="B156:D195"/>
    <mergeCell ref="E156:E163"/>
    <mergeCell ref="F156:F163"/>
    <mergeCell ref="G156:I163"/>
    <mergeCell ref="L156:L163"/>
    <mergeCell ref="E164:E171"/>
    <mergeCell ref="F164:F171"/>
    <mergeCell ref="G164:I171"/>
    <mergeCell ref="L164:L171"/>
    <mergeCell ref="E188:E195"/>
    <mergeCell ref="F188:F195"/>
    <mergeCell ref="G188:I195"/>
    <mergeCell ref="L188:L195"/>
    <mergeCell ref="A196:A267"/>
    <mergeCell ref="B196:C267"/>
    <mergeCell ref="D196:D203"/>
    <mergeCell ref="E196:E203"/>
    <mergeCell ref="F196:F203"/>
    <mergeCell ref="L196:L267"/>
    <mergeCell ref="D204:D227"/>
    <mergeCell ref="E204:E211"/>
    <mergeCell ref="F204:F211"/>
    <mergeCell ref="G204:I211"/>
    <mergeCell ref="E212:E219"/>
    <mergeCell ref="F212:F219"/>
    <mergeCell ref="G212:I219"/>
    <mergeCell ref="E220:E227"/>
    <mergeCell ref="F220:F227"/>
    <mergeCell ref="G220:I227"/>
    <mergeCell ref="E252:E259"/>
    <mergeCell ref="F252:F259"/>
    <mergeCell ref="G252:I259"/>
    <mergeCell ref="E260:E267"/>
    <mergeCell ref="F260:F267"/>
    <mergeCell ref="G260:I267"/>
    <mergeCell ref="D228:D267"/>
    <mergeCell ref="E228:E235"/>
    <mergeCell ref="F228:F235"/>
    <mergeCell ref="G228:I235"/>
    <mergeCell ref="E236:E243"/>
    <mergeCell ref="F236:F243"/>
    <mergeCell ref="G236:I243"/>
    <mergeCell ref="E244:E251"/>
    <mergeCell ref="F244:F251"/>
    <mergeCell ref="G244:I251"/>
    <mergeCell ref="M268:M270"/>
    <mergeCell ref="N268:N270"/>
    <mergeCell ref="A272:A279"/>
    <mergeCell ref="B272:D279"/>
    <mergeCell ref="E272:E279"/>
    <mergeCell ref="F272:F279"/>
    <mergeCell ref="L272:L279"/>
    <mergeCell ref="A268:A270"/>
    <mergeCell ref="B268:D270"/>
    <mergeCell ref="E268:E270"/>
    <mergeCell ref="F268:I268"/>
    <mergeCell ref="J268:K270"/>
    <mergeCell ref="L268:L270"/>
    <mergeCell ref="F269:G269"/>
    <mergeCell ref="H269:I269"/>
    <mergeCell ref="H272:H279"/>
    <mergeCell ref="A280:A287"/>
    <mergeCell ref="B280:D287"/>
    <mergeCell ref="E280:E287"/>
    <mergeCell ref="F280:F287"/>
    <mergeCell ref="L280:L287"/>
    <mergeCell ref="A288:A295"/>
    <mergeCell ref="B288:D295"/>
    <mergeCell ref="E288:E295"/>
    <mergeCell ref="F288:F295"/>
    <mergeCell ref="L288:L295"/>
    <mergeCell ref="H280:H287"/>
    <mergeCell ref="H288:H295"/>
    <mergeCell ref="A296:A303"/>
    <mergeCell ref="B296:D303"/>
    <mergeCell ref="E296:E303"/>
    <mergeCell ref="F296:F303"/>
    <mergeCell ref="L296:L303"/>
    <mergeCell ref="A304:A311"/>
    <mergeCell ref="B304:D311"/>
    <mergeCell ref="E304:E311"/>
    <mergeCell ref="F304:F311"/>
    <mergeCell ref="L304:L311"/>
    <mergeCell ref="H296:H303"/>
    <mergeCell ref="H304:H311"/>
    <mergeCell ref="B312:D319"/>
    <mergeCell ref="E312:E319"/>
    <mergeCell ref="F312:F319"/>
    <mergeCell ref="L312:L319"/>
    <mergeCell ref="A320:A343"/>
    <mergeCell ref="B320:D343"/>
    <mergeCell ref="E320:E327"/>
    <mergeCell ref="F320:F327"/>
    <mergeCell ref="G320:I327"/>
    <mergeCell ref="H312:H319"/>
    <mergeCell ref="F328:F335"/>
    <mergeCell ref="G328:I335"/>
    <mergeCell ref="F336:F343"/>
    <mergeCell ref="G336:I343"/>
    <mergeCell ref="L320:L327"/>
    <mergeCell ref="E328:E335"/>
    <mergeCell ref="L328:L335"/>
    <mergeCell ref="E336:E343"/>
    <mergeCell ref="L336:L343"/>
    <mergeCell ref="A312:A319"/>
    <mergeCell ref="A371:F371"/>
    <mergeCell ref="K371:N371"/>
    <mergeCell ref="A360:A367"/>
    <mergeCell ref="B360:D367"/>
    <mergeCell ref="E360:E367"/>
    <mergeCell ref="F360:F367"/>
    <mergeCell ref="L360:L367"/>
    <mergeCell ref="A370:F370"/>
    <mergeCell ref="K370:N370"/>
    <mergeCell ref="H360:H367"/>
    <mergeCell ref="A344:A351"/>
    <mergeCell ref="B344:D351"/>
    <mergeCell ref="E344:E351"/>
    <mergeCell ref="F344:F351"/>
    <mergeCell ref="L344:L351"/>
    <mergeCell ref="A352:A359"/>
    <mergeCell ref="B352:D359"/>
    <mergeCell ref="E352:E359"/>
    <mergeCell ref="F352:F359"/>
    <mergeCell ref="L352:L359"/>
    <mergeCell ref="H344:H351"/>
    <mergeCell ref="H352:H359"/>
  </mergeCells>
  <conditionalFormatting sqref="E24 M16:M267 M271 N272:N367">
    <cfRule type="containsText" dxfId="29" priority="7" operator="containsText" text="PASS">
      <formula>NOT(ISERROR(SEARCH("PASS",E16)))</formula>
    </cfRule>
    <cfRule type="containsText" dxfId="28" priority="8" operator="containsText" text="FAIL">
      <formula>NOT(ISERROR(SEARCH("FAIL",E16)))</formula>
    </cfRule>
  </conditionalFormatting>
  <conditionalFormatting sqref="M272:M279">
    <cfRule type="containsText" dxfId="27" priority="5" operator="containsText" text="PASS">
      <formula>NOT(ISERROR(SEARCH("PASS",M272)))</formula>
    </cfRule>
    <cfRule type="containsText" dxfId="26" priority="6" operator="containsText" text="FAIL">
      <formula>NOT(ISERROR(SEARCH("FAIL",M272)))</formula>
    </cfRule>
  </conditionalFormatting>
  <conditionalFormatting sqref="M280:M367">
    <cfRule type="containsText" dxfId="25" priority="3" operator="containsText" text="PASS">
      <formula>NOT(ISERROR(SEARCH("PASS",M280)))</formula>
    </cfRule>
    <cfRule type="containsText" dxfId="24" priority="4" operator="containsText" text="FAIL">
      <formula>NOT(ISERROR(SEARCH("FAIL",M280)))</formula>
    </cfRule>
  </conditionalFormatting>
  <dataValidations disablePrompts="1" count="6">
    <dataValidation type="list" allowBlank="1" showInputMessage="1" showErrorMessage="1" sqref="F6:H6">
      <formula1>"N5182B,SMW200A,M9010A"</formula1>
    </dataValidation>
    <dataValidation type="list" allowBlank="1" showInputMessage="1" showErrorMessage="1" sqref="F5:H5">
      <formula1>"N9020A,FSW26,FSV3030,M9010A"</formula1>
    </dataValidation>
    <dataValidation type="list" allowBlank="1" showInputMessage="1" showErrorMessage="1" sqref="F8:H8">
      <formula1>"8T8R,32T32R"</formula1>
    </dataValidation>
    <dataValidation type="list" allowBlank="1" showInputMessage="1" showErrorMessage="1" sqref="J9:K9">
      <formula1>"20,30,40,50,60,70,80,90,100"</formula1>
    </dataValidation>
    <dataValidation type="list" allowBlank="1" showInputMessage="1" showErrorMessage="1" sqref="F9:H9">
      <formula1>"2550,2600,2640,3650,3700,3750"</formula1>
    </dataValidation>
    <dataValidation type="list" allowBlank="1" showInputMessage="1" showErrorMessage="1" sqref="F7:H7">
      <formula1>"DELL188,DELL180,SUPERMICRO192,SUPERMICRO195,SUPERMICRO190"</formula1>
    </dataValidation>
  </dataValidations>
  <pageMargins left="0.7" right="0.7" top="0.75" bottom="0.75" header="0.3" footer="0.3"/>
  <pageSetup paperSize="9" scale="26" orientation="portrait" r:id="rId1"/>
  <rowBreaks count="2" manualBreakCount="2">
    <brk id="155" max="16383" man="1"/>
    <brk id="26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7"/>
  <sheetViews>
    <sheetView view="pageBreakPreview" topLeftCell="A199" zoomScaleNormal="100" zoomScaleSheetLayoutView="100" workbookViewId="0">
      <selection activeCell="D228" sqref="D228:D267"/>
    </sheetView>
  </sheetViews>
  <sheetFormatPr defaultColWidth="9.109375" defaultRowHeight="15.6" x14ac:dyDescent="0.3"/>
  <cols>
    <col min="1" max="1" width="8.88671875" style="56" customWidth="1"/>
    <col min="2" max="2" width="7.5546875" style="56" customWidth="1"/>
    <col min="3" max="3" width="9.33203125" style="56" customWidth="1"/>
    <col min="4" max="4" width="21" style="56" customWidth="1"/>
    <col min="5" max="5" width="13" style="56" customWidth="1"/>
    <col min="6" max="6" width="9" style="56" customWidth="1"/>
    <col min="7" max="9" width="11.6640625" style="56" customWidth="1"/>
    <col min="10" max="10" width="9.33203125" style="56" customWidth="1"/>
    <col min="11" max="11" width="10.44140625" style="3" customWidth="1"/>
    <col min="12" max="12" width="24.44140625" style="56" customWidth="1"/>
    <col min="13" max="13" width="12.44140625" style="3" customWidth="1"/>
    <col min="14" max="14" width="12.33203125" style="57" customWidth="1"/>
    <col min="15" max="15" width="9.109375" style="3"/>
    <col min="16" max="16" width="10.88671875" style="3" bestFit="1" customWidth="1"/>
    <col min="17" max="16384" width="9.109375" style="3"/>
  </cols>
  <sheetData>
    <row r="1" spans="1:14" x14ac:dyDescent="0.3">
      <c r="A1" s="204"/>
      <c r="B1" s="205"/>
      <c r="C1" s="205"/>
      <c r="D1" s="206"/>
      <c r="E1" s="213" t="s">
        <v>0</v>
      </c>
      <c r="F1" s="214"/>
      <c r="G1" s="214"/>
      <c r="H1" s="214"/>
      <c r="I1" s="214"/>
      <c r="J1" s="214"/>
      <c r="K1" s="214"/>
      <c r="L1" s="215"/>
      <c r="M1" s="1" t="s">
        <v>1</v>
      </c>
      <c r="N1" s="2"/>
    </row>
    <row r="2" spans="1:14" ht="31.2" x14ac:dyDescent="0.3">
      <c r="A2" s="207"/>
      <c r="B2" s="208"/>
      <c r="C2" s="208"/>
      <c r="D2" s="209"/>
      <c r="E2" s="216" t="s">
        <v>2</v>
      </c>
      <c r="F2" s="217"/>
      <c r="G2" s="217"/>
      <c r="H2" s="217"/>
      <c r="I2" s="217"/>
      <c r="J2" s="217"/>
      <c r="K2" s="217"/>
      <c r="L2" s="218"/>
      <c r="M2" s="1" t="s">
        <v>3</v>
      </c>
      <c r="N2" s="4"/>
    </row>
    <row r="3" spans="1:14" ht="31.2" x14ac:dyDescent="0.3">
      <c r="A3" s="207"/>
      <c r="B3" s="208"/>
      <c r="C3" s="208"/>
      <c r="D3" s="209"/>
      <c r="E3" s="216"/>
      <c r="F3" s="217"/>
      <c r="G3" s="217"/>
      <c r="H3" s="217"/>
      <c r="I3" s="217"/>
      <c r="J3" s="217"/>
      <c r="K3" s="217"/>
      <c r="L3" s="218"/>
      <c r="M3" s="1" t="s">
        <v>4</v>
      </c>
      <c r="N3" s="4"/>
    </row>
    <row r="4" spans="1:14" ht="22.5" customHeight="1" x14ac:dyDescent="0.3">
      <c r="A4" s="210"/>
      <c r="B4" s="211"/>
      <c r="C4" s="211"/>
      <c r="D4" s="212"/>
      <c r="E4" s="216" t="s">
        <v>5</v>
      </c>
      <c r="F4" s="217"/>
      <c r="G4" s="217"/>
      <c r="H4" s="217"/>
      <c r="I4" s="217"/>
      <c r="J4" s="217"/>
      <c r="K4" s="217"/>
      <c r="L4" s="218"/>
      <c r="M4" s="1" t="s">
        <v>6</v>
      </c>
      <c r="N4" s="5" t="s">
        <v>7</v>
      </c>
    </row>
    <row r="5" spans="1:14" x14ac:dyDescent="0.3">
      <c r="A5" s="193" t="s">
        <v>8</v>
      </c>
      <c r="B5" s="193"/>
      <c r="C5" s="193"/>
      <c r="D5" s="193"/>
      <c r="E5" s="6" t="s">
        <v>9</v>
      </c>
      <c r="F5" s="219" t="s">
        <v>10</v>
      </c>
      <c r="G5" s="219"/>
      <c r="H5" s="219"/>
      <c r="I5" s="6" t="s">
        <v>11</v>
      </c>
      <c r="J5" s="219"/>
      <c r="K5" s="219"/>
      <c r="L5" s="6" t="s">
        <v>12</v>
      </c>
      <c r="M5" s="7">
        <v>2023</v>
      </c>
      <c r="N5" s="2"/>
    </row>
    <row r="6" spans="1:14" x14ac:dyDescent="0.3">
      <c r="A6" s="193"/>
      <c r="B6" s="193"/>
      <c r="C6" s="193"/>
      <c r="D6" s="193"/>
      <c r="E6" s="6" t="s">
        <v>13</v>
      </c>
      <c r="F6" s="219" t="s">
        <v>14</v>
      </c>
      <c r="G6" s="219"/>
      <c r="H6" s="219"/>
      <c r="I6" s="6" t="s">
        <v>11</v>
      </c>
      <c r="J6" s="219" t="s">
        <v>15</v>
      </c>
      <c r="K6" s="219"/>
      <c r="L6" s="6" t="s">
        <v>12</v>
      </c>
      <c r="M6" s="7">
        <v>2023</v>
      </c>
      <c r="N6" s="2"/>
    </row>
    <row r="7" spans="1:14" ht="15.6" customHeight="1" x14ac:dyDescent="0.3">
      <c r="A7" s="193"/>
      <c r="B7" s="193"/>
      <c r="C7" s="193"/>
      <c r="D7" s="193"/>
      <c r="E7" s="6" t="s">
        <v>16</v>
      </c>
      <c r="F7" s="220" t="s">
        <v>226</v>
      </c>
      <c r="G7" s="220"/>
      <c r="H7" s="220"/>
      <c r="I7" s="6" t="s">
        <v>17</v>
      </c>
      <c r="J7" s="219" t="s">
        <v>18</v>
      </c>
      <c r="K7" s="219"/>
      <c r="L7" s="6" t="s">
        <v>19</v>
      </c>
      <c r="M7" s="7"/>
      <c r="N7" s="2"/>
    </row>
    <row r="8" spans="1:14" x14ac:dyDescent="0.3">
      <c r="A8" s="193"/>
      <c r="B8" s="193"/>
      <c r="C8" s="193"/>
      <c r="D8" s="193"/>
      <c r="E8" s="6" t="s">
        <v>20</v>
      </c>
      <c r="F8" s="219" t="s">
        <v>7</v>
      </c>
      <c r="G8" s="219"/>
      <c r="H8" s="219"/>
      <c r="I8" s="6" t="s">
        <v>21</v>
      </c>
      <c r="J8" s="219" t="str">
        <f>'CH1-CH8'!$J$8</f>
        <v>31</v>
      </c>
      <c r="K8" s="221"/>
      <c r="L8" s="6" t="s">
        <v>19</v>
      </c>
      <c r="M8" s="7" t="str">
        <f>'CH1-CH8'!M8</f>
        <v>3.4.10</v>
      </c>
      <c r="N8" s="2"/>
    </row>
    <row r="9" spans="1:14" x14ac:dyDescent="0.3">
      <c r="A9" s="193"/>
      <c r="B9" s="193"/>
      <c r="C9" s="193"/>
      <c r="D9" s="193"/>
      <c r="E9" s="60" t="s">
        <v>23</v>
      </c>
      <c r="F9" s="222" t="s">
        <v>24</v>
      </c>
      <c r="G9" s="222"/>
      <c r="H9" s="222"/>
      <c r="I9" s="60" t="s">
        <v>219</v>
      </c>
      <c r="J9" s="222" t="s">
        <v>25</v>
      </c>
      <c r="K9" s="222"/>
      <c r="L9" s="60" t="s">
        <v>26</v>
      </c>
      <c r="M9" s="7"/>
      <c r="N9" s="2"/>
    </row>
    <row r="10" spans="1:14" x14ac:dyDescent="0.3">
      <c r="A10" s="193" t="s">
        <v>27</v>
      </c>
      <c r="B10" s="193"/>
      <c r="C10" s="193"/>
      <c r="D10" s="193"/>
      <c r="E10" s="8" t="s">
        <v>28</v>
      </c>
      <c r="F10" s="194" t="s">
        <v>29</v>
      </c>
      <c r="G10" s="194"/>
      <c r="H10" s="194"/>
      <c r="I10" s="194"/>
      <c r="J10" s="194"/>
      <c r="K10" s="194"/>
      <c r="L10" s="194"/>
      <c r="M10" s="194"/>
      <c r="N10" s="194"/>
    </row>
    <row r="11" spans="1:14" x14ac:dyDescent="0.3">
      <c r="A11" s="193"/>
      <c r="B11" s="193"/>
      <c r="C11" s="193"/>
      <c r="D11" s="193"/>
      <c r="E11" s="8" t="s">
        <v>30</v>
      </c>
      <c r="F11" s="194" t="s">
        <v>31</v>
      </c>
      <c r="G11" s="194"/>
      <c r="H11" s="194"/>
      <c r="I11" s="195" t="s">
        <v>32</v>
      </c>
      <c r="J11" s="196"/>
      <c r="K11" s="197"/>
      <c r="L11" s="6" t="s">
        <v>33</v>
      </c>
      <c r="M11" s="9"/>
      <c r="N11" s="2"/>
    </row>
    <row r="12" spans="1:14" x14ac:dyDescent="0.3">
      <c r="A12" s="193"/>
      <c r="B12" s="193"/>
      <c r="C12" s="193"/>
      <c r="D12" s="193"/>
      <c r="E12" s="10" t="s">
        <v>34</v>
      </c>
      <c r="F12" s="198" t="s">
        <v>35</v>
      </c>
      <c r="G12" s="199"/>
      <c r="H12" s="200"/>
      <c r="I12" s="201" t="s">
        <v>36</v>
      </c>
      <c r="J12" s="202"/>
      <c r="K12" s="203"/>
      <c r="L12" s="11" t="s">
        <v>37</v>
      </c>
      <c r="M12" s="12"/>
      <c r="N12" s="13"/>
    </row>
    <row r="13" spans="1:14" x14ac:dyDescent="0.3">
      <c r="A13" s="148" t="s">
        <v>38</v>
      </c>
      <c r="B13" s="151" t="s">
        <v>39</v>
      </c>
      <c r="C13" s="152"/>
      <c r="D13" s="153"/>
      <c r="E13" s="148" t="s">
        <v>40</v>
      </c>
      <c r="F13" s="160" t="s">
        <v>41</v>
      </c>
      <c r="G13" s="161"/>
      <c r="H13" s="161"/>
      <c r="I13" s="162"/>
      <c r="J13" s="151" t="s">
        <v>42</v>
      </c>
      <c r="K13" s="153"/>
      <c r="L13" s="148" t="s">
        <v>43</v>
      </c>
      <c r="M13" s="133" t="s">
        <v>44</v>
      </c>
      <c r="N13" s="133" t="s">
        <v>45</v>
      </c>
    </row>
    <row r="14" spans="1:14" x14ac:dyDescent="0.3">
      <c r="A14" s="150"/>
      <c r="B14" s="157"/>
      <c r="C14" s="158"/>
      <c r="D14" s="159"/>
      <c r="E14" s="150"/>
      <c r="F14" s="14" t="s">
        <v>46</v>
      </c>
      <c r="G14" s="14" t="s">
        <v>47</v>
      </c>
      <c r="H14" s="14" t="s">
        <v>48</v>
      </c>
      <c r="I14" s="14" t="s">
        <v>49</v>
      </c>
      <c r="J14" s="157"/>
      <c r="K14" s="159"/>
      <c r="L14" s="150"/>
      <c r="M14" s="135"/>
      <c r="N14" s="135"/>
    </row>
    <row r="15" spans="1:14" ht="16.2" x14ac:dyDescent="0.3">
      <c r="A15" s="14" t="s">
        <v>50</v>
      </c>
      <c r="B15" s="15" t="s">
        <v>51</v>
      </c>
      <c r="C15" s="16"/>
      <c r="D15" s="16"/>
      <c r="E15" s="16"/>
      <c r="F15" s="16"/>
      <c r="G15" s="17"/>
      <c r="H15" s="18"/>
      <c r="I15" s="19"/>
      <c r="J15" s="20"/>
      <c r="K15" s="21"/>
      <c r="L15" s="22"/>
      <c r="M15" s="23"/>
      <c r="N15" s="24"/>
    </row>
    <row r="16" spans="1:14" ht="15.6" customHeight="1" x14ac:dyDescent="0.3">
      <c r="A16" s="115">
        <v>1.1000000000000001</v>
      </c>
      <c r="B16" s="174" t="s">
        <v>227</v>
      </c>
      <c r="C16" s="175"/>
      <c r="D16" s="176"/>
      <c r="E16" s="132" t="s">
        <v>52</v>
      </c>
      <c r="F16" s="164" t="s">
        <v>53</v>
      </c>
      <c r="G16" s="25" t="s">
        <v>54</v>
      </c>
      <c r="H16" s="25" t="s">
        <v>55</v>
      </c>
      <c r="I16" s="25" t="s">
        <v>56</v>
      </c>
      <c r="J16" s="25" t="s">
        <v>175</v>
      </c>
      <c r="K16" s="26">
        <f>VLOOKUP($B$16&amp;J16&amp;$F$16,TXRESULT!$A$1:$J$1004,6,FALSE)</f>
        <v>39.799999999999997</v>
      </c>
      <c r="L16" s="145" t="s">
        <v>58</v>
      </c>
      <c r="M16" s="27" t="str">
        <f>IF(ISBLANK(K16),"",IF(AND(K16*1&gt;H16*1,K16*1&lt;I16*1),"PASS","FAIL"))</f>
        <v>PASS</v>
      </c>
      <c r="N16" s="27" t="str">
        <f>IF(ISBLANK(K16),"CHUADO","")</f>
        <v/>
      </c>
    </row>
    <row r="17" spans="1:15" x14ac:dyDescent="0.3">
      <c r="A17" s="116"/>
      <c r="B17" s="177"/>
      <c r="C17" s="178"/>
      <c r="D17" s="179"/>
      <c r="E17" s="119"/>
      <c r="F17" s="165"/>
      <c r="G17" s="25" t="s">
        <v>54</v>
      </c>
      <c r="H17" s="25" t="s">
        <v>55</v>
      </c>
      <c r="I17" s="25" t="s">
        <v>56</v>
      </c>
      <c r="J17" s="25" t="s">
        <v>176</v>
      </c>
      <c r="K17" s="26">
        <f>VLOOKUP($B$16&amp;J17&amp;$F$16,TXRESULT!$A$1:$J$1004,6,FALSE)</f>
        <v>39.5</v>
      </c>
      <c r="L17" s="146"/>
      <c r="M17" s="27" t="str">
        <f t="shared" ref="M17:M23" si="0">IF(ISBLANK(K17),"",IF(AND(K17*1&gt;H17*1,K17*1&lt;I17*1),"PASS","FAIL"))</f>
        <v>PASS</v>
      </c>
      <c r="N17" s="27" t="str">
        <f t="shared" ref="N17:N80" si="1">IF(ISBLANK(K17),"CHUADO","")</f>
        <v/>
      </c>
    </row>
    <row r="18" spans="1:15" x14ac:dyDescent="0.3">
      <c r="A18" s="116"/>
      <c r="B18" s="177"/>
      <c r="C18" s="178"/>
      <c r="D18" s="179"/>
      <c r="E18" s="119"/>
      <c r="F18" s="165"/>
      <c r="G18" s="25" t="s">
        <v>54</v>
      </c>
      <c r="H18" s="25" t="s">
        <v>55</v>
      </c>
      <c r="I18" s="25" t="s">
        <v>56</v>
      </c>
      <c r="J18" s="25" t="s">
        <v>177</v>
      </c>
      <c r="K18" s="26">
        <f>VLOOKUP($B$16&amp;J18&amp;$F$16,TXRESULT!$A$1:$J$1004,6,FALSE)</f>
        <v>39.799999999999997</v>
      </c>
      <c r="L18" s="146"/>
      <c r="M18" s="27" t="str">
        <f t="shared" si="0"/>
        <v>PASS</v>
      </c>
      <c r="N18" s="27" t="str">
        <f t="shared" si="1"/>
        <v/>
      </c>
    </row>
    <row r="19" spans="1:15" x14ac:dyDescent="0.3">
      <c r="A19" s="116"/>
      <c r="B19" s="177"/>
      <c r="C19" s="178"/>
      <c r="D19" s="179"/>
      <c r="E19" s="119"/>
      <c r="F19" s="165"/>
      <c r="G19" s="25" t="s">
        <v>54</v>
      </c>
      <c r="H19" s="25" t="s">
        <v>55</v>
      </c>
      <c r="I19" s="25" t="s">
        <v>56</v>
      </c>
      <c r="J19" s="25" t="s">
        <v>178</v>
      </c>
      <c r="K19" s="26">
        <f>VLOOKUP($B$16&amp;J19&amp;$F$16,TXRESULT!$A$1:$J$1004,6,FALSE)</f>
        <v>39.6</v>
      </c>
      <c r="L19" s="146"/>
      <c r="M19" s="27" t="str">
        <f t="shared" si="0"/>
        <v>PASS</v>
      </c>
      <c r="N19" s="27" t="str">
        <f t="shared" si="1"/>
        <v/>
      </c>
    </row>
    <row r="20" spans="1:15" x14ac:dyDescent="0.3">
      <c r="A20" s="116"/>
      <c r="B20" s="177"/>
      <c r="C20" s="178"/>
      <c r="D20" s="179"/>
      <c r="E20" s="119"/>
      <c r="F20" s="165"/>
      <c r="G20" s="25" t="s">
        <v>54</v>
      </c>
      <c r="H20" s="25" t="s">
        <v>55</v>
      </c>
      <c r="I20" s="25" t="s">
        <v>56</v>
      </c>
      <c r="J20" s="25" t="s">
        <v>179</v>
      </c>
      <c r="K20" s="26">
        <f>VLOOKUP($B$16&amp;J20&amp;$F$16,TXRESULT!$A$1:$J$1004,6,FALSE)</f>
        <v>39.5</v>
      </c>
      <c r="L20" s="146"/>
      <c r="M20" s="27" t="str">
        <f t="shared" si="0"/>
        <v>PASS</v>
      </c>
      <c r="N20" s="27" t="str">
        <f t="shared" si="1"/>
        <v/>
      </c>
    </row>
    <row r="21" spans="1:15" x14ac:dyDescent="0.3">
      <c r="A21" s="116"/>
      <c r="B21" s="177"/>
      <c r="C21" s="178"/>
      <c r="D21" s="179"/>
      <c r="E21" s="119"/>
      <c r="F21" s="165"/>
      <c r="G21" s="25" t="s">
        <v>54</v>
      </c>
      <c r="H21" s="25" t="s">
        <v>55</v>
      </c>
      <c r="I21" s="25" t="s">
        <v>56</v>
      </c>
      <c r="J21" s="25" t="s">
        <v>180</v>
      </c>
      <c r="K21" s="26">
        <f>VLOOKUP($B$16&amp;J21&amp;$F$16,TXRESULT!$A$1:$J$1004,6,FALSE)</f>
        <v>39.799999999999997</v>
      </c>
      <c r="L21" s="146"/>
      <c r="M21" s="27" t="str">
        <f t="shared" si="0"/>
        <v>PASS</v>
      </c>
      <c r="N21" s="27" t="str">
        <f t="shared" si="1"/>
        <v/>
      </c>
    </row>
    <row r="22" spans="1:15" x14ac:dyDescent="0.3">
      <c r="A22" s="116"/>
      <c r="B22" s="177"/>
      <c r="C22" s="178"/>
      <c r="D22" s="179"/>
      <c r="E22" s="119"/>
      <c r="F22" s="165"/>
      <c r="G22" s="25" t="s">
        <v>54</v>
      </c>
      <c r="H22" s="25" t="s">
        <v>55</v>
      </c>
      <c r="I22" s="25" t="s">
        <v>56</v>
      </c>
      <c r="J22" s="25" t="s">
        <v>181</v>
      </c>
      <c r="K22" s="26">
        <f>VLOOKUP($B$16&amp;J22&amp;$F$16,TXRESULT!$A$1:$J$1004,6,FALSE)</f>
        <v>39.799999999999997</v>
      </c>
      <c r="L22" s="146"/>
      <c r="M22" s="27" t="str">
        <f t="shared" si="0"/>
        <v>PASS</v>
      </c>
      <c r="N22" s="27" t="str">
        <f t="shared" si="1"/>
        <v/>
      </c>
    </row>
    <row r="23" spans="1:15" x14ac:dyDescent="0.3">
      <c r="A23" s="117"/>
      <c r="B23" s="180"/>
      <c r="C23" s="181"/>
      <c r="D23" s="182"/>
      <c r="E23" s="120"/>
      <c r="F23" s="166"/>
      <c r="G23" s="25" t="s">
        <v>54</v>
      </c>
      <c r="H23" s="25" t="s">
        <v>55</v>
      </c>
      <c r="I23" s="25" t="s">
        <v>56</v>
      </c>
      <c r="J23" s="25" t="s">
        <v>182</v>
      </c>
      <c r="K23" s="26">
        <f>VLOOKUP($B$16&amp;J23&amp;$F$16,TXRESULT!$A$1:$J$1004,6,FALSE)</f>
        <v>39.9</v>
      </c>
      <c r="L23" s="147"/>
      <c r="M23" s="27" t="str">
        <f t="shared" si="0"/>
        <v>PASS</v>
      </c>
      <c r="N23" s="27" t="str">
        <f t="shared" si="1"/>
        <v/>
      </c>
    </row>
    <row r="24" spans="1:15" x14ac:dyDescent="0.3">
      <c r="A24" s="28"/>
      <c r="B24" s="29" t="s">
        <v>66</v>
      </c>
      <c r="C24" s="30"/>
      <c r="D24" s="31"/>
      <c r="E24" s="32" t="str">
        <f>IF(OR(K24="",AND(H24="",I24="")),"",IF(OR(AND(K24&lt;&gt;"",I24&lt;&gt;"",K24&gt;I24),AND(K24&lt;&gt;"",H24&lt;&gt;"",K24&lt;H24)),"FAIL","PASS"))</f>
        <v/>
      </c>
      <c r="F24" s="32"/>
      <c r="G24" s="32"/>
      <c r="H24" s="32"/>
      <c r="I24" s="32"/>
      <c r="J24" s="32"/>
      <c r="K24" s="33"/>
      <c r="L24" s="32"/>
      <c r="M24" s="27"/>
      <c r="N24" s="27"/>
    </row>
    <row r="25" spans="1:15" ht="15.6" customHeight="1" x14ac:dyDescent="0.3">
      <c r="A25" s="115" t="s">
        <v>67</v>
      </c>
      <c r="B25" s="174" t="s">
        <v>228</v>
      </c>
      <c r="C25" s="175"/>
      <c r="D25" s="176"/>
      <c r="E25" s="132" t="s">
        <v>68</v>
      </c>
      <c r="F25" s="164" t="s">
        <v>269</v>
      </c>
      <c r="G25" s="25" t="s">
        <v>69</v>
      </c>
      <c r="H25" s="25" t="str">
        <f>G25</f>
        <v>23.9</v>
      </c>
      <c r="I25" s="25" t="str">
        <f>IF(ISBLANK('[1]CH1-CH8'!G11),"",('[1]CH1-CH8'!G11))</f>
        <v/>
      </c>
      <c r="J25" s="25" t="s">
        <v>175</v>
      </c>
      <c r="K25" s="26">
        <f>VLOOKUP($B$25&amp;J25&amp;$F$25,TXRESULT!$A$1:$J$1004,6,FALSE)</f>
        <v>26</v>
      </c>
      <c r="L25" s="145" t="s">
        <v>70</v>
      </c>
      <c r="M25" s="27" t="str">
        <f>IF(ISBLANK(K25),"",IF(AND(K25*1&gt;H25*1),"PASS","FAIL"))</f>
        <v>PASS</v>
      </c>
      <c r="N25" s="27" t="str">
        <f t="shared" si="1"/>
        <v/>
      </c>
      <c r="O25" s="56"/>
    </row>
    <row r="26" spans="1:15" x14ac:dyDescent="0.3">
      <c r="A26" s="116"/>
      <c r="B26" s="177"/>
      <c r="C26" s="178"/>
      <c r="D26" s="179"/>
      <c r="E26" s="119"/>
      <c r="F26" s="165"/>
      <c r="G26" s="25" t="str">
        <f>G25</f>
        <v>23.9</v>
      </c>
      <c r="H26" s="25" t="str">
        <f>H25</f>
        <v>23.9</v>
      </c>
      <c r="I26" s="25" t="str">
        <f>I25</f>
        <v/>
      </c>
      <c r="J26" s="25" t="s">
        <v>176</v>
      </c>
      <c r="K26" s="26">
        <f>VLOOKUP($B$25&amp;J26&amp;$F$25,TXRESULT!$A$1:$J$1004,6,FALSE)</f>
        <v>26.4</v>
      </c>
      <c r="L26" s="146"/>
      <c r="M26" s="27" t="str">
        <f t="shared" ref="M26:M33" si="2">IF(ISBLANK(K26),"",IF(AND(K26*1&gt;H26*1),"PASS","FAIL"))</f>
        <v>PASS</v>
      </c>
      <c r="N26" s="27" t="str">
        <f t="shared" si="1"/>
        <v/>
      </c>
    </row>
    <row r="27" spans="1:15" x14ac:dyDescent="0.3">
      <c r="A27" s="116"/>
      <c r="B27" s="177"/>
      <c r="C27" s="178"/>
      <c r="D27" s="179"/>
      <c r="E27" s="119"/>
      <c r="F27" s="165"/>
      <c r="G27" s="25" t="str">
        <f>G25</f>
        <v>23.9</v>
      </c>
      <c r="H27" s="25" t="str">
        <f>H25</f>
        <v>23.9</v>
      </c>
      <c r="I27" s="25" t="str">
        <f>I25</f>
        <v/>
      </c>
      <c r="J27" s="25" t="s">
        <v>177</v>
      </c>
      <c r="K27" s="26">
        <f>VLOOKUP($B$25&amp;J27&amp;$F$25,TXRESULT!$A$1:$J$1004,6,FALSE)</f>
        <v>26.4</v>
      </c>
      <c r="L27" s="146"/>
      <c r="M27" s="27" t="str">
        <f t="shared" si="2"/>
        <v>PASS</v>
      </c>
      <c r="N27" s="27" t="str">
        <f t="shared" si="1"/>
        <v/>
      </c>
    </row>
    <row r="28" spans="1:15" x14ac:dyDescent="0.3">
      <c r="A28" s="116"/>
      <c r="B28" s="177"/>
      <c r="C28" s="178"/>
      <c r="D28" s="179"/>
      <c r="E28" s="119"/>
      <c r="F28" s="165"/>
      <c r="G28" s="25" t="str">
        <f>G25</f>
        <v>23.9</v>
      </c>
      <c r="H28" s="25" t="str">
        <f>H25</f>
        <v>23.9</v>
      </c>
      <c r="I28" s="25" t="str">
        <f>I25</f>
        <v/>
      </c>
      <c r="J28" s="25" t="s">
        <v>178</v>
      </c>
      <c r="K28" s="26">
        <f>VLOOKUP($B$25&amp;J28&amp;$F$25,TXRESULT!$A$1:$J$1004,6,FALSE)</f>
        <v>26.2</v>
      </c>
      <c r="L28" s="146"/>
      <c r="M28" s="27" t="str">
        <f t="shared" si="2"/>
        <v>PASS</v>
      </c>
      <c r="N28" s="27" t="str">
        <f t="shared" si="1"/>
        <v/>
      </c>
    </row>
    <row r="29" spans="1:15" x14ac:dyDescent="0.3">
      <c r="A29" s="116"/>
      <c r="B29" s="177"/>
      <c r="C29" s="178"/>
      <c r="D29" s="179"/>
      <c r="E29" s="119"/>
      <c r="F29" s="165"/>
      <c r="G29" s="25" t="str">
        <f>G25</f>
        <v>23.9</v>
      </c>
      <c r="H29" s="25" t="str">
        <f>H25</f>
        <v>23.9</v>
      </c>
      <c r="I29" s="25" t="str">
        <f>I25</f>
        <v/>
      </c>
      <c r="J29" s="25" t="s">
        <v>179</v>
      </c>
      <c r="K29" s="26">
        <f>VLOOKUP($B$25&amp;J29&amp;$F$25,TXRESULT!$A$1:$J$1004,6,FALSE)</f>
        <v>26.7</v>
      </c>
      <c r="L29" s="146"/>
      <c r="M29" s="27" t="str">
        <f t="shared" si="2"/>
        <v>PASS</v>
      </c>
      <c r="N29" s="27" t="str">
        <f t="shared" si="1"/>
        <v/>
      </c>
    </row>
    <row r="30" spans="1:15" x14ac:dyDescent="0.3">
      <c r="A30" s="116"/>
      <c r="B30" s="177"/>
      <c r="C30" s="178"/>
      <c r="D30" s="179"/>
      <c r="E30" s="119"/>
      <c r="F30" s="165"/>
      <c r="G30" s="25" t="str">
        <f>G25</f>
        <v>23.9</v>
      </c>
      <c r="H30" s="25" t="str">
        <f>H25</f>
        <v>23.9</v>
      </c>
      <c r="I30" s="25" t="str">
        <f>I25</f>
        <v/>
      </c>
      <c r="J30" s="25" t="s">
        <v>180</v>
      </c>
      <c r="K30" s="26">
        <f>VLOOKUP($B$25&amp;J30&amp;$F$25,TXRESULT!$A$1:$J$1004,6,FALSE)</f>
        <v>26.3</v>
      </c>
      <c r="L30" s="146"/>
      <c r="M30" s="27" t="str">
        <f t="shared" si="2"/>
        <v>PASS</v>
      </c>
      <c r="N30" s="27" t="str">
        <f t="shared" si="1"/>
        <v/>
      </c>
    </row>
    <row r="31" spans="1:15" x14ac:dyDescent="0.3">
      <c r="A31" s="116"/>
      <c r="B31" s="177"/>
      <c r="C31" s="178"/>
      <c r="D31" s="179"/>
      <c r="E31" s="119"/>
      <c r="F31" s="165"/>
      <c r="G31" s="25" t="str">
        <f>G25</f>
        <v>23.9</v>
      </c>
      <c r="H31" s="25" t="str">
        <f>H25</f>
        <v>23.9</v>
      </c>
      <c r="I31" s="25" t="str">
        <f>I25</f>
        <v/>
      </c>
      <c r="J31" s="25" t="s">
        <v>181</v>
      </c>
      <c r="K31" s="26">
        <f>VLOOKUP($B$25&amp;J31&amp;$F$25,TXRESULT!$A$1:$J$1004,6,FALSE)</f>
        <v>26.1</v>
      </c>
      <c r="L31" s="146"/>
      <c r="M31" s="27" t="str">
        <f t="shared" si="2"/>
        <v>PASS</v>
      </c>
      <c r="N31" s="27" t="str">
        <f t="shared" si="1"/>
        <v/>
      </c>
    </row>
    <row r="32" spans="1:15" x14ac:dyDescent="0.3">
      <c r="A32" s="117"/>
      <c r="B32" s="180"/>
      <c r="C32" s="181"/>
      <c r="D32" s="182"/>
      <c r="E32" s="120"/>
      <c r="F32" s="166"/>
      <c r="G32" s="25" t="str">
        <f>G25</f>
        <v>23.9</v>
      </c>
      <c r="H32" s="25" t="str">
        <f>H25</f>
        <v>23.9</v>
      </c>
      <c r="I32" s="25" t="str">
        <f>I25</f>
        <v/>
      </c>
      <c r="J32" s="25" t="s">
        <v>182</v>
      </c>
      <c r="K32" s="26">
        <f>VLOOKUP($B$25&amp;J32&amp;$F$25,TXRESULT!$A$1:$J$1004,6,FALSE)</f>
        <v>26.5</v>
      </c>
      <c r="L32" s="146"/>
      <c r="M32" s="27" t="str">
        <f t="shared" si="2"/>
        <v>PASS</v>
      </c>
      <c r="N32" s="27" t="str">
        <f t="shared" si="1"/>
        <v/>
      </c>
    </row>
    <row r="33" spans="1:14" x14ac:dyDescent="0.3">
      <c r="A33" s="28"/>
      <c r="B33" s="29" t="s">
        <v>71</v>
      </c>
      <c r="C33" s="30"/>
      <c r="D33" s="31"/>
      <c r="E33" s="31"/>
      <c r="F33" s="31"/>
      <c r="G33" s="31"/>
      <c r="H33" s="31"/>
      <c r="I33" s="31"/>
      <c r="J33" s="31"/>
      <c r="K33" s="34"/>
      <c r="L33" s="31"/>
      <c r="M33" s="27" t="str">
        <f t="shared" si="2"/>
        <v/>
      </c>
      <c r="N33" s="27"/>
    </row>
    <row r="34" spans="1:14" ht="15.6" customHeight="1" x14ac:dyDescent="0.3">
      <c r="A34" s="115" t="s">
        <v>72</v>
      </c>
      <c r="B34" s="174" t="s">
        <v>253</v>
      </c>
      <c r="C34" s="175"/>
      <c r="D34" s="176"/>
      <c r="E34" s="115" t="s">
        <v>73</v>
      </c>
      <c r="F34" s="164" t="s">
        <v>53</v>
      </c>
      <c r="G34" s="25" t="s">
        <v>74</v>
      </c>
      <c r="H34" s="25" t="str">
        <f>IF(ISBLANK('[1]CH1-CH8'!F17),"",('[1]CH1-CH8'!F17))</f>
        <v/>
      </c>
      <c r="I34" s="25" t="s">
        <v>74</v>
      </c>
      <c r="J34" s="25" t="s">
        <v>175</v>
      </c>
      <c r="K34" s="26" t="e">
        <f>VLOOKUP($B$34&amp;J34&amp;$F$34,TXRESULT!$A$1:$J$1004,6,FALSE)</f>
        <v>#N/A</v>
      </c>
      <c r="L34" s="145" t="s">
        <v>75</v>
      </c>
      <c r="M34" s="27" t="e">
        <f>IF(ISBLANK(K34),"",IF(AND(K34*1&lt;I34*1),"PASS","FAIL"))</f>
        <v>#N/A</v>
      </c>
      <c r="N34" s="27" t="str">
        <f t="shared" si="1"/>
        <v/>
      </c>
    </row>
    <row r="35" spans="1:14" x14ac:dyDescent="0.3">
      <c r="A35" s="116"/>
      <c r="B35" s="177"/>
      <c r="C35" s="178"/>
      <c r="D35" s="179"/>
      <c r="E35" s="116"/>
      <c r="F35" s="165"/>
      <c r="G35" s="25" t="str">
        <f>G34</f>
        <v>-82.5</v>
      </c>
      <c r="H35" s="25" t="str">
        <f>H34</f>
        <v/>
      </c>
      <c r="I35" s="25" t="str">
        <f>I34</f>
        <v>-82.5</v>
      </c>
      <c r="J35" s="25" t="s">
        <v>176</v>
      </c>
      <c r="K35" s="26" t="e">
        <f>VLOOKUP($B$34&amp;J35&amp;$F$34,TXRESULT!$A$1:$J$1004,6,FALSE)</f>
        <v>#N/A</v>
      </c>
      <c r="L35" s="146"/>
      <c r="M35" s="27" t="e">
        <f t="shared" ref="M35:M41" si="3">IF(ISBLANK(K35),"",IF(AND(K35*1&lt;I35*1),"PASS","FAIL"))</f>
        <v>#N/A</v>
      </c>
      <c r="N35" s="27" t="str">
        <f t="shared" si="1"/>
        <v/>
      </c>
    </row>
    <row r="36" spans="1:14" x14ac:dyDescent="0.3">
      <c r="A36" s="116"/>
      <c r="B36" s="177"/>
      <c r="C36" s="178"/>
      <c r="D36" s="179"/>
      <c r="E36" s="116"/>
      <c r="F36" s="165"/>
      <c r="G36" s="25" t="str">
        <f>G34</f>
        <v>-82.5</v>
      </c>
      <c r="H36" s="25" t="str">
        <f>H34</f>
        <v/>
      </c>
      <c r="I36" s="25" t="str">
        <f>I34</f>
        <v>-82.5</v>
      </c>
      <c r="J36" s="25" t="s">
        <v>177</v>
      </c>
      <c r="K36" s="26" t="e">
        <f>VLOOKUP($B$34&amp;J36&amp;$F$34,TXRESULT!$A$1:$J$1004,6,FALSE)</f>
        <v>#N/A</v>
      </c>
      <c r="L36" s="146"/>
      <c r="M36" s="27" t="e">
        <f t="shared" si="3"/>
        <v>#N/A</v>
      </c>
      <c r="N36" s="27" t="str">
        <f t="shared" si="1"/>
        <v/>
      </c>
    </row>
    <row r="37" spans="1:14" x14ac:dyDescent="0.3">
      <c r="A37" s="116"/>
      <c r="B37" s="177"/>
      <c r="C37" s="178"/>
      <c r="D37" s="179"/>
      <c r="E37" s="116"/>
      <c r="F37" s="165"/>
      <c r="G37" s="25" t="str">
        <f>G34</f>
        <v>-82.5</v>
      </c>
      <c r="H37" s="25" t="str">
        <f>H34</f>
        <v/>
      </c>
      <c r="I37" s="25" t="str">
        <f>I34</f>
        <v>-82.5</v>
      </c>
      <c r="J37" s="25" t="s">
        <v>178</v>
      </c>
      <c r="K37" s="26" t="e">
        <f>VLOOKUP($B$34&amp;J37&amp;$F$34,TXRESULT!$A$1:$J$1004,6,FALSE)</f>
        <v>#N/A</v>
      </c>
      <c r="L37" s="146"/>
      <c r="M37" s="27" t="e">
        <f t="shared" si="3"/>
        <v>#N/A</v>
      </c>
      <c r="N37" s="27" t="str">
        <f t="shared" si="1"/>
        <v/>
      </c>
    </row>
    <row r="38" spans="1:14" x14ac:dyDescent="0.3">
      <c r="A38" s="116"/>
      <c r="B38" s="177"/>
      <c r="C38" s="178"/>
      <c r="D38" s="179"/>
      <c r="E38" s="116"/>
      <c r="F38" s="165"/>
      <c r="G38" s="25" t="str">
        <f>G34</f>
        <v>-82.5</v>
      </c>
      <c r="H38" s="25" t="str">
        <f>H34</f>
        <v/>
      </c>
      <c r="I38" s="25" t="str">
        <f>I34</f>
        <v>-82.5</v>
      </c>
      <c r="J38" s="25" t="s">
        <v>179</v>
      </c>
      <c r="K38" s="26" t="e">
        <f>VLOOKUP($B$34&amp;J38&amp;$F$34,TXRESULT!$A$1:$J$1004,6,FALSE)</f>
        <v>#N/A</v>
      </c>
      <c r="L38" s="146"/>
      <c r="M38" s="27" t="e">
        <f t="shared" si="3"/>
        <v>#N/A</v>
      </c>
      <c r="N38" s="27" t="str">
        <f t="shared" si="1"/>
        <v/>
      </c>
    </row>
    <row r="39" spans="1:14" x14ac:dyDescent="0.3">
      <c r="A39" s="116"/>
      <c r="B39" s="177"/>
      <c r="C39" s="178"/>
      <c r="D39" s="179"/>
      <c r="E39" s="116"/>
      <c r="F39" s="165"/>
      <c r="G39" s="25" t="str">
        <f>G34</f>
        <v>-82.5</v>
      </c>
      <c r="H39" s="25" t="str">
        <f>H34</f>
        <v/>
      </c>
      <c r="I39" s="25" t="str">
        <f>I34</f>
        <v>-82.5</v>
      </c>
      <c r="J39" s="25" t="s">
        <v>180</v>
      </c>
      <c r="K39" s="26" t="e">
        <f>VLOOKUP($B$34&amp;J39&amp;$F$34,TXRESULT!$A$1:$J$1004,6,FALSE)</f>
        <v>#N/A</v>
      </c>
      <c r="L39" s="146"/>
      <c r="M39" s="27" t="e">
        <f t="shared" si="3"/>
        <v>#N/A</v>
      </c>
      <c r="N39" s="27" t="str">
        <f t="shared" si="1"/>
        <v/>
      </c>
    </row>
    <row r="40" spans="1:14" x14ac:dyDescent="0.3">
      <c r="A40" s="116"/>
      <c r="B40" s="177"/>
      <c r="C40" s="178"/>
      <c r="D40" s="179"/>
      <c r="E40" s="116"/>
      <c r="F40" s="165"/>
      <c r="G40" s="25" t="str">
        <f>G34</f>
        <v>-82.5</v>
      </c>
      <c r="H40" s="25" t="str">
        <f>H34</f>
        <v/>
      </c>
      <c r="I40" s="25" t="str">
        <f>I34</f>
        <v>-82.5</v>
      </c>
      <c r="J40" s="25" t="s">
        <v>181</v>
      </c>
      <c r="K40" s="26" t="e">
        <f>VLOOKUP($B$34&amp;J40&amp;$F$34,TXRESULT!$A$1:$J$1004,6,FALSE)</f>
        <v>#N/A</v>
      </c>
      <c r="L40" s="146"/>
      <c r="M40" s="27" t="e">
        <f t="shared" si="3"/>
        <v>#N/A</v>
      </c>
      <c r="N40" s="27" t="str">
        <f t="shared" si="1"/>
        <v/>
      </c>
    </row>
    <row r="41" spans="1:14" x14ac:dyDescent="0.3">
      <c r="A41" s="117"/>
      <c r="B41" s="180"/>
      <c r="C41" s="181"/>
      <c r="D41" s="182"/>
      <c r="E41" s="117"/>
      <c r="F41" s="166"/>
      <c r="G41" s="25" t="str">
        <f>G34</f>
        <v>-82.5</v>
      </c>
      <c r="H41" s="25" t="str">
        <f>H34</f>
        <v/>
      </c>
      <c r="I41" s="25" t="str">
        <f>I34</f>
        <v>-82.5</v>
      </c>
      <c r="J41" s="25" t="s">
        <v>182</v>
      </c>
      <c r="K41" s="26" t="e">
        <f>VLOOKUP($B$34&amp;J41&amp;$F$34,TXRESULT!$A$1:$J$1004,6,FALSE)</f>
        <v>#N/A</v>
      </c>
      <c r="L41" s="147"/>
      <c r="M41" s="27" t="e">
        <f t="shared" si="3"/>
        <v>#N/A</v>
      </c>
      <c r="N41" s="27" t="str">
        <f t="shared" si="1"/>
        <v/>
      </c>
    </row>
    <row r="42" spans="1:14" ht="15.6" customHeight="1" x14ac:dyDescent="0.3">
      <c r="A42" s="115" t="s">
        <v>76</v>
      </c>
      <c r="B42" s="174" t="s">
        <v>77</v>
      </c>
      <c r="C42" s="175"/>
      <c r="D42" s="176"/>
      <c r="E42" s="132" t="s">
        <v>78</v>
      </c>
      <c r="F42" s="164" t="s">
        <v>53</v>
      </c>
      <c r="G42" s="25" t="s">
        <v>79</v>
      </c>
      <c r="H42" s="25" t="s">
        <v>80</v>
      </c>
      <c r="I42" s="25" t="s">
        <v>79</v>
      </c>
      <c r="J42" s="25" t="s">
        <v>175</v>
      </c>
      <c r="K42" s="26" t="e">
        <f>VLOOKUP($B$42&amp;J42&amp;$F$42,TXRESULT!$A$1:$J$1004,6,FALSE)</f>
        <v>#N/A</v>
      </c>
      <c r="L42" s="145" t="s">
        <v>81</v>
      </c>
      <c r="M42" s="27" t="e">
        <f>IF(ISBLANK(K42),"",IF(AND(K42*1&gt;H42*1,K42*1&lt;I42*1),"PASS","FAIL"))</f>
        <v>#N/A</v>
      </c>
      <c r="N42" s="27" t="str">
        <f t="shared" si="1"/>
        <v/>
      </c>
    </row>
    <row r="43" spans="1:14" x14ac:dyDescent="0.3">
      <c r="A43" s="116"/>
      <c r="B43" s="177"/>
      <c r="C43" s="178"/>
      <c r="D43" s="179"/>
      <c r="E43" s="119"/>
      <c r="F43" s="165"/>
      <c r="G43" s="25" t="s">
        <v>79</v>
      </c>
      <c r="H43" s="25" t="s">
        <v>80</v>
      </c>
      <c r="I43" s="25" t="s">
        <v>79</v>
      </c>
      <c r="J43" s="25" t="s">
        <v>176</v>
      </c>
      <c r="K43" s="26" t="e">
        <f>VLOOKUP($B$42&amp;J43&amp;$F$42,TXRESULT!$A$1:$J$1004,6,FALSE)</f>
        <v>#N/A</v>
      </c>
      <c r="L43" s="146"/>
      <c r="M43" s="27" t="e">
        <f t="shared" ref="M43:M49" si="4">IF(ISBLANK(K43),"",IF(AND(K43*1&gt;H43*1,K43*1&lt;I43*1),"PASS","FAIL"))</f>
        <v>#N/A</v>
      </c>
      <c r="N43" s="27" t="str">
        <f t="shared" si="1"/>
        <v/>
      </c>
    </row>
    <row r="44" spans="1:14" x14ac:dyDescent="0.3">
      <c r="A44" s="116"/>
      <c r="B44" s="177"/>
      <c r="C44" s="178"/>
      <c r="D44" s="179"/>
      <c r="E44" s="119"/>
      <c r="F44" s="165"/>
      <c r="G44" s="25" t="s">
        <v>79</v>
      </c>
      <c r="H44" s="25" t="s">
        <v>80</v>
      </c>
      <c r="I44" s="25" t="s">
        <v>79</v>
      </c>
      <c r="J44" s="25" t="s">
        <v>177</v>
      </c>
      <c r="K44" s="26" t="e">
        <f>VLOOKUP($B$42&amp;J44&amp;$F$42,TXRESULT!$A$1:$J$1004,6,FALSE)</f>
        <v>#N/A</v>
      </c>
      <c r="L44" s="146"/>
      <c r="M44" s="27" t="e">
        <f t="shared" si="4"/>
        <v>#N/A</v>
      </c>
      <c r="N44" s="27" t="str">
        <f t="shared" si="1"/>
        <v/>
      </c>
    </row>
    <row r="45" spans="1:14" x14ac:dyDescent="0.3">
      <c r="A45" s="116"/>
      <c r="B45" s="177"/>
      <c r="C45" s="178"/>
      <c r="D45" s="179"/>
      <c r="E45" s="119"/>
      <c r="F45" s="165"/>
      <c r="G45" s="25" t="s">
        <v>79</v>
      </c>
      <c r="H45" s="25" t="s">
        <v>80</v>
      </c>
      <c r="I45" s="25" t="s">
        <v>79</v>
      </c>
      <c r="J45" s="25" t="s">
        <v>178</v>
      </c>
      <c r="K45" s="26" t="e">
        <f>VLOOKUP($B$42&amp;J45&amp;$F$42,TXRESULT!$A$1:$J$1004,6,FALSE)</f>
        <v>#N/A</v>
      </c>
      <c r="L45" s="146"/>
      <c r="M45" s="27" t="e">
        <f t="shared" si="4"/>
        <v>#N/A</v>
      </c>
      <c r="N45" s="27" t="str">
        <f t="shared" si="1"/>
        <v/>
      </c>
    </row>
    <row r="46" spans="1:14" x14ac:dyDescent="0.3">
      <c r="A46" s="116"/>
      <c r="B46" s="177"/>
      <c r="C46" s="178"/>
      <c r="D46" s="179"/>
      <c r="E46" s="119"/>
      <c r="F46" s="165"/>
      <c r="G46" s="25" t="s">
        <v>79</v>
      </c>
      <c r="H46" s="25" t="s">
        <v>80</v>
      </c>
      <c r="I46" s="25" t="s">
        <v>79</v>
      </c>
      <c r="J46" s="25" t="s">
        <v>179</v>
      </c>
      <c r="K46" s="26" t="e">
        <f>VLOOKUP($B$42&amp;J46&amp;$F$42,TXRESULT!$A$1:$J$1004,6,FALSE)</f>
        <v>#N/A</v>
      </c>
      <c r="L46" s="146"/>
      <c r="M46" s="27" t="e">
        <f t="shared" si="4"/>
        <v>#N/A</v>
      </c>
      <c r="N46" s="27" t="str">
        <f t="shared" si="1"/>
        <v/>
      </c>
    </row>
    <row r="47" spans="1:14" x14ac:dyDescent="0.3">
      <c r="A47" s="116"/>
      <c r="B47" s="177"/>
      <c r="C47" s="178"/>
      <c r="D47" s="179"/>
      <c r="E47" s="119"/>
      <c r="F47" s="165"/>
      <c r="G47" s="25" t="s">
        <v>79</v>
      </c>
      <c r="H47" s="25" t="s">
        <v>80</v>
      </c>
      <c r="I47" s="25" t="s">
        <v>79</v>
      </c>
      <c r="J47" s="25" t="s">
        <v>180</v>
      </c>
      <c r="K47" s="26" t="e">
        <f>VLOOKUP($B$42&amp;J47&amp;$F$42,TXRESULT!$A$1:$J$1004,6,FALSE)</f>
        <v>#N/A</v>
      </c>
      <c r="L47" s="146"/>
      <c r="M47" s="27" t="e">
        <f t="shared" si="4"/>
        <v>#N/A</v>
      </c>
      <c r="N47" s="27" t="str">
        <f t="shared" si="1"/>
        <v/>
      </c>
    </row>
    <row r="48" spans="1:14" x14ac:dyDescent="0.3">
      <c r="A48" s="116"/>
      <c r="B48" s="177"/>
      <c r="C48" s="178"/>
      <c r="D48" s="179"/>
      <c r="E48" s="119"/>
      <c r="F48" s="165"/>
      <c r="G48" s="25" t="s">
        <v>79</v>
      </c>
      <c r="H48" s="25" t="s">
        <v>80</v>
      </c>
      <c r="I48" s="25" t="s">
        <v>79</v>
      </c>
      <c r="J48" s="25" t="s">
        <v>181</v>
      </c>
      <c r="K48" s="26" t="e">
        <f>VLOOKUP($B$42&amp;J48&amp;$F$42,TXRESULT!$A$1:$J$1004,6,FALSE)</f>
        <v>#N/A</v>
      </c>
      <c r="L48" s="146"/>
      <c r="M48" s="27" t="e">
        <f t="shared" si="4"/>
        <v>#N/A</v>
      </c>
      <c r="N48" s="27" t="str">
        <f t="shared" si="1"/>
        <v/>
      </c>
    </row>
    <row r="49" spans="1:14" x14ac:dyDescent="0.3">
      <c r="A49" s="117"/>
      <c r="B49" s="180"/>
      <c r="C49" s="181"/>
      <c r="D49" s="182"/>
      <c r="E49" s="120"/>
      <c r="F49" s="166"/>
      <c r="G49" s="25" t="s">
        <v>79</v>
      </c>
      <c r="H49" s="25" t="s">
        <v>80</v>
      </c>
      <c r="I49" s="25" t="s">
        <v>79</v>
      </c>
      <c r="J49" s="25" t="s">
        <v>182</v>
      </c>
      <c r="K49" s="26" t="e">
        <f>VLOOKUP($B$42&amp;J49&amp;$F$42,TXRESULT!$A$1:$J$1004,6,FALSE)</f>
        <v>#N/A</v>
      </c>
      <c r="L49" s="147"/>
      <c r="M49" s="27" t="e">
        <f t="shared" si="4"/>
        <v>#N/A</v>
      </c>
      <c r="N49" s="27" t="str">
        <f t="shared" si="1"/>
        <v/>
      </c>
    </row>
    <row r="50" spans="1:14" x14ac:dyDescent="0.3">
      <c r="A50" s="28"/>
      <c r="B50" s="29" t="s">
        <v>82</v>
      </c>
      <c r="C50" s="30"/>
      <c r="D50" s="30"/>
      <c r="E50" s="30"/>
      <c r="F50" s="30"/>
      <c r="G50" s="30"/>
      <c r="H50" s="30"/>
      <c r="I50" s="30"/>
      <c r="J50" s="30"/>
      <c r="K50" s="26"/>
      <c r="L50" s="30"/>
      <c r="M50" s="35"/>
      <c r="N50" s="27"/>
    </row>
    <row r="51" spans="1:14" ht="15.6" customHeight="1" x14ac:dyDescent="0.3">
      <c r="A51" s="115" t="s">
        <v>83</v>
      </c>
      <c r="B51" s="174" t="s">
        <v>84</v>
      </c>
      <c r="C51" s="175"/>
      <c r="D51" s="176"/>
      <c r="E51" s="132" t="s">
        <v>85</v>
      </c>
      <c r="F51" s="164" t="s">
        <v>86</v>
      </c>
      <c r="G51" s="25" t="s">
        <v>80</v>
      </c>
      <c r="H51" s="36">
        <f>-$F$9*1*0.05-12</f>
        <v>-139.5</v>
      </c>
      <c r="I51" s="25">
        <f>$F$9*0.05+12</f>
        <v>139.5</v>
      </c>
      <c r="J51" s="25" t="s">
        <v>175</v>
      </c>
      <c r="K51" s="26">
        <f t="array" ref="K51">MAX(IF((LEFT(TXRESULT!$C$1:$C$1004,15)='CH9-CH16'!$B$51)*(TXRESULT!$B$1:$B$1004='CH9-CH16'!J51),TXRESULT!$F$1:$F$1004,""))</f>
        <v>5.4</v>
      </c>
      <c r="L51" s="145" t="s">
        <v>87</v>
      </c>
      <c r="M51" s="27" t="str">
        <f>IF(ISBLANK(K51),"",IF(AND(K51*1&gt;H51*1,K51*1&lt;I51*1),"PASS","FAIL"))</f>
        <v>PASS</v>
      </c>
      <c r="N51" s="27" t="str">
        <f t="shared" si="1"/>
        <v/>
      </c>
    </row>
    <row r="52" spans="1:14" x14ac:dyDescent="0.3">
      <c r="A52" s="116"/>
      <c r="B52" s="177"/>
      <c r="C52" s="178"/>
      <c r="D52" s="179"/>
      <c r="E52" s="119"/>
      <c r="F52" s="165"/>
      <c r="G52" s="25" t="s">
        <v>80</v>
      </c>
      <c r="H52" s="36">
        <f>H51</f>
        <v>-139.5</v>
      </c>
      <c r="I52" s="36">
        <f>I51</f>
        <v>139.5</v>
      </c>
      <c r="J52" s="25" t="s">
        <v>176</v>
      </c>
      <c r="K52" s="26">
        <f t="array" ref="K52">MAX(IF((LEFT(TXRESULT!$C$1:$C$1004,15)='CH9-CH16'!$B$51)*(TXRESULT!$B$1:$B$1004='CH9-CH16'!J52),TXRESULT!$F$1:$F$1004,""))</f>
        <v>0.5</v>
      </c>
      <c r="L52" s="146"/>
      <c r="M52" s="27" t="str">
        <f t="shared" ref="M52:M58" si="5">IF(ISBLANK(K52),"",IF(AND(K52*1&gt;H52*1,K52*1&lt;I52*1),"PASS","FAIL"))</f>
        <v>PASS</v>
      </c>
      <c r="N52" s="27" t="str">
        <f t="shared" si="1"/>
        <v/>
      </c>
    </row>
    <row r="53" spans="1:14" x14ac:dyDescent="0.3">
      <c r="A53" s="116"/>
      <c r="B53" s="177"/>
      <c r="C53" s="178"/>
      <c r="D53" s="179"/>
      <c r="E53" s="119"/>
      <c r="F53" s="165"/>
      <c r="G53" s="25" t="s">
        <v>80</v>
      </c>
      <c r="H53" s="36">
        <f>H51</f>
        <v>-139.5</v>
      </c>
      <c r="I53" s="36">
        <f>I51</f>
        <v>139.5</v>
      </c>
      <c r="J53" s="25" t="s">
        <v>177</v>
      </c>
      <c r="K53" s="26">
        <f t="array" ref="K53">MAX(IF((LEFT(TXRESULT!$C$1:$C$1004,15)='CH9-CH16'!$B$51)*(TXRESULT!$B$1:$B$1004='CH9-CH16'!J53),TXRESULT!$F$1:$F$1004,""))</f>
        <v>2.9</v>
      </c>
      <c r="L53" s="146"/>
      <c r="M53" s="27" t="str">
        <f t="shared" si="5"/>
        <v>PASS</v>
      </c>
      <c r="N53" s="27" t="str">
        <f t="shared" si="1"/>
        <v/>
      </c>
    </row>
    <row r="54" spans="1:14" x14ac:dyDescent="0.3">
      <c r="A54" s="116"/>
      <c r="B54" s="177"/>
      <c r="C54" s="178"/>
      <c r="D54" s="179"/>
      <c r="E54" s="119"/>
      <c r="F54" s="165"/>
      <c r="G54" s="25" t="s">
        <v>80</v>
      </c>
      <c r="H54" s="36">
        <f>H51</f>
        <v>-139.5</v>
      </c>
      <c r="I54" s="36">
        <f>I51</f>
        <v>139.5</v>
      </c>
      <c r="J54" s="25" t="s">
        <v>178</v>
      </c>
      <c r="K54" s="26">
        <f t="array" ref="K54">MAX(IF((LEFT(TXRESULT!$C$1:$C$1004,15)='CH9-CH16'!$B$51)*(TXRESULT!$B$1:$B$1004='CH9-CH16'!J54),TXRESULT!$F$1:$F$1004,""))</f>
        <v>2</v>
      </c>
      <c r="L54" s="146"/>
      <c r="M54" s="27" t="str">
        <f t="shared" si="5"/>
        <v>PASS</v>
      </c>
      <c r="N54" s="27" t="str">
        <f t="shared" si="1"/>
        <v/>
      </c>
    </row>
    <row r="55" spans="1:14" x14ac:dyDescent="0.3">
      <c r="A55" s="116"/>
      <c r="B55" s="177"/>
      <c r="C55" s="178"/>
      <c r="D55" s="179"/>
      <c r="E55" s="119"/>
      <c r="F55" s="165"/>
      <c r="G55" s="25" t="s">
        <v>80</v>
      </c>
      <c r="H55" s="36">
        <f>H51</f>
        <v>-139.5</v>
      </c>
      <c r="I55" s="36">
        <f>I51</f>
        <v>139.5</v>
      </c>
      <c r="J55" s="25" t="s">
        <v>179</v>
      </c>
      <c r="K55" s="26">
        <f t="array" ref="K55">MAX(IF((LEFT(TXRESULT!$C$1:$C$1004,15)='CH9-CH16'!$B$51)*(TXRESULT!$B$1:$B$1004='CH9-CH16'!J55),TXRESULT!$F$1:$F$1004,""))</f>
        <v>3</v>
      </c>
      <c r="L55" s="146"/>
      <c r="M55" s="27" t="str">
        <f t="shared" si="5"/>
        <v>PASS</v>
      </c>
      <c r="N55" s="27" t="str">
        <f t="shared" si="1"/>
        <v/>
      </c>
    </row>
    <row r="56" spans="1:14" x14ac:dyDescent="0.3">
      <c r="A56" s="116"/>
      <c r="B56" s="177"/>
      <c r="C56" s="178"/>
      <c r="D56" s="179"/>
      <c r="E56" s="119"/>
      <c r="F56" s="165"/>
      <c r="G56" s="25" t="s">
        <v>80</v>
      </c>
      <c r="H56" s="36">
        <f>H51</f>
        <v>-139.5</v>
      </c>
      <c r="I56" s="36">
        <f>I51</f>
        <v>139.5</v>
      </c>
      <c r="J56" s="25" t="s">
        <v>180</v>
      </c>
      <c r="K56" s="26">
        <f t="array" ref="K56">MAX(IF((LEFT(TXRESULT!$C$1:$C$1004,15)='CH9-CH16'!$B$51)*(TXRESULT!$B$1:$B$1004='CH9-CH16'!J56),TXRESULT!$F$1:$F$1004,""))</f>
        <v>1.9</v>
      </c>
      <c r="L56" s="146"/>
      <c r="M56" s="27" t="str">
        <f t="shared" si="5"/>
        <v>PASS</v>
      </c>
      <c r="N56" s="27" t="str">
        <f t="shared" si="1"/>
        <v/>
      </c>
    </row>
    <row r="57" spans="1:14" x14ac:dyDescent="0.3">
      <c r="A57" s="116"/>
      <c r="B57" s="177"/>
      <c r="C57" s="178"/>
      <c r="D57" s="179"/>
      <c r="E57" s="119"/>
      <c r="F57" s="165"/>
      <c r="G57" s="25" t="s">
        <v>80</v>
      </c>
      <c r="H57" s="36">
        <f>H51</f>
        <v>-139.5</v>
      </c>
      <c r="I57" s="36">
        <f>I51</f>
        <v>139.5</v>
      </c>
      <c r="J57" s="25" t="s">
        <v>181</v>
      </c>
      <c r="K57" s="26">
        <f t="array" ref="K57">MAX(IF((LEFT(TXRESULT!$C$1:$C$1004,15)='CH9-CH16'!$B$51)*(TXRESULT!$B$1:$B$1004='CH9-CH16'!J57),TXRESULT!$F$1:$F$1004,""))</f>
        <v>39.200000000000003</v>
      </c>
      <c r="L57" s="146"/>
      <c r="M57" s="27" t="str">
        <f t="shared" si="5"/>
        <v>PASS</v>
      </c>
      <c r="N57" s="27" t="str">
        <f t="shared" si="1"/>
        <v/>
      </c>
    </row>
    <row r="58" spans="1:14" x14ac:dyDescent="0.3">
      <c r="A58" s="117"/>
      <c r="B58" s="180"/>
      <c r="C58" s="181"/>
      <c r="D58" s="182"/>
      <c r="E58" s="120"/>
      <c r="F58" s="166"/>
      <c r="G58" s="25" t="s">
        <v>80</v>
      </c>
      <c r="H58" s="36">
        <f>H51</f>
        <v>-139.5</v>
      </c>
      <c r="I58" s="36">
        <f>I51</f>
        <v>139.5</v>
      </c>
      <c r="J58" s="25" t="s">
        <v>182</v>
      </c>
      <c r="K58" s="26">
        <f t="array" ref="K58">MAX(IF((LEFT(TXRESULT!$C$1:$C$1004,15)='CH9-CH16'!$B$51)*(TXRESULT!$B$1:$B$1004='CH9-CH16'!J58),TXRESULT!$F$1:$F$1004,""))</f>
        <v>19.7</v>
      </c>
      <c r="L58" s="146"/>
      <c r="M58" s="27" t="str">
        <f t="shared" si="5"/>
        <v>PASS</v>
      </c>
      <c r="N58" s="27" t="str">
        <f t="shared" si="1"/>
        <v/>
      </c>
    </row>
    <row r="59" spans="1:14" ht="17.25" customHeight="1" x14ac:dyDescent="0.3">
      <c r="A59" s="115" t="s">
        <v>88</v>
      </c>
      <c r="B59" s="115" t="s">
        <v>89</v>
      </c>
      <c r="C59" s="174" t="s">
        <v>229</v>
      </c>
      <c r="D59" s="176"/>
      <c r="E59" s="132" t="s">
        <v>90</v>
      </c>
      <c r="F59" s="164" t="s">
        <v>91</v>
      </c>
      <c r="G59" s="25" t="s">
        <v>92</v>
      </c>
      <c r="H59" s="25" t="s">
        <v>80</v>
      </c>
      <c r="I59" s="25" t="s">
        <v>92</v>
      </c>
      <c r="J59" s="25" t="s">
        <v>175</v>
      </c>
      <c r="K59" s="26">
        <f>VLOOKUP($C$59&amp;" "&amp;$F$59&amp;J59&amp;$F$59,TXRESULT!$A$1:$I$1004,6,FALSE)</f>
        <v>3.2</v>
      </c>
      <c r="L59" s="145" t="s">
        <v>93</v>
      </c>
      <c r="M59" s="27" t="str">
        <f>IF(ISBLANK(K59),"",IF(AND(K59*1&gt;H59*1,K59*1&lt;I59*1),"PASS","FAIL"))</f>
        <v>PASS</v>
      </c>
      <c r="N59" s="27" t="str">
        <f t="shared" si="1"/>
        <v/>
      </c>
    </row>
    <row r="60" spans="1:14" x14ac:dyDescent="0.3">
      <c r="A60" s="116"/>
      <c r="B60" s="116"/>
      <c r="C60" s="177"/>
      <c r="D60" s="179"/>
      <c r="E60" s="119"/>
      <c r="F60" s="165"/>
      <c r="G60" s="25" t="str">
        <f>G59</f>
        <v>18.5</v>
      </c>
      <c r="H60" s="25" t="str">
        <f>H59</f>
        <v>0</v>
      </c>
      <c r="I60" s="25" t="str">
        <f>I59</f>
        <v>18.5</v>
      </c>
      <c r="J60" s="25" t="s">
        <v>176</v>
      </c>
      <c r="K60" s="26">
        <f>VLOOKUP($C$59&amp;" "&amp;$F$59&amp;J60&amp;$F$59,TXRESULT!$A$1:$I$1004,6,FALSE)</f>
        <v>3.2</v>
      </c>
      <c r="L60" s="146"/>
      <c r="M60" s="27" t="str">
        <f t="shared" ref="M60:M73" si="6">IF(ISBLANK(K60),"",IF(AND(K60*1&gt;H60*1,K60*1&lt;I60*1),"PASS","FAIL"))</f>
        <v>PASS</v>
      </c>
      <c r="N60" s="27" t="str">
        <f t="shared" si="1"/>
        <v/>
      </c>
    </row>
    <row r="61" spans="1:14" x14ac:dyDescent="0.3">
      <c r="A61" s="116"/>
      <c r="B61" s="116"/>
      <c r="C61" s="177"/>
      <c r="D61" s="179"/>
      <c r="E61" s="119"/>
      <c r="F61" s="165"/>
      <c r="G61" s="25" t="str">
        <f>G59</f>
        <v>18.5</v>
      </c>
      <c r="H61" s="25" t="str">
        <f>H59</f>
        <v>0</v>
      </c>
      <c r="I61" s="25" t="str">
        <f>I59</f>
        <v>18.5</v>
      </c>
      <c r="J61" s="25" t="s">
        <v>177</v>
      </c>
      <c r="K61" s="26">
        <f>VLOOKUP($C$59&amp;" "&amp;$F$59&amp;J61&amp;$F$59,TXRESULT!$A$1:$I$1004,6,FALSE)</f>
        <v>3.2</v>
      </c>
      <c r="L61" s="146"/>
      <c r="M61" s="27" t="str">
        <f t="shared" si="6"/>
        <v>PASS</v>
      </c>
      <c r="N61" s="27" t="str">
        <f t="shared" si="1"/>
        <v/>
      </c>
    </row>
    <row r="62" spans="1:14" x14ac:dyDescent="0.3">
      <c r="A62" s="116"/>
      <c r="B62" s="116"/>
      <c r="C62" s="177"/>
      <c r="D62" s="179"/>
      <c r="E62" s="119"/>
      <c r="F62" s="165"/>
      <c r="G62" s="25" t="str">
        <f>G59</f>
        <v>18.5</v>
      </c>
      <c r="H62" s="25" t="str">
        <f>H59</f>
        <v>0</v>
      </c>
      <c r="I62" s="25" t="str">
        <f>I59</f>
        <v>18.5</v>
      </c>
      <c r="J62" s="25" t="s">
        <v>178</v>
      </c>
      <c r="K62" s="26">
        <f>VLOOKUP($C$59&amp;" "&amp;$F$59&amp;J62&amp;$F$59,TXRESULT!$A$1:$I$1004,6,FALSE)</f>
        <v>3.2</v>
      </c>
      <c r="L62" s="146"/>
      <c r="M62" s="27" t="str">
        <f t="shared" si="6"/>
        <v>PASS</v>
      </c>
      <c r="N62" s="27" t="str">
        <f t="shared" si="1"/>
        <v/>
      </c>
    </row>
    <row r="63" spans="1:14" x14ac:dyDescent="0.3">
      <c r="A63" s="116"/>
      <c r="B63" s="116"/>
      <c r="C63" s="177"/>
      <c r="D63" s="179"/>
      <c r="E63" s="119"/>
      <c r="F63" s="165"/>
      <c r="G63" s="25" t="str">
        <f>G59</f>
        <v>18.5</v>
      </c>
      <c r="H63" s="25" t="str">
        <f>H59</f>
        <v>0</v>
      </c>
      <c r="I63" s="25" t="str">
        <f>I59</f>
        <v>18.5</v>
      </c>
      <c r="J63" s="25" t="s">
        <v>179</v>
      </c>
      <c r="K63" s="26">
        <f>VLOOKUP($C$59&amp;" "&amp;$F$59&amp;J63&amp;$F$59,TXRESULT!$A$1:$I$1004,6,FALSE)</f>
        <v>3.2</v>
      </c>
      <c r="L63" s="146"/>
      <c r="M63" s="27" t="str">
        <f t="shared" si="6"/>
        <v>PASS</v>
      </c>
      <c r="N63" s="27" t="str">
        <f t="shared" si="1"/>
        <v/>
      </c>
    </row>
    <row r="64" spans="1:14" x14ac:dyDescent="0.3">
      <c r="A64" s="116"/>
      <c r="B64" s="116"/>
      <c r="C64" s="177"/>
      <c r="D64" s="179"/>
      <c r="E64" s="119"/>
      <c r="F64" s="165"/>
      <c r="G64" s="25" t="str">
        <f>G59</f>
        <v>18.5</v>
      </c>
      <c r="H64" s="25" t="str">
        <f>H59</f>
        <v>0</v>
      </c>
      <c r="I64" s="25" t="str">
        <f>I59</f>
        <v>18.5</v>
      </c>
      <c r="J64" s="25" t="s">
        <v>180</v>
      </c>
      <c r="K64" s="26">
        <f>VLOOKUP($C$59&amp;" "&amp;$F$59&amp;J64&amp;$F$59,TXRESULT!$A$1:$I$1004,6,FALSE)</f>
        <v>3.2</v>
      </c>
      <c r="L64" s="146"/>
      <c r="M64" s="27" t="str">
        <f t="shared" si="6"/>
        <v>PASS</v>
      </c>
      <c r="N64" s="27" t="str">
        <f t="shared" si="1"/>
        <v/>
      </c>
    </row>
    <row r="65" spans="1:14" x14ac:dyDescent="0.3">
      <c r="A65" s="116"/>
      <c r="B65" s="116"/>
      <c r="C65" s="177"/>
      <c r="D65" s="179"/>
      <c r="E65" s="119"/>
      <c r="F65" s="165"/>
      <c r="G65" s="25" t="str">
        <f>G59</f>
        <v>18.5</v>
      </c>
      <c r="H65" s="25" t="str">
        <f>H59</f>
        <v>0</v>
      </c>
      <c r="I65" s="25" t="str">
        <f>I59</f>
        <v>18.5</v>
      </c>
      <c r="J65" s="25" t="s">
        <v>181</v>
      </c>
      <c r="K65" s="26">
        <f>VLOOKUP($C$59&amp;" "&amp;$F$59&amp;J65&amp;$F$59,TXRESULT!$A$1:$I$1004,6,FALSE)</f>
        <v>3.2</v>
      </c>
      <c r="L65" s="146"/>
      <c r="M65" s="27" t="str">
        <f t="shared" si="6"/>
        <v>PASS</v>
      </c>
      <c r="N65" s="27" t="str">
        <f t="shared" si="1"/>
        <v/>
      </c>
    </row>
    <row r="66" spans="1:14" x14ac:dyDescent="0.3">
      <c r="A66" s="116"/>
      <c r="B66" s="117"/>
      <c r="C66" s="177"/>
      <c r="D66" s="179"/>
      <c r="E66" s="120"/>
      <c r="F66" s="166"/>
      <c r="G66" s="25" t="str">
        <f>G59</f>
        <v>18.5</v>
      </c>
      <c r="H66" s="25" t="str">
        <f>H59</f>
        <v>0</v>
      </c>
      <c r="I66" s="25" t="str">
        <f>I59</f>
        <v>18.5</v>
      </c>
      <c r="J66" s="25" t="s">
        <v>182</v>
      </c>
      <c r="K66" s="26">
        <f>VLOOKUP($C$59&amp;" "&amp;$F$59&amp;J66&amp;$F$59,TXRESULT!$A$1:$I$1004,6,FALSE)</f>
        <v>3.2</v>
      </c>
      <c r="L66" s="146"/>
      <c r="M66" s="27" t="str">
        <f t="shared" si="6"/>
        <v>PASS</v>
      </c>
      <c r="N66" s="27" t="str">
        <f t="shared" si="1"/>
        <v/>
      </c>
    </row>
    <row r="67" spans="1:14" ht="15.6" customHeight="1" x14ac:dyDescent="0.3">
      <c r="A67" s="116"/>
      <c r="B67" s="115" t="s">
        <v>94</v>
      </c>
      <c r="C67" s="177"/>
      <c r="D67" s="179"/>
      <c r="E67" s="132" t="s">
        <v>90</v>
      </c>
      <c r="F67" s="164" t="s">
        <v>95</v>
      </c>
      <c r="G67" s="25" t="s">
        <v>96</v>
      </c>
      <c r="H67" s="25" t="s">
        <v>80</v>
      </c>
      <c r="I67" s="25" t="s">
        <v>96</v>
      </c>
      <c r="J67" s="25" t="s">
        <v>175</v>
      </c>
      <c r="K67" s="26">
        <f>VLOOKUP($C$59&amp;" "&amp;$F$67&amp;J67&amp;$F$67,TXRESULT!$A$1:$I$1004,6,FALSE)</f>
        <v>2.2999999999999998</v>
      </c>
      <c r="L67" s="146"/>
      <c r="M67" s="27" t="str">
        <f t="shared" si="6"/>
        <v>PASS</v>
      </c>
      <c r="N67" s="27" t="str">
        <f t="shared" si="1"/>
        <v/>
      </c>
    </row>
    <row r="68" spans="1:14" x14ac:dyDescent="0.3">
      <c r="A68" s="116"/>
      <c r="B68" s="116"/>
      <c r="C68" s="177"/>
      <c r="D68" s="179"/>
      <c r="E68" s="119"/>
      <c r="F68" s="165"/>
      <c r="G68" s="25" t="str">
        <f>G67</f>
        <v>13.5</v>
      </c>
      <c r="H68" s="25" t="str">
        <f>H67</f>
        <v>0</v>
      </c>
      <c r="I68" s="25" t="str">
        <f>I67</f>
        <v>13.5</v>
      </c>
      <c r="J68" s="25" t="s">
        <v>176</v>
      </c>
      <c r="K68" s="26">
        <f>VLOOKUP($C$59&amp;" "&amp;$F$67&amp;J68&amp;$F$67,TXRESULT!$A$1:$I$1004,6,FALSE)</f>
        <v>2.2999999999999998</v>
      </c>
      <c r="L68" s="146"/>
      <c r="M68" s="27" t="str">
        <f t="shared" si="6"/>
        <v>PASS</v>
      </c>
      <c r="N68" s="27" t="str">
        <f t="shared" si="1"/>
        <v/>
      </c>
    </row>
    <row r="69" spans="1:14" x14ac:dyDescent="0.3">
      <c r="A69" s="116"/>
      <c r="B69" s="116"/>
      <c r="C69" s="177"/>
      <c r="D69" s="179"/>
      <c r="E69" s="119"/>
      <c r="F69" s="165"/>
      <c r="G69" s="25" t="str">
        <f>G67</f>
        <v>13.5</v>
      </c>
      <c r="H69" s="25" t="str">
        <f>H67</f>
        <v>0</v>
      </c>
      <c r="I69" s="25" t="str">
        <f>I67</f>
        <v>13.5</v>
      </c>
      <c r="J69" s="25" t="s">
        <v>177</v>
      </c>
      <c r="K69" s="26">
        <f>VLOOKUP($C$59&amp;" "&amp;$F$67&amp;J69&amp;$F$67,TXRESULT!$A$1:$I$1004,6,FALSE)</f>
        <v>2.2999999999999998</v>
      </c>
      <c r="L69" s="146"/>
      <c r="M69" s="27" t="str">
        <f t="shared" si="6"/>
        <v>PASS</v>
      </c>
      <c r="N69" s="27" t="str">
        <f t="shared" si="1"/>
        <v/>
      </c>
    </row>
    <row r="70" spans="1:14" x14ac:dyDescent="0.3">
      <c r="A70" s="116"/>
      <c r="B70" s="116"/>
      <c r="C70" s="177"/>
      <c r="D70" s="179"/>
      <c r="E70" s="119"/>
      <c r="F70" s="165"/>
      <c r="G70" s="25" t="str">
        <f>G67</f>
        <v>13.5</v>
      </c>
      <c r="H70" s="25" t="str">
        <f>H67</f>
        <v>0</v>
      </c>
      <c r="I70" s="25" t="str">
        <f>I67</f>
        <v>13.5</v>
      </c>
      <c r="J70" s="25" t="s">
        <v>178</v>
      </c>
      <c r="K70" s="26">
        <f>VLOOKUP($C$59&amp;" "&amp;$F$67&amp;J70&amp;$F$67,TXRESULT!$A$1:$I$1004,6,FALSE)</f>
        <v>2.2999999999999998</v>
      </c>
      <c r="L70" s="146"/>
      <c r="M70" s="27" t="str">
        <f t="shared" si="6"/>
        <v>PASS</v>
      </c>
      <c r="N70" s="27" t="str">
        <f t="shared" si="1"/>
        <v/>
      </c>
    </row>
    <row r="71" spans="1:14" x14ac:dyDescent="0.3">
      <c r="A71" s="116"/>
      <c r="B71" s="116"/>
      <c r="C71" s="177"/>
      <c r="D71" s="179"/>
      <c r="E71" s="119"/>
      <c r="F71" s="165"/>
      <c r="G71" s="25" t="str">
        <f>G67</f>
        <v>13.5</v>
      </c>
      <c r="H71" s="25" t="str">
        <f>H67</f>
        <v>0</v>
      </c>
      <c r="I71" s="25" t="str">
        <f>I67</f>
        <v>13.5</v>
      </c>
      <c r="J71" s="25" t="s">
        <v>179</v>
      </c>
      <c r="K71" s="26">
        <f>VLOOKUP($C$59&amp;" "&amp;$F$67&amp;J71&amp;$F$67,TXRESULT!$A$1:$I$1004,6,FALSE)</f>
        <v>5.0999999999999996</v>
      </c>
      <c r="L71" s="146"/>
      <c r="M71" s="27" t="str">
        <f t="shared" si="6"/>
        <v>PASS</v>
      </c>
      <c r="N71" s="27" t="str">
        <f t="shared" si="1"/>
        <v/>
      </c>
    </row>
    <row r="72" spans="1:14" x14ac:dyDescent="0.3">
      <c r="A72" s="116"/>
      <c r="B72" s="116"/>
      <c r="C72" s="177"/>
      <c r="D72" s="179"/>
      <c r="E72" s="119"/>
      <c r="F72" s="165"/>
      <c r="G72" s="25" t="str">
        <f>G67</f>
        <v>13.5</v>
      </c>
      <c r="H72" s="25" t="str">
        <f>H67</f>
        <v>0</v>
      </c>
      <c r="I72" s="25" t="str">
        <f>I67</f>
        <v>13.5</v>
      </c>
      <c r="J72" s="25" t="s">
        <v>180</v>
      </c>
      <c r="K72" s="26">
        <f>VLOOKUP($C$59&amp;" "&amp;$F$67&amp;J72&amp;$F$67,TXRESULT!$A$1:$I$1004,6,FALSE)</f>
        <v>7</v>
      </c>
      <c r="L72" s="146"/>
      <c r="M72" s="27" t="str">
        <f t="shared" si="6"/>
        <v>PASS</v>
      </c>
      <c r="N72" s="27" t="str">
        <f t="shared" si="1"/>
        <v/>
      </c>
    </row>
    <row r="73" spans="1:14" x14ac:dyDescent="0.3">
      <c r="A73" s="116"/>
      <c r="B73" s="116"/>
      <c r="C73" s="177"/>
      <c r="D73" s="179"/>
      <c r="E73" s="119"/>
      <c r="F73" s="165"/>
      <c r="G73" s="25" t="str">
        <f>G67</f>
        <v>13.5</v>
      </c>
      <c r="H73" s="25" t="str">
        <f>H67</f>
        <v>0</v>
      </c>
      <c r="I73" s="25" t="str">
        <f>I67</f>
        <v>13.5</v>
      </c>
      <c r="J73" s="25" t="s">
        <v>181</v>
      </c>
      <c r="K73" s="26">
        <f>VLOOKUP($C$59&amp;" "&amp;$F$67&amp;J73&amp;$F$67,TXRESULT!$A$1:$I$1004,6,FALSE)</f>
        <v>69.5</v>
      </c>
      <c r="L73" s="146"/>
      <c r="M73" s="27" t="str">
        <f t="shared" si="6"/>
        <v>FAIL</v>
      </c>
      <c r="N73" s="27" t="str">
        <f t="shared" si="1"/>
        <v/>
      </c>
    </row>
    <row r="74" spans="1:14" x14ac:dyDescent="0.3">
      <c r="A74" s="116"/>
      <c r="B74" s="117"/>
      <c r="C74" s="177"/>
      <c r="D74" s="179"/>
      <c r="E74" s="120"/>
      <c r="F74" s="166"/>
      <c r="G74" s="25" t="str">
        <f>G67</f>
        <v>13.5</v>
      </c>
      <c r="H74" s="25" t="str">
        <f>H67</f>
        <v>0</v>
      </c>
      <c r="I74" s="25" t="str">
        <f>I67</f>
        <v>13.5</v>
      </c>
      <c r="J74" s="25" t="s">
        <v>182</v>
      </c>
      <c r="K74" s="26">
        <f>VLOOKUP($C$59&amp;" "&amp;$F$67&amp;J74&amp;$F$67,TXRESULT!$A$1:$I$1004,6,FALSE)</f>
        <v>46.9</v>
      </c>
      <c r="L74" s="146"/>
      <c r="M74" s="27" t="str">
        <f>IF(ISBLANK(K74),"",IF(AND(K74*1&gt;H74*1,K74*1&lt;I74*1),"PASS","FAIL"))</f>
        <v>FAIL</v>
      </c>
      <c r="N74" s="27" t="str">
        <f t="shared" si="1"/>
        <v/>
      </c>
    </row>
    <row r="75" spans="1:14" ht="15.6" customHeight="1" x14ac:dyDescent="0.3">
      <c r="A75" s="116"/>
      <c r="B75" s="115" t="s">
        <v>97</v>
      </c>
      <c r="C75" s="177"/>
      <c r="D75" s="179"/>
      <c r="E75" s="132" t="s">
        <v>90</v>
      </c>
      <c r="F75" s="164" t="s">
        <v>98</v>
      </c>
      <c r="G75" s="25" t="s">
        <v>99</v>
      </c>
      <c r="H75" s="25" t="s">
        <v>80</v>
      </c>
      <c r="I75" s="25" t="s">
        <v>99</v>
      </c>
      <c r="J75" s="25" t="s">
        <v>175</v>
      </c>
      <c r="K75" s="26">
        <f>VLOOKUP($C$59&amp;" "&amp;$F$75&amp;J75&amp;$F$75,TXRESULT!$A$1:$I$1004,6,FALSE)</f>
        <v>0.6</v>
      </c>
      <c r="L75" s="146"/>
      <c r="M75" s="27" t="str">
        <f t="shared" ref="M75:M131" si="7">IF(ISBLANK(K75),"",IF(AND(K75*1&gt;H75*1,K75*1&lt;I75*1),"PASS","FAIL"))</f>
        <v>PASS</v>
      </c>
      <c r="N75" s="27" t="str">
        <f t="shared" si="1"/>
        <v/>
      </c>
    </row>
    <row r="76" spans="1:14" x14ac:dyDescent="0.3">
      <c r="A76" s="116"/>
      <c r="B76" s="116"/>
      <c r="C76" s="177"/>
      <c r="D76" s="179"/>
      <c r="E76" s="119"/>
      <c r="F76" s="165"/>
      <c r="G76" s="25" t="str">
        <f>G75</f>
        <v>9</v>
      </c>
      <c r="H76" s="25" t="str">
        <f>H75</f>
        <v>0</v>
      </c>
      <c r="I76" s="25" t="str">
        <f>I75</f>
        <v>9</v>
      </c>
      <c r="J76" s="25" t="s">
        <v>176</v>
      </c>
      <c r="K76" s="26">
        <f>VLOOKUP($C$59&amp;" "&amp;$F$75&amp;J76&amp;$F$75,TXRESULT!$A$1:$I$1004,6,FALSE)</f>
        <v>0.5</v>
      </c>
      <c r="L76" s="146"/>
      <c r="M76" s="27" t="str">
        <f t="shared" si="7"/>
        <v>PASS</v>
      </c>
      <c r="N76" s="27" t="str">
        <f t="shared" si="1"/>
        <v/>
      </c>
    </row>
    <row r="77" spans="1:14" x14ac:dyDescent="0.3">
      <c r="A77" s="116"/>
      <c r="B77" s="116"/>
      <c r="C77" s="177"/>
      <c r="D77" s="179"/>
      <c r="E77" s="119"/>
      <c r="F77" s="165"/>
      <c r="G77" s="25" t="str">
        <f>G75</f>
        <v>9</v>
      </c>
      <c r="H77" s="25" t="str">
        <f>H75</f>
        <v>0</v>
      </c>
      <c r="I77" s="25" t="str">
        <f>I75</f>
        <v>9</v>
      </c>
      <c r="J77" s="25" t="s">
        <v>177</v>
      </c>
      <c r="K77" s="26">
        <f>VLOOKUP($C$59&amp;" "&amp;$F$75&amp;J77&amp;$F$75,TXRESULT!$A$1:$I$1004,6,FALSE)</f>
        <v>0.5</v>
      </c>
      <c r="L77" s="146"/>
      <c r="M77" s="27" t="str">
        <f t="shared" si="7"/>
        <v>PASS</v>
      </c>
      <c r="N77" s="27" t="str">
        <f t="shared" si="1"/>
        <v/>
      </c>
    </row>
    <row r="78" spans="1:14" x14ac:dyDescent="0.3">
      <c r="A78" s="116"/>
      <c r="B78" s="116"/>
      <c r="C78" s="177"/>
      <c r="D78" s="179"/>
      <c r="E78" s="119"/>
      <c r="F78" s="165"/>
      <c r="G78" s="25" t="str">
        <f>G75</f>
        <v>9</v>
      </c>
      <c r="H78" s="25" t="str">
        <f>H75</f>
        <v>0</v>
      </c>
      <c r="I78" s="25" t="str">
        <f>I75</f>
        <v>9</v>
      </c>
      <c r="J78" s="25" t="s">
        <v>178</v>
      </c>
      <c r="K78" s="26">
        <f>VLOOKUP($C$59&amp;" "&amp;$F$75&amp;J78&amp;$F$75,TXRESULT!$A$1:$I$1004,6,FALSE)</f>
        <v>0.7</v>
      </c>
      <c r="L78" s="146"/>
      <c r="M78" s="27" t="str">
        <f t="shared" si="7"/>
        <v>PASS</v>
      </c>
      <c r="N78" s="27" t="str">
        <f t="shared" si="1"/>
        <v/>
      </c>
    </row>
    <row r="79" spans="1:14" x14ac:dyDescent="0.3">
      <c r="A79" s="116"/>
      <c r="B79" s="116"/>
      <c r="C79" s="177"/>
      <c r="D79" s="179"/>
      <c r="E79" s="119"/>
      <c r="F79" s="165"/>
      <c r="G79" s="25" t="str">
        <f>G75</f>
        <v>9</v>
      </c>
      <c r="H79" s="25" t="str">
        <f>H75</f>
        <v>0</v>
      </c>
      <c r="I79" s="25" t="str">
        <f>I75</f>
        <v>9</v>
      </c>
      <c r="J79" s="25" t="s">
        <v>179</v>
      </c>
      <c r="K79" s="26">
        <f>VLOOKUP($C$59&amp;" "&amp;$F$75&amp;J79&amp;$F$75,TXRESULT!$A$1:$I$1004,6,FALSE)</f>
        <v>0.4</v>
      </c>
      <c r="L79" s="146"/>
      <c r="M79" s="27" t="str">
        <f t="shared" si="7"/>
        <v>PASS</v>
      </c>
      <c r="N79" s="27" t="str">
        <f t="shared" si="1"/>
        <v/>
      </c>
    </row>
    <row r="80" spans="1:14" x14ac:dyDescent="0.3">
      <c r="A80" s="116"/>
      <c r="B80" s="116"/>
      <c r="C80" s="177"/>
      <c r="D80" s="179"/>
      <c r="E80" s="119"/>
      <c r="F80" s="165"/>
      <c r="G80" s="25" t="str">
        <f>G75</f>
        <v>9</v>
      </c>
      <c r="H80" s="25" t="str">
        <f>H75</f>
        <v>0</v>
      </c>
      <c r="I80" s="25" t="str">
        <f>I75</f>
        <v>9</v>
      </c>
      <c r="J80" s="25" t="s">
        <v>180</v>
      </c>
      <c r="K80" s="26">
        <f>VLOOKUP($C$59&amp;" "&amp;$F$75&amp;J80&amp;$F$75,TXRESULT!$A$1:$I$1004,6,FALSE)</f>
        <v>0.6</v>
      </c>
      <c r="L80" s="146"/>
      <c r="M80" s="27" t="str">
        <f t="shared" si="7"/>
        <v>PASS</v>
      </c>
      <c r="N80" s="27" t="str">
        <f t="shared" si="1"/>
        <v/>
      </c>
    </row>
    <row r="81" spans="1:14" x14ac:dyDescent="0.3">
      <c r="A81" s="116"/>
      <c r="B81" s="116"/>
      <c r="C81" s="177"/>
      <c r="D81" s="179"/>
      <c r="E81" s="119"/>
      <c r="F81" s="165"/>
      <c r="G81" s="25" t="str">
        <f>G75</f>
        <v>9</v>
      </c>
      <c r="H81" s="25" t="str">
        <f>H75</f>
        <v>0</v>
      </c>
      <c r="I81" s="25" t="str">
        <f>I75</f>
        <v>9</v>
      </c>
      <c r="J81" s="25" t="s">
        <v>181</v>
      </c>
      <c r="K81" s="26">
        <f>VLOOKUP($C$59&amp;" "&amp;$F$75&amp;J81&amp;$F$75,TXRESULT!$A$1:$I$1004,6,FALSE)</f>
        <v>0.6</v>
      </c>
      <c r="L81" s="146"/>
      <c r="M81" s="27" t="str">
        <f t="shared" si="7"/>
        <v>PASS</v>
      </c>
      <c r="N81" s="27" t="str">
        <f t="shared" ref="N81:N160" si="8">IF(ISBLANK(K81),"CHUADO","")</f>
        <v/>
      </c>
    </row>
    <row r="82" spans="1:14" x14ac:dyDescent="0.3">
      <c r="A82" s="116"/>
      <c r="B82" s="116"/>
      <c r="C82" s="177"/>
      <c r="D82" s="179"/>
      <c r="E82" s="120"/>
      <c r="F82" s="166"/>
      <c r="G82" s="25" t="str">
        <f>G75</f>
        <v>9</v>
      </c>
      <c r="H82" s="25" t="str">
        <f>H75</f>
        <v>0</v>
      </c>
      <c r="I82" s="25" t="str">
        <f>I75</f>
        <v>9</v>
      </c>
      <c r="J82" s="25" t="s">
        <v>182</v>
      </c>
      <c r="K82" s="26">
        <f>VLOOKUP($C$59&amp;" "&amp;$F$75&amp;J82&amp;$F$75,TXRESULT!$A$1:$I$1004,6,FALSE)</f>
        <v>0.5</v>
      </c>
      <c r="L82" s="146"/>
      <c r="M82" s="27" t="str">
        <f t="shared" si="7"/>
        <v>PASS</v>
      </c>
      <c r="N82" s="27" t="str">
        <f t="shared" si="8"/>
        <v/>
      </c>
    </row>
    <row r="83" spans="1:14" ht="15.6" customHeight="1" x14ac:dyDescent="0.3">
      <c r="A83" s="116"/>
      <c r="B83" s="116"/>
      <c r="C83" s="177"/>
      <c r="D83" s="179"/>
      <c r="E83" s="132" t="s">
        <v>90</v>
      </c>
      <c r="F83" s="164" t="s">
        <v>100</v>
      </c>
      <c r="G83" s="25" t="s">
        <v>99</v>
      </c>
      <c r="H83" s="25" t="s">
        <v>80</v>
      </c>
      <c r="I83" s="25" t="s">
        <v>99</v>
      </c>
      <c r="J83" s="25" t="s">
        <v>175</v>
      </c>
      <c r="K83" s="26">
        <f>VLOOKUP($C$59&amp;" "&amp;$F$83&amp;J83&amp;$F$83,TXRESULT!$A$1:$I$1004,6,FALSE)</f>
        <v>1.7</v>
      </c>
      <c r="L83" s="146"/>
      <c r="M83" s="27" t="str">
        <f t="shared" si="7"/>
        <v>PASS</v>
      </c>
      <c r="N83" s="27" t="str">
        <f t="shared" si="8"/>
        <v/>
      </c>
    </row>
    <row r="84" spans="1:14" x14ac:dyDescent="0.3">
      <c r="A84" s="116"/>
      <c r="B84" s="116"/>
      <c r="C84" s="177"/>
      <c r="D84" s="179"/>
      <c r="E84" s="119"/>
      <c r="F84" s="165"/>
      <c r="G84" s="25" t="str">
        <f>G83</f>
        <v>9</v>
      </c>
      <c r="H84" s="25" t="str">
        <f>H83</f>
        <v>0</v>
      </c>
      <c r="I84" s="25" t="str">
        <f>I83</f>
        <v>9</v>
      </c>
      <c r="J84" s="25" t="s">
        <v>176</v>
      </c>
      <c r="K84" s="26">
        <f>VLOOKUP($C$59&amp;" "&amp;$F$83&amp;J84&amp;$F$83,TXRESULT!$A$1:$I$1004,6,FALSE)</f>
        <v>1.7</v>
      </c>
      <c r="L84" s="146"/>
      <c r="M84" s="27" t="str">
        <f t="shared" si="7"/>
        <v>PASS</v>
      </c>
      <c r="N84" s="27" t="str">
        <f t="shared" si="8"/>
        <v/>
      </c>
    </row>
    <row r="85" spans="1:14" x14ac:dyDescent="0.3">
      <c r="A85" s="116"/>
      <c r="B85" s="116"/>
      <c r="C85" s="177"/>
      <c r="D85" s="179"/>
      <c r="E85" s="119"/>
      <c r="F85" s="165"/>
      <c r="G85" s="25" t="str">
        <f>G83</f>
        <v>9</v>
      </c>
      <c r="H85" s="25" t="str">
        <f>H83</f>
        <v>0</v>
      </c>
      <c r="I85" s="25" t="str">
        <f>I83</f>
        <v>9</v>
      </c>
      <c r="J85" s="25" t="s">
        <v>177</v>
      </c>
      <c r="K85" s="26">
        <f>VLOOKUP($C$59&amp;" "&amp;$F$83&amp;J85&amp;$F$83,TXRESULT!$A$1:$I$1004,6,FALSE)</f>
        <v>1.7</v>
      </c>
      <c r="L85" s="146"/>
      <c r="M85" s="27" t="str">
        <f t="shared" si="7"/>
        <v>PASS</v>
      </c>
      <c r="N85" s="27" t="str">
        <f t="shared" si="8"/>
        <v/>
      </c>
    </row>
    <row r="86" spans="1:14" x14ac:dyDescent="0.3">
      <c r="A86" s="116"/>
      <c r="B86" s="116"/>
      <c r="C86" s="177"/>
      <c r="D86" s="179"/>
      <c r="E86" s="119"/>
      <c r="F86" s="165"/>
      <c r="G86" s="25" t="str">
        <f>G83</f>
        <v>9</v>
      </c>
      <c r="H86" s="25" t="str">
        <f>H83</f>
        <v>0</v>
      </c>
      <c r="I86" s="25" t="str">
        <f>I83</f>
        <v>9</v>
      </c>
      <c r="J86" s="25" t="s">
        <v>178</v>
      </c>
      <c r="K86" s="26">
        <f>VLOOKUP($C$59&amp;" "&amp;$F$83&amp;J86&amp;$F$83,TXRESULT!$A$1:$I$1004,6,FALSE)</f>
        <v>1.7</v>
      </c>
      <c r="L86" s="146"/>
      <c r="M86" s="27" t="str">
        <f t="shared" si="7"/>
        <v>PASS</v>
      </c>
      <c r="N86" s="27" t="str">
        <f t="shared" si="8"/>
        <v/>
      </c>
    </row>
    <row r="87" spans="1:14" x14ac:dyDescent="0.3">
      <c r="A87" s="116"/>
      <c r="B87" s="116"/>
      <c r="C87" s="177"/>
      <c r="D87" s="179"/>
      <c r="E87" s="119"/>
      <c r="F87" s="165"/>
      <c r="G87" s="25" t="str">
        <f>G83</f>
        <v>9</v>
      </c>
      <c r="H87" s="25" t="str">
        <f>H83</f>
        <v>0</v>
      </c>
      <c r="I87" s="25" t="str">
        <f>I83</f>
        <v>9</v>
      </c>
      <c r="J87" s="25" t="s">
        <v>179</v>
      </c>
      <c r="K87" s="26">
        <f>VLOOKUP($C$59&amp;" "&amp;$F$83&amp;J87&amp;$F$83,TXRESULT!$A$1:$I$1004,6,FALSE)</f>
        <v>1.7</v>
      </c>
      <c r="L87" s="146"/>
      <c r="M87" s="27" t="str">
        <f t="shared" si="7"/>
        <v>PASS</v>
      </c>
      <c r="N87" s="27" t="str">
        <f t="shared" si="8"/>
        <v/>
      </c>
    </row>
    <row r="88" spans="1:14" x14ac:dyDescent="0.3">
      <c r="A88" s="116"/>
      <c r="B88" s="116"/>
      <c r="C88" s="177"/>
      <c r="D88" s="179"/>
      <c r="E88" s="119"/>
      <c r="F88" s="165"/>
      <c r="G88" s="25" t="str">
        <f>G83</f>
        <v>9</v>
      </c>
      <c r="H88" s="25" t="str">
        <f>H83</f>
        <v>0</v>
      </c>
      <c r="I88" s="25" t="str">
        <f>I83</f>
        <v>9</v>
      </c>
      <c r="J88" s="25" t="s">
        <v>180</v>
      </c>
      <c r="K88" s="26">
        <f>VLOOKUP($C$59&amp;" "&amp;$F$83&amp;J88&amp;$F$83,TXRESULT!$A$1:$I$1004,6,FALSE)</f>
        <v>1.8</v>
      </c>
      <c r="L88" s="146"/>
      <c r="M88" s="27" t="str">
        <f t="shared" si="7"/>
        <v>PASS</v>
      </c>
      <c r="N88" s="27" t="str">
        <f t="shared" si="8"/>
        <v/>
      </c>
    </row>
    <row r="89" spans="1:14" x14ac:dyDescent="0.3">
      <c r="A89" s="116"/>
      <c r="B89" s="116"/>
      <c r="C89" s="177"/>
      <c r="D89" s="179"/>
      <c r="E89" s="119"/>
      <c r="F89" s="165"/>
      <c r="G89" s="25" t="str">
        <f>G83</f>
        <v>9</v>
      </c>
      <c r="H89" s="25" t="str">
        <f>H83</f>
        <v>0</v>
      </c>
      <c r="I89" s="25" t="str">
        <f>I83</f>
        <v>9</v>
      </c>
      <c r="J89" s="25" t="s">
        <v>181</v>
      </c>
      <c r="K89" s="26">
        <f>VLOOKUP($C$59&amp;" "&amp;$F$83&amp;J89&amp;$F$83,TXRESULT!$A$1:$I$1004,6,FALSE)</f>
        <v>1.7</v>
      </c>
      <c r="L89" s="146"/>
      <c r="M89" s="27" t="str">
        <f t="shared" si="7"/>
        <v>PASS</v>
      </c>
      <c r="N89" s="27" t="str">
        <f t="shared" si="8"/>
        <v/>
      </c>
    </row>
    <row r="90" spans="1:14" x14ac:dyDescent="0.3">
      <c r="A90" s="116"/>
      <c r="B90" s="117"/>
      <c r="C90" s="177"/>
      <c r="D90" s="179"/>
      <c r="E90" s="120"/>
      <c r="F90" s="166"/>
      <c r="G90" s="25" t="str">
        <f>G83</f>
        <v>9</v>
      </c>
      <c r="H90" s="25" t="str">
        <f>H83</f>
        <v>0</v>
      </c>
      <c r="I90" s="25" t="str">
        <f>I83</f>
        <v>9</v>
      </c>
      <c r="J90" s="25" t="s">
        <v>182</v>
      </c>
      <c r="K90" s="26">
        <f>VLOOKUP($C$59&amp;" "&amp;$F$83&amp;J90&amp;$F$83,TXRESULT!$A$1:$I$1004,6,FALSE)</f>
        <v>1.7</v>
      </c>
      <c r="L90" s="146"/>
      <c r="M90" s="27" t="str">
        <f t="shared" si="7"/>
        <v>PASS</v>
      </c>
      <c r="N90" s="27" t="str">
        <f t="shared" si="8"/>
        <v/>
      </c>
    </row>
    <row r="91" spans="1:14" ht="15.6" customHeight="1" x14ac:dyDescent="0.3">
      <c r="A91" s="116"/>
      <c r="B91" s="115" t="s">
        <v>101</v>
      </c>
      <c r="C91" s="177"/>
      <c r="D91" s="179"/>
      <c r="E91" s="132" t="s">
        <v>90</v>
      </c>
      <c r="F91" s="164" t="s">
        <v>102</v>
      </c>
      <c r="G91" s="25" t="s">
        <v>103</v>
      </c>
      <c r="H91" s="25" t="s">
        <v>80</v>
      </c>
      <c r="I91" s="25" t="s">
        <v>103</v>
      </c>
      <c r="J91" s="25" t="s">
        <v>175</v>
      </c>
      <c r="K91" s="26">
        <f>VLOOKUP($C$59&amp;" "&amp;$F$91&amp;J91&amp;$F$91,TXRESULT!$A$1:$I$1004,6,FALSE)</f>
        <v>1.1000000000000001</v>
      </c>
      <c r="L91" s="146"/>
      <c r="M91" s="27" t="str">
        <f t="shared" si="7"/>
        <v>PASS</v>
      </c>
      <c r="N91" s="27" t="str">
        <f t="shared" si="8"/>
        <v/>
      </c>
    </row>
    <row r="92" spans="1:14" x14ac:dyDescent="0.3">
      <c r="A92" s="116"/>
      <c r="B92" s="116"/>
      <c r="C92" s="177"/>
      <c r="D92" s="179"/>
      <c r="E92" s="119"/>
      <c r="F92" s="165"/>
      <c r="G92" s="25" t="str">
        <f>G91</f>
        <v>4.5</v>
      </c>
      <c r="H92" s="25" t="str">
        <f>H91</f>
        <v>0</v>
      </c>
      <c r="I92" s="25" t="str">
        <f>I91</f>
        <v>4.5</v>
      </c>
      <c r="J92" s="25" t="s">
        <v>176</v>
      </c>
      <c r="K92" s="26">
        <f>VLOOKUP($C$59&amp;" "&amp;$F$91&amp;J92&amp;$F$91,TXRESULT!$A$1:$I$1004,6,FALSE)</f>
        <v>1.5</v>
      </c>
      <c r="L92" s="146"/>
      <c r="M92" s="27" t="str">
        <f t="shared" si="7"/>
        <v>PASS</v>
      </c>
      <c r="N92" s="27" t="str">
        <f t="shared" si="8"/>
        <v/>
      </c>
    </row>
    <row r="93" spans="1:14" x14ac:dyDescent="0.3">
      <c r="A93" s="116"/>
      <c r="B93" s="116"/>
      <c r="C93" s="177"/>
      <c r="D93" s="179"/>
      <c r="E93" s="119"/>
      <c r="F93" s="165"/>
      <c r="G93" s="25" t="str">
        <f>G91</f>
        <v>4.5</v>
      </c>
      <c r="H93" s="25" t="str">
        <f>H91</f>
        <v>0</v>
      </c>
      <c r="I93" s="25" t="str">
        <f>I91</f>
        <v>4.5</v>
      </c>
      <c r="J93" s="25" t="s">
        <v>177</v>
      </c>
      <c r="K93" s="26">
        <f>VLOOKUP($C$59&amp;" "&amp;$F$91&amp;J93&amp;$F$91,TXRESULT!$A$1:$I$1004,6,FALSE)</f>
        <v>1.1000000000000001</v>
      </c>
      <c r="L93" s="146"/>
      <c r="M93" s="27" t="str">
        <f t="shared" si="7"/>
        <v>PASS</v>
      </c>
      <c r="N93" s="27" t="str">
        <f t="shared" si="8"/>
        <v/>
      </c>
    </row>
    <row r="94" spans="1:14" x14ac:dyDescent="0.3">
      <c r="A94" s="116"/>
      <c r="B94" s="116"/>
      <c r="C94" s="177"/>
      <c r="D94" s="179"/>
      <c r="E94" s="119"/>
      <c r="F94" s="165"/>
      <c r="G94" s="25" t="str">
        <f>G91</f>
        <v>4.5</v>
      </c>
      <c r="H94" s="25" t="str">
        <f>H91</f>
        <v>0</v>
      </c>
      <c r="I94" s="25" t="str">
        <f>I91</f>
        <v>4.5</v>
      </c>
      <c r="J94" s="25" t="s">
        <v>178</v>
      </c>
      <c r="K94" s="26">
        <f>VLOOKUP($C$59&amp;" "&amp;$F$91&amp;J94&amp;$F$91,TXRESULT!$A$1:$I$1004,6,FALSE)</f>
        <v>1.3</v>
      </c>
      <c r="L94" s="146"/>
      <c r="M94" s="27" t="str">
        <f t="shared" si="7"/>
        <v>PASS</v>
      </c>
      <c r="N94" s="27" t="str">
        <f t="shared" si="8"/>
        <v/>
      </c>
    </row>
    <row r="95" spans="1:14" x14ac:dyDescent="0.3">
      <c r="A95" s="116"/>
      <c r="B95" s="116"/>
      <c r="C95" s="177"/>
      <c r="D95" s="179"/>
      <c r="E95" s="119"/>
      <c r="F95" s="165"/>
      <c r="G95" s="25" t="str">
        <f>G91</f>
        <v>4.5</v>
      </c>
      <c r="H95" s="25" t="str">
        <f>H91</f>
        <v>0</v>
      </c>
      <c r="I95" s="25" t="str">
        <f>I91</f>
        <v>4.5</v>
      </c>
      <c r="J95" s="25" t="s">
        <v>179</v>
      </c>
      <c r="K95" s="26">
        <f>VLOOKUP($C$59&amp;" "&amp;$F$91&amp;J95&amp;$F$91,TXRESULT!$A$1:$I$1004,6,FALSE)</f>
        <v>1.1000000000000001</v>
      </c>
      <c r="L95" s="146"/>
      <c r="M95" s="27" t="str">
        <f t="shared" si="7"/>
        <v>PASS</v>
      </c>
      <c r="N95" s="27" t="str">
        <f t="shared" si="8"/>
        <v/>
      </c>
    </row>
    <row r="96" spans="1:14" x14ac:dyDescent="0.3">
      <c r="A96" s="116"/>
      <c r="B96" s="116"/>
      <c r="C96" s="177"/>
      <c r="D96" s="179"/>
      <c r="E96" s="119"/>
      <c r="F96" s="165"/>
      <c r="G96" s="25" t="str">
        <f>G91</f>
        <v>4.5</v>
      </c>
      <c r="H96" s="25" t="str">
        <f>H91</f>
        <v>0</v>
      </c>
      <c r="I96" s="25" t="str">
        <f>I91</f>
        <v>4.5</v>
      </c>
      <c r="J96" s="25" t="s">
        <v>180</v>
      </c>
      <c r="K96" s="26">
        <f>VLOOKUP($C$59&amp;" "&amp;$F$91&amp;J96&amp;$F$91,TXRESULT!$A$1:$I$1004,6,FALSE)</f>
        <v>1.3</v>
      </c>
      <c r="L96" s="146"/>
      <c r="M96" s="27" t="str">
        <f t="shared" si="7"/>
        <v>PASS</v>
      </c>
      <c r="N96" s="27" t="str">
        <f t="shared" si="8"/>
        <v/>
      </c>
    </row>
    <row r="97" spans="1:14" x14ac:dyDescent="0.3">
      <c r="A97" s="116"/>
      <c r="B97" s="116"/>
      <c r="C97" s="177"/>
      <c r="D97" s="179"/>
      <c r="E97" s="119"/>
      <c r="F97" s="165"/>
      <c r="G97" s="25" t="str">
        <f>G91</f>
        <v>4.5</v>
      </c>
      <c r="H97" s="25" t="str">
        <f>H91</f>
        <v>0</v>
      </c>
      <c r="I97" s="25" t="str">
        <f>I91</f>
        <v>4.5</v>
      </c>
      <c r="J97" s="25" t="s">
        <v>181</v>
      </c>
      <c r="K97" s="26">
        <f>VLOOKUP($C$59&amp;" "&amp;$F$91&amp;J97&amp;$F$91,TXRESULT!$A$1:$I$1004,6,FALSE)</f>
        <v>1.2</v>
      </c>
      <c r="L97" s="146"/>
      <c r="M97" s="27" t="str">
        <f t="shared" si="7"/>
        <v>PASS</v>
      </c>
      <c r="N97" s="27" t="str">
        <f t="shared" si="8"/>
        <v/>
      </c>
    </row>
    <row r="98" spans="1:14" x14ac:dyDescent="0.3">
      <c r="A98" s="116"/>
      <c r="B98" s="116"/>
      <c r="C98" s="177"/>
      <c r="D98" s="179"/>
      <c r="E98" s="120"/>
      <c r="F98" s="166"/>
      <c r="G98" s="25" t="str">
        <f>G91</f>
        <v>4.5</v>
      </c>
      <c r="H98" s="25" t="str">
        <f>H91</f>
        <v>0</v>
      </c>
      <c r="I98" s="25" t="str">
        <f>I91</f>
        <v>4.5</v>
      </c>
      <c r="J98" s="25" t="s">
        <v>182</v>
      </c>
      <c r="K98" s="26">
        <f>VLOOKUP($C$59&amp;" "&amp;$F$91&amp;J98&amp;$F$91,TXRESULT!$A$1:$I$1004,6,FALSE)</f>
        <v>1.1000000000000001</v>
      </c>
      <c r="L98" s="146"/>
      <c r="M98" s="27" t="str">
        <f t="shared" si="7"/>
        <v>PASS</v>
      </c>
      <c r="N98" s="27" t="str">
        <f t="shared" si="8"/>
        <v/>
      </c>
    </row>
    <row r="99" spans="1:14" ht="15.6" customHeight="1" x14ac:dyDescent="0.3">
      <c r="A99" s="37"/>
      <c r="B99" s="116"/>
      <c r="C99" s="177"/>
      <c r="D99" s="179"/>
      <c r="E99" s="132" t="s">
        <v>90</v>
      </c>
      <c r="F99" s="164" t="s">
        <v>246</v>
      </c>
      <c r="G99" s="25" t="s">
        <v>103</v>
      </c>
      <c r="H99" s="25" t="s">
        <v>80</v>
      </c>
      <c r="I99" s="25" t="s">
        <v>103</v>
      </c>
      <c r="J99" s="25" t="s">
        <v>175</v>
      </c>
      <c r="K99" s="26">
        <f>VLOOKUP($C$59&amp;" "&amp;$F$99&amp;J99&amp;$F$99,TXRESULT!$A$1:$I$1004,6,FALSE)</f>
        <v>1.6</v>
      </c>
      <c r="L99" s="146"/>
      <c r="M99" s="27" t="str">
        <f t="shared" si="7"/>
        <v>PASS</v>
      </c>
      <c r="N99" s="27" t="str">
        <f t="shared" si="8"/>
        <v/>
      </c>
    </row>
    <row r="100" spans="1:14" x14ac:dyDescent="0.3">
      <c r="A100" s="37"/>
      <c r="B100" s="116"/>
      <c r="C100" s="177"/>
      <c r="D100" s="179"/>
      <c r="E100" s="119"/>
      <c r="F100" s="165"/>
      <c r="G100" s="25" t="str">
        <f>G99</f>
        <v>4.5</v>
      </c>
      <c r="H100" s="25" t="str">
        <f>H99</f>
        <v>0</v>
      </c>
      <c r="I100" s="25" t="str">
        <f>I99</f>
        <v>4.5</v>
      </c>
      <c r="J100" s="25" t="s">
        <v>176</v>
      </c>
      <c r="K100" s="26">
        <f>VLOOKUP($C$59&amp;" "&amp;$F$99&amp;J100&amp;$F$99,TXRESULT!$A$1:$I$1004,6,FALSE)</f>
        <v>1.8</v>
      </c>
      <c r="L100" s="146"/>
      <c r="M100" s="27" t="str">
        <f t="shared" si="7"/>
        <v>PASS</v>
      </c>
      <c r="N100" s="27" t="str">
        <f t="shared" si="8"/>
        <v/>
      </c>
    </row>
    <row r="101" spans="1:14" x14ac:dyDescent="0.3">
      <c r="A101" s="37"/>
      <c r="B101" s="116"/>
      <c r="C101" s="177"/>
      <c r="D101" s="179"/>
      <c r="E101" s="119"/>
      <c r="F101" s="165"/>
      <c r="G101" s="25" t="str">
        <f>G99</f>
        <v>4.5</v>
      </c>
      <c r="H101" s="25" t="str">
        <f>H99</f>
        <v>0</v>
      </c>
      <c r="I101" s="25" t="str">
        <f>I99</f>
        <v>4.5</v>
      </c>
      <c r="J101" s="25" t="s">
        <v>177</v>
      </c>
      <c r="K101" s="26">
        <f>VLOOKUP($C$59&amp;" "&amp;$F$99&amp;J101&amp;$F$99,TXRESULT!$A$1:$I$1004,6,FALSE)</f>
        <v>1.7</v>
      </c>
      <c r="L101" s="146"/>
      <c r="M101" s="27" t="str">
        <f t="shared" si="7"/>
        <v>PASS</v>
      </c>
      <c r="N101" s="27" t="str">
        <f t="shared" si="8"/>
        <v/>
      </c>
    </row>
    <row r="102" spans="1:14" x14ac:dyDescent="0.3">
      <c r="A102" s="37"/>
      <c r="B102" s="116"/>
      <c r="C102" s="177"/>
      <c r="D102" s="179"/>
      <c r="E102" s="119"/>
      <c r="F102" s="165"/>
      <c r="G102" s="25" t="str">
        <f>G99</f>
        <v>4.5</v>
      </c>
      <c r="H102" s="25" t="str">
        <f>H99</f>
        <v>0</v>
      </c>
      <c r="I102" s="25" t="str">
        <f>I99</f>
        <v>4.5</v>
      </c>
      <c r="J102" s="25" t="s">
        <v>178</v>
      </c>
      <c r="K102" s="26">
        <f>VLOOKUP($C$59&amp;" "&amp;$F$99&amp;J102&amp;$F$99,TXRESULT!$A$1:$I$1004,6,FALSE)</f>
        <v>1.7</v>
      </c>
      <c r="L102" s="146"/>
      <c r="M102" s="27" t="str">
        <f t="shared" si="7"/>
        <v>PASS</v>
      </c>
      <c r="N102" s="27" t="str">
        <f t="shared" si="8"/>
        <v/>
      </c>
    </row>
    <row r="103" spans="1:14" x14ac:dyDescent="0.3">
      <c r="A103" s="37"/>
      <c r="B103" s="116"/>
      <c r="C103" s="177"/>
      <c r="D103" s="179"/>
      <c r="E103" s="119"/>
      <c r="F103" s="165"/>
      <c r="G103" s="25" t="str">
        <f>G99</f>
        <v>4.5</v>
      </c>
      <c r="H103" s="25" t="str">
        <f>H99</f>
        <v>0</v>
      </c>
      <c r="I103" s="25" t="str">
        <f>I99</f>
        <v>4.5</v>
      </c>
      <c r="J103" s="25" t="s">
        <v>179</v>
      </c>
      <c r="K103" s="26">
        <f>VLOOKUP($C$59&amp;" "&amp;$F$99&amp;J103&amp;$F$99,TXRESULT!$A$1:$I$1004,6,FALSE)</f>
        <v>1.7</v>
      </c>
      <c r="L103" s="146"/>
      <c r="M103" s="27" t="str">
        <f t="shared" si="7"/>
        <v>PASS</v>
      </c>
      <c r="N103" s="27" t="str">
        <f t="shared" si="8"/>
        <v/>
      </c>
    </row>
    <row r="104" spans="1:14" x14ac:dyDescent="0.3">
      <c r="A104" s="37"/>
      <c r="B104" s="116"/>
      <c r="C104" s="177"/>
      <c r="D104" s="179"/>
      <c r="E104" s="119"/>
      <c r="F104" s="165"/>
      <c r="G104" s="25" t="str">
        <f>G99</f>
        <v>4.5</v>
      </c>
      <c r="H104" s="25" t="str">
        <f>H99</f>
        <v>0</v>
      </c>
      <c r="I104" s="25" t="str">
        <f>I99</f>
        <v>4.5</v>
      </c>
      <c r="J104" s="25" t="s">
        <v>180</v>
      </c>
      <c r="K104" s="26">
        <f>VLOOKUP($C$59&amp;" "&amp;$F$99&amp;J104&amp;$F$99,TXRESULT!$A$1:$I$1004,6,FALSE)</f>
        <v>1.8</v>
      </c>
      <c r="L104" s="146"/>
      <c r="M104" s="27" t="str">
        <f t="shared" si="7"/>
        <v>PASS</v>
      </c>
      <c r="N104" s="27" t="str">
        <f t="shared" si="8"/>
        <v/>
      </c>
    </row>
    <row r="105" spans="1:14" x14ac:dyDescent="0.3">
      <c r="A105" s="37"/>
      <c r="B105" s="116"/>
      <c r="C105" s="177"/>
      <c r="D105" s="179"/>
      <c r="E105" s="119"/>
      <c r="F105" s="165"/>
      <c r="G105" s="25" t="str">
        <f>G99</f>
        <v>4.5</v>
      </c>
      <c r="H105" s="25" t="str">
        <f>H99</f>
        <v>0</v>
      </c>
      <c r="I105" s="25" t="str">
        <f>I99</f>
        <v>4.5</v>
      </c>
      <c r="J105" s="25" t="s">
        <v>181</v>
      </c>
      <c r="K105" s="26">
        <f>VLOOKUP($C$59&amp;" "&amp;$F$99&amp;J105&amp;$F$99,TXRESULT!$A$1:$I$1004,6,FALSE)</f>
        <v>1.6</v>
      </c>
      <c r="L105" s="146"/>
      <c r="M105" s="27" t="str">
        <f t="shared" si="7"/>
        <v>PASS</v>
      </c>
      <c r="N105" s="27" t="str">
        <f t="shared" si="8"/>
        <v/>
      </c>
    </row>
    <row r="106" spans="1:14" x14ac:dyDescent="0.3">
      <c r="A106" s="37"/>
      <c r="B106" s="117"/>
      <c r="C106" s="180"/>
      <c r="D106" s="182"/>
      <c r="E106" s="120"/>
      <c r="F106" s="166"/>
      <c r="G106" s="25" t="str">
        <f>G99</f>
        <v>4.5</v>
      </c>
      <c r="H106" s="25" t="str">
        <f>H99</f>
        <v>0</v>
      </c>
      <c r="I106" s="25" t="str">
        <f>I99</f>
        <v>4.5</v>
      </c>
      <c r="J106" s="25" t="s">
        <v>182</v>
      </c>
      <c r="K106" s="26">
        <f>VLOOKUP($C$59&amp;" "&amp;$F$99&amp;J106&amp;$F$99,TXRESULT!$A$1:$I$1004,6,FALSE)</f>
        <v>1.6</v>
      </c>
      <c r="L106" s="147"/>
      <c r="M106" s="27" t="str">
        <f t="shared" si="7"/>
        <v>PASS</v>
      </c>
      <c r="N106" s="27" t="str">
        <f t="shared" si="8"/>
        <v/>
      </c>
    </row>
    <row r="107" spans="1:14" ht="15.6" customHeight="1" x14ac:dyDescent="0.3">
      <c r="A107" s="115" t="s">
        <v>104</v>
      </c>
      <c r="B107" s="174" t="s">
        <v>254</v>
      </c>
      <c r="C107" s="175"/>
      <c r="D107" s="176"/>
      <c r="E107" s="132" t="s">
        <v>105</v>
      </c>
      <c r="F107" s="164" t="s">
        <v>53</v>
      </c>
      <c r="G107" s="25" t="s">
        <v>106</v>
      </c>
      <c r="H107" s="25" t="s">
        <v>80</v>
      </c>
      <c r="I107" s="25" t="s">
        <v>106</v>
      </c>
      <c r="J107" s="25" t="s">
        <v>175</v>
      </c>
      <c r="K107" s="26" t="e">
        <f>VLOOKUP($B$107&amp;J107&amp;$F$107,TXRESULT!$A$1:$H$1004,6,FALSE)</f>
        <v>#N/A</v>
      </c>
      <c r="L107" s="145" t="s">
        <v>107</v>
      </c>
      <c r="M107" s="27" t="e">
        <f t="shared" si="7"/>
        <v>#N/A</v>
      </c>
      <c r="N107" s="27" t="str">
        <f t="shared" si="8"/>
        <v/>
      </c>
    </row>
    <row r="108" spans="1:14" x14ac:dyDescent="0.3">
      <c r="A108" s="116"/>
      <c r="B108" s="177"/>
      <c r="C108" s="178"/>
      <c r="D108" s="179"/>
      <c r="E108" s="119"/>
      <c r="F108" s="165"/>
      <c r="G108" s="25" t="str">
        <f>G107</f>
        <v>90</v>
      </c>
      <c r="H108" s="25" t="s">
        <v>80</v>
      </c>
      <c r="I108" s="25" t="str">
        <f>I107</f>
        <v>90</v>
      </c>
      <c r="J108" s="25" t="s">
        <v>176</v>
      </c>
      <c r="K108" s="26" t="e">
        <f>VLOOKUP($B$107&amp;J108&amp;$F$107,TXRESULT!$A$1:$H$1004,6,FALSE)</f>
        <v>#N/A</v>
      </c>
      <c r="L108" s="146"/>
      <c r="M108" s="27" t="e">
        <f t="shared" si="7"/>
        <v>#N/A</v>
      </c>
      <c r="N108" s="27" t="str">
        <f t="shared" si="8"/>
        <v/>
      </c>
    </row>
    <row r="109" spans="1:14" x14ac:dyDescent="0.3">
      <c r="A109" s="116"/>
      <c r="B109" s="177"/>
      <c r="C109" s="178"/>
      <c r="D109" s="179"/>
      <c r="E109" s="119"/>
      <c r="F109" s="165"/>
      <c r="G109" s="25" t="str">
        <f>G107</f>
        <v>90</v>
      </c>
      <c r="H109" s="25" t="s">
        <v>80</v>
      </c>
      <c r="I109" s="25" t="str">
        <f>I107</f>
        <v>90</v>
      </c>
      <c r="J109" s="25" t="s">
        <v>177</v>
      </c>
      <c r="K109" s="26" t="e">
        <f>VLOOKUP($B$107&amp;J109&amp;$F$107,TXRESULT!$A$1:$H$1004,6,FALSE)</f>
        <v>#N/A</v>
      </c>
      <c r="L109" s="146"/>
      <c r="M109" s="27" t="e">
        <f t="shared" si="7"/>
        <v>#N/A</v>
      </c>
      <c r="N109" s="27" t="str">
        <f t="shared" si="8"/>
        <v/>
      </c>
    </row>
    <row r="110" spans="1:14" x14ac:dyDescent="0.3">
      <c r="A110" s="116"/>
      <c r="B110" s="177"/>
      <c r="C110" s="178"/>
      <c r="D110" s="179"/>
      <c r="E110" s="119"/>
      <c r="F110" s="165"/>
      <c r="G110" s="25" t="str">
        <f>G107</f>
        <v>90</v>
      </c>
      <c r="H110" s="25" t="s">
        <v>80</v>
      </c>
      <c r="I110" s="25" t="str">
        <f>I107</f>
        <v>90</v>
      </c>
      <c r="J110" s="25" t="s">
        <v>178</v>
      </c>
      <c r="K110" s="26" t="e">
        <f>VLOOKUP($B$107&amp;J110&amp;$F$107,TXRESULT!$A$1:$H$1004,6,FALSE)</f>
        <v>#N/A</v>
      </c>
      <c r="L110" s="146"/>
      <c r="M110" s="27" t="e">
        <f t="shared" si="7"/>
        <v>#N/A</v>
      </c>
      <c r="N110" s="27" t="str">
        <f t="shared" si="8"/>
        <v/>
      </c>
    </row>
    <row r="111" spans="1:14" x14ac:dyDescent="0.3">
      <c r="A111" s="116"/>
      <c r="B111" s="177"/>
      <c r="C111" s="178"/>
      <c r="D111" s="179"/>
      <c r="E111" s="119"/>
      <c r="F111" s="165"/>
      <c r="G111" s="25" t="str">
        <f>G107</f>
        <v>90</v>
      </c>
      <c r="H111" s="25" t="s">
        <v>80</v>
      </c>
      <c r="I111" s="25" t="str">
        <f>I107</f>
        <v>90</v>
      </c>
      <c r="J111" s="25" t="s">
        <v>179</v>
      </c>
      <c r="K111" s="26" t="e">
        <f>VLOOKUP($B$107&amp;J111&amp;$F$107,TXRESULT!$A$1:$H$1004,6,FALSE)</f>
        <v>#N/A</v>
      </c>
      <c r="L111" s="146"/>
      <c r="M111" s="27" t="e">
        <f t="shared" si="7"/>
        <v>#N/A</v>
      </c>
      <c r="N111" s="27" t="str">
        <f t="shared" si="8"/>
        <v/>
      </c>
    </row>
    <row r="112" spans="1:14" x14ac:dyDescent="0.3">
      <c r="A112" s="116"/>
      <c r="B112" s="177"/>
      <c r="C112" s="178"/>
      <c r="D112" s="179"/>
      <c r="E112" s="119"/>
      <c r="F112" s="165"/>
      <c r="G112" s="25" t="str">
        <f>G107</f>
        <v>90</v>
      </c>
      <c r="H112" s="25" t="s">
        <v>80</v>
      </c>
      <c r="I112" s="25" t="str">
        <f>I107</f>
        <v>90</v>
      </c>
      <c r="J112" s="25" t="s">
        <v>180</v>
      </c>
      <c r="K112" s="26" t="e">
        <f>VLOOKUP($B$107&amp;J112&amp;$F$107,TXRESULT!$A$1:$H$1004,6,FALSE)</f>
        <v>#N/A</v>
      </c>
      <c r="L112" s="146"/>
      <c r="M112" s="27" t="e">
        <f t="shared" si="7"/>
        <v>#N/A</v>
      </c>
      <c r="N112" s="27" t="str">
        <f t="shared" si="8"/>
        <v/>
      </c>
    </row>
    <row r="113" spans="1:14" x14ac:dyDescent="0.3">
      <c r="A113" s="116"/>
      <c r="B113" s="177"/>
      <c r="C113" s="178"/>
      <c r="D113" s="179"/>
      <c r="E113" s="119"/>
      <c r="F113" s="165"/>
      <c r="G113" s="25" t="str">
        <f>G107</f>
        <v>90</v>
      </c>
      <c r="H113" s="25" t="s">
        <v>80</v>
      </c>
      <c r="I113" s="25" t="str">
        <f>I107</f>
        <v>90</v>
      </c>
      <c r="J113" s="25" t="s">
        <v>181</v>
      </c>
      <c r="K113" s="26" t="e">
        <f>VLOOKUP($B$107&amp;J113&amp;$F$107,TXRESULT!$A$1:$H$1004,6,FALSE)</f>
        <v>#N/A</v>
      </c>
      <c r="L113" s="146"/>
      <c r="M113" s="27" t="e">
        <f t="shared" si="7"/>
        <v>#N/A</v>
      </c>
      <c r="N113" s="27" t="str">
        <f t="shared" si="8"/>
        <v/>
      </c>
    </row>
    <row r="114" spans="1:14" x14ac:dyDescent="0.3">
      <c r="A114" s="117"/>
      <c r="B114" s="180"/>
      <c r="C114" s="181"/>
      <c r="D114" s="182"/>
      <c r="E114" s="120"/>
      <c r="F114" s="166"/>
      <c r="G114" s="25" t="str">
        <f>G107</f>
        <v>90</v>
      </c>
      <c r="H114" s="25" t="s">
        <v>80</v>
      </c>
      <c r="I114" s="25" t="str">
        <f>I107</f>
        <v>90</v>
      </c>
      <c r="J114" s="25" t="s">
        <v>182</v>
      </c>
      <c r="K114" s="26" t="e">
        <f>VLOOKUP($B$107&amp;J114&amp;$F$107,TXRESULT!$A$1:$H$1004,6,FALSE)</f>
        <v>#N/A</v>
      </c>
      <c r="L114" s="147"/>
      <c r="M114" s="27" t="e">
        <f t="shared" si="7"/>
        <v>#N/A</v>
      </c>
      <c r="N114" s="27" t="str">
        <f t="shared" si="8"/>
        <v/>
      </c>
    </row>
    <row r="115" spans="1:14" x14ac:dyDescent="0.3">
      <c r="A115" s="28"/>
      <c r="B115" s="38" t="s">
        <v>108</v>
      </c>
      <c r="C115" s="39"/>
      <c r="D115" s="30"/>
      <c r="E115" s="30"/>
      <c r="F115" s="30"/>
      <c r="G115" s="30"/>
      <c r="H115" s="30"/>
      <c r="I115" s="30"/>
      <c r="J115" s="30"/>
      <c r="K115" s="26"/>
      <c r="L115" s="30"/>
      <c r="M115" s="27"/>
      <c r="N115" s="27"/>
    </row>
    <row r="116" spans="1:14" ht="15.6" customHeight="1" x14ac:dyDescent="0.3">
      <c r="A116" s="115" t="s">
        <v>109</v>
      </c>
      <c r="B116" s="174" t="s">
        <v>242</v>
      </c>
      <c r="C116" s="175"/>
      <c r="D116" s="176"/>
      <c r="E116" s="132" t="s">
        <v>110</v>
      </c>
      <c r="F116" s="164" t="s">
        <v>53</v>
      </c>
      <c r="G116" s="25" t="s">
        <v>112</v>
      </c>
      <c r="H116" s="25" t="s">
        <v>113</v>
      </c>
      <c r="I116" s="25" t="s">
        <v>112</v>
      </c>
      <c r="J116" s="25" t="s">
        <v>175</v>
      </c>
      <c r="K116" s="26">
        <f>VLOOKUP($B$116&amp;J116&amp;$F$116,TXRESULT!$A$1:$I$1004,6,FALSE)</f>
        <v>0</v>
      </c>
      <c r="L116" s="145" t="s">
        <v>114</v>
      </c>
      <c r="M116" s="27" t="str">
        <f t="shared" si="7"/>
        <v>FAIL</v>
      </c>
      <c r="N116" s="27" t="str">
        <f t="shared" si="8"/>
        <v/>
      </c>
    </row>
    <row r="117" spans="1:14" x14ac:dyDescent="0.3">
      <c r="A117" s="116"/>
      <c r="B117" s="177"/>
      <c r="C117" s="178"/>
      <c r="D117" s="179"/>
      <c r="E117" s="119"/>
      <c r="F117" s="165"/>
      <c r="G117" s="25" t="s">
        <v>112</v>
      </c>
      <c r="H117" s="25" t="s">
        <v>113</v>
      </c>
      <c r="I117" s="25" t="s">
        <v>112</v>
      </c>
      <c r="J117" s="25" t="s">
        <v>176</v>
      </c>
      <c r="K117" s="26">
        <f>VLOOKUP($B$116&amp;J117&amp;$F$116,TXRESULT!$A$1:$I$1004,6,FALSE)</f>
        <v>0</v>
      </c>
      <c r="L117" s="146"/>
      <c r="M117" s="27" t="str">
        <f t="shared" si="7"/>
        <v>FAIL</v>
      </c>
      <c r="N117" s="27" t="str">
        <f t="shared" si="8"/>
        <v/>
      </c>
    </row>
    <row r="118" spans="1:14" x14ac:dyDescent="0.3">
      <c r="A118" s="116"/>
      <c r="B118" s="177"/>
      <c r="C118" s="178"/>
      <c r="D118" s="179"/>
      <c r="E118" s="119"/>
      <c r="F118" s="165"/>
      <c r="G118" s="25" t="s">
        <v>112</v>
      </c>
      <c r="H118" s="25" t="s">
        <v>113</v>
      </c>
      <c r="I118" s="25" t="s">
        <v>112</v>
      </c>
      <c r="J118" s="25" t="s">
        <v>177</v>
      </c>
      <c r="K118" s="26">
        <f>VLOOKUP($B$116&amp;J118&amp;$F$116,TXRESULT!$A$1:$I$1004,6,FALSE)</f>
        <v>0</v>
      </c>
      <c r="L118" s="146"/>
      <c r="M118" s="27" t="str">
        <f t="shared" si="7"/>
        <v>FAIL</v>
      </c>
      <c r="N118" s="27" t="str">
        <f t="shared" si="8"/>
        <v/>
      </c>
    </row>
    <row r="119" spans="1:14" x14ac:dyDescent="0.3">
      <c r="A119" s="116"/>
      <c r="B119" s="177"/>
      <c r="C119" s="178"/>
      <c r="D119" s="179"/>
      <c r="E119" s="119"/>
      <c r="F119" s="165"/>
      <c r="G119" s="25" t="s">
        <v>112</v>
      </c>
      <c r="H119" s="25" t="s">
        <v>113</v>
      </c>
      <c r="I119" s="25" t="s">
        <v>112</v>
      </c>
      <c r="J119" s="25" t="s">
        <v>178</v>
      </c>
      <c r="K119" s="26">
        <f>VLOOKUP($B$116&amp;J119&amp;$F$116,TXRESULT!$A$1:$I$1004,6,FALSE)</f>
        <v>0</v>
      </c>
      <c r="L119" s="146"/>
      <c r="M119" s="27" t="str">
        <f t="shared" si="7"/>
        <v>FAIL</v>
      </c>
      <c r="N119" s="27" t="str">
        <f t="shared" si="8"/>
        <v/>
      </c>
    </row>
    <row r="120" spans="1:14" x14ac:dyDescent="0.3">
      <c r="A120" s="116"/>
      <c r="B120" s="177"/>
      <c r="C120" s="178"/>
      <c r="D120" s="179"/>
      <c r="E120" s="119"/>
      <c r="F120" s="165"/>
      <c r="G120" s="25" t="s">
        <v>112</v>
      </c>
      <c r="H120" s="25" t="s">
        <v>113</v>
      </c>
      <c r="I120" s="25" t="s">
        <v>112</v>
      </c>
      <c r="J120" s="25" t="s">
        <v>179</v>
      </c>
      <c r="K120" s="26">
        <f>VLOOKUP($B$116&amp;J120&amp;$F$116,TXRESULT!$A$1:$I$1004,6,FALSE)</f>
        <v>0</v>
      </c>
      <c r="L120" s="146"/>
      <c r="M120" s="27" t="str">
        <f t="shared" si="7"/>
        <v>FAIL</v>
      </c>
      <c r="N120" s="27" t="str">
        <f t="shared" si="8"/>
        <v/>
      </c>
    </row>
    <row r="121" spans="1:14" x14ac:dyDescent="0.3">
      <c r="A121" s="116"/>
      <c r="B121" s="177"/>
      <c r="C121" s="178"/>
      <c r="D121" s="179"/>
      <c r="E121" s="119"/>
      <c r="F121" s="165"/>
      <c r="G121" s="25" t="s">
        <v>112</v>
      </c>
      <c r="H121" s="25" t="s">
        <v>113</v>
      </c>
      <c r="I121" s="25" t="s">
        <v>112</v>
      </c>
      <c r="J121" s="25" t="s">
        <v>180</v>
      </c>
      <c r="K121" s="26">
        <f>VLOOKUP($B$116&amp;J121&amp;$F$116,TXRESULT!$A$1:$I$1004,6,FALSE)</f>
        <v>0</v>
      </c>
      <c r="L121" s="146"/>
      <c r="M121" s="27" t="str">
        <f t="shared" si="7"/>
        <v>FAIL</v>
      </c>
      <c r="N121" s="27" t="str">
        <f t="shared" si="8"/>
        <v/>
      </c>
    </row>
    <row r="122" spans="1:14" x14ac:dyDescent="0.3">
      <c r="A122" s="116"/>
      <c r="B122" s="177"/>
      <c r="C122" s="178"/>
      <c r="D122" s="179"/>
      <c r="E122" s="119"/>
      <c r="F122" s="165"/>
      <c r="G122" s="25" t="s">
        <v>112</v>
      </c>
      <c r="H122" s="25" t="s">
        <v>113</v>
      </c>
      <c r="I122" s="25" t="s">
        <v>112</v>
      </c>
      <c r="J122" s="25" t="s">
        <v>181</v>
      </c>
      <c r="K122" s="26">
        <f>VLOOKUP($B$116&amp;J122&amp;$F$116,TXRESULT!$A$1:$I$1004,6,FALSE)</f>
        <v>0</v>
      </c>
      <c r="L122" s="146"/>
      <c r="M122" s="27" t="str">
        <f t="shared" si="7"/>
        <v>FAIL</v>
      </c>
      <c r="N122" s="27" t="str">
        <f t="shared" si="8"/>
        <v/>
      </c>
    </row>
    <row r="123" spans="1:14" x14ac:dyDescent="0.3">
      <c r="A123" s="117"/>
      <c r="B123" s="180"/>
      <c r="C123" s="181"/>
      <c r="D123" s="182"/>
      <c r="E123" s="120"/>
      <c r="F123" s="166"/>
      <c r="G123" s="25" t="s">
        <v>112</v>
      </c>
      <c r="H123" s="25" t="s">
        <v>113</v>
      </c>
      <c r="I123" s="25" t="s">
        <v>112</v>
      </c>
      <c r="J123" s="25" t="s">
        <v>182</v>
      </c>
      <c r="K123" s="26">
        <f>VLOOKUP($B$116&amp;J123&amp;$F$116,TXRESULT!$A$1:$I$1004,6,FALSE)</f>
        <v>0</v>
      </c>
      <c r="L123" s="147"/>
      <c r="M123" s="27" t="str">
        <f t="shared" si="7"/>
        <v>FAIL</v>
      </c>
      <c r="N123" s="27" t="str">
        <f t="shared" si="8"/>
        <v/>
      </c>
    </row>
    <row r="124" spans="1:14" ht="15.6" customHeight="1" x14ac:dyDescent="0.3">
      <c r="A124" s="115" t="s">
        <v>115</v>
      </c>
      <c r="B124" s="174" t="s">
        <v>243</v>
      </c>
      <c r="C124" s="175"/>
      <c r="D124" s="176"/>
      <c r="E124" s="132" t="s">
        <v>116</v>
      </c>
      <c r="F124" s="164" t="s">
        <v>111</v>
      </c>
      <c r="G124" s="25" t="s">
        <v>117</v>
      </c>
      <c r="H124" s="25" t="s">
        <v>117</v>
      </c>
      <c r="I124" s="25" t="s">
        <v>118</v>
      </c>
      <c r="J124" s="25" t="s">
        <v>175</v>
      </c>
      <c r="K124" s="26">
        <f t="array" ref="K124">MIN(IF((LEFT(TXRESULT!$C$1:$C$1004,30)='CH9-CH16'!$B$124)*(TXRESULT!$B$1:$B$1004='CH9-CH16'!J124),TXRESULT!$F$1:$F$1004,""))</f>
        <v>49.2</v>
      </c>
      <c r="L124" s="145" t="s">
        <v>119</v>
      </c>
      <c r="M124" s="27" t="str">
        <f t="shared" si="7"/>
        <v>PASS</v>
      </c>
      <c r="N124" s="27" t="str">
        <f t="shared" si="8"/>
        <v/>
      </c>
    </row>
    <row r="125" spans="1:14" x14ac:dyDescent="0.3">
      <c r="A125" s="116"/>
      <c r="B125" s="177"/>
      <c r="C125" s="178"/>
      <c r="D125" s="179"/>
      <c r="E125" s="119"/>
      <c r="F125" s="165"/>
      <c r="G125" s="25" t="str">
        <f>G124</f>
        <v>43.8</v>
      </c>
      <c r="H125" s="25" t="str">
        <f>H124</f>
        <v>43.8</v>
      </c>
      <c r="I125" s="25" t="s">
        <v>118</v>
      </c>
      <c r="J125" s="25" t="s">
        <v>176</v>
      </c>
      <c r="K125" s="26">
        <f t="array" ref="K125">MIN(IF((LEFT(TXRESULT!$C$1:$C$1004,30)='CH9-CH16'!$B$124)*(TXRESULT!$B$1:$B$1004='CH9-CH16'!J125),TXRESULT!$F$1:$F$1004,""))</f>
        <v>46.1</v>
      </c>
      <c r="L125" s="146"/>
      <c r="M125" s="27" t="str">
        <f t="shared" si="7"/>
        <v>PASS</v>
      </c>
      <c r="N125" s="27" t="str">
        <f t="shared" si="8"/>
        <v/>
      </c>
    </row>
    <row r="126" spans="1:14" x14ac:dyDescent="0.3">
      <c r="A126" s="116"/>
      <c r="B126" s="177"/>
      <c r="C126" s="178"/>
      <c r="D126" s="179"/>
      <c r="E126" s="119"/>
      <c r="F126" s="165"/>
      <c r="G126" s="25" t="str">
        <f>G124</f>
        <v>43.8</v>
      </c>
      <c r="H126" s="25" t="str">
        <f>H124</f>
        <v>43.8</v>
      </c>
      <c r="I126" s="25" t="s">
        <v>118</v>
      </c>
      <c r="J126" s="25" t="s">
        <v>177</v>
      </c>
      <c r="K126" s="26">
        <f t="array" ref="K126">MIN(IF((LEFT(TXRESULT!$C$1:$C$1004,30)='CH9-CH16'!$B$124)*(TXRESULT!$B$1:$B$1004='CH9-CH16'!J126),TXRESULT!$F$1:$F$1004,""))</f>
        <v>48.7</v>
      </c>
      <c r="L126" s="146"/>
      <c r="M126" s="27" t="str">
        <f t="shared" si="7"/>
        <v>PASS</v>
      </c>
      <c r="N126" s="27" t="str">
        <f t="shared" si="8"/>
        <v/>
      </c>
    </row>
    <row r="127" spans="1:14" x14ac:dyDescent="0.3">
      <c r="A127" s="116"/>
      <c r="B127" s="177"/>
      <c r="C127" s="178"/>
      <c r="D127" s="179"/>
      <c r="E127" s="119"/>
      <c r="F127" s="165"/>
      <c r="G127" s="25" t="str">
        <f>G124</f>
        <v>43.8</v>
      </c>
      <c r="H127" s="25" t="str">
        <f>H124</f>
        <v>43.8</v>
      </c>
      <c r="I127" s="25" t="s">
        <v>118</v>
      </c>
      <c r="J127" s="25" t="s">
        <v>178</v>
      </c>
      <c r="K127" s="26">
        <f t="array" ref="K127">MIN(IF((LEFT(TXRESULT!$C$1:$C$1004,30)='CH9-CH16'!$B$124)*(TXRESULT!$B$1:$B$1004='CH9-CH16'!J127),TXRESULT!$F$1:$F$1004,""))</f>
        <v>50.4</v>
      </c>
      <c r="L127" s="146"/>
      <c r="M127" s="27" t="str">
        <f t="shared" si="7"/>
        <v>PASS</v>
      </c>
      <c r="N127" s="27" t="str">
        <f t="shared" si="8"/>
        <v/>
      </c>
    </row>
    <row r="128" spans="1:14" x14ac:dyDescent="0.3">
      <c r="A128" s="116"/>
      <c r="B128" s="177"/>
      <c r="C128" s="178"/>
      <c r="D128" s="179"/>
      <c r="E128" s="119"/>
      <c r="F128" s="165"/>
      <c r="G128" s="25" t="str">
        <f>G124</f>
        <v>43.8</v>
      </c>
      <c r="H128" s="25" t="str">
        <f>H124</f>
        <v>43.8</v>
      </c>
      <c r="I128" s="25" t="s">
        <v>118</v>
      </c>
      <c r="J128" s="25" t="s">
        <v>179</v>
      </c>
      <c r="K128" s="26">
        <f t="array" ref="K128">MIN(IF((LEFT(TXRESULT!$C$1:$C$1004,30)='CH9-CH16'!$B$124)*(TXRESULT!$B$1:$B$1004='CH9-CH16'!J128),TXRESULT!$F$1:$F$1004,""))</f>
        <v>47.6</v>
      </c>
      <c r="L128" s="146"/>
      <c r="M128" s="27" t="str">
        <f t="shared" si="7"/>
        <v>PASS</v>
      </c>
      <c r="N128" s="27" t="str">
        <f t="shared" si="8"/>
        <v/>
      </c>
    </row>
    <row r="129" spans="1:14" x14ac:dyDescent="0.3">
      <c r="A129" s="116"/>
      <c r="B129" s="177"/>
      <c r="C129" s="178"/>
      <c r="D129" s="179"/>
      <c r="E129" s="119"/>
      <c r="F129" s="165"/>
      <c r="G129" s="25" t="str">
        <f>G124</f>
        <v>43.8</v>
      </c>
      <c r="H129" s="25" t="str">
        <f>H124</f>
        <v>43.8</v>
      </c>
      <c r="I129" s="25" t="s">
        <v>118</v>
      </c>
      <c r="J129" s="25" t="s">
        <v>180</v>
      </c>
      <c r="K129" s="26">
        <f t="array" ref="K129">MIN(IF((LEFT(TXRESULT!$C$1:$C$1004,30)='CH9-CH16'!$B$124)*(TXRESULT!$B$1:$B$1004='CH9-CH16'!J129),TXRESULT!$F$1:$F$1004,""))</f>
        <v>45.8</v>
      </c>
      <c r="L129" s="146"/>
      <c r="M129" s="27" t="str">
        <f t="shared" si="7"/>
        <v>PASS</v>
      </c>
      <c r="N129" s="27" t="str">
        <f t="shared" si="8"/>
        <v/>
      </c>
    </row>
    <row r="130" spans="1:14" x14ac:dyDescent="0.3">
      <c r="A130" s="116"/>
      <c r="B130" s="177"/>
      <c r="C130" s="178"/>
      <c r="D130" s="179"/>
      <c r="E130" s="119"/>
      <c r="F130" s="165"/>
      <c r="G130" s="25" t="str">
        <f>G124</f>
        <v>43.8</v>
      </c>
      <c r="H130" s="25" t="str">
        <f>H124</f>
        <v>43.8</v>
      </c>
      <c r="I130" s="25" t="s">
        <v>118</v>
      </c>
      <c r="J130" s="25" t="s">
        <v>181</v>
      </c>
      <c r="K130" s="26">
        <f t="array" ref="K130">MIN(IF((LEFT(TXRESULT!$C$1:$C$1004,30)='CH9-CH16'!$B$124)*(TXRESULT!$B$1:$B$1004='CH9-CH16'!J130),TXRESULT!$F$1:$F$1004,""))</f>
        <v>49.9</v>
      </c>
      <c r="L130" s="146"/>
      <c r="M130" s="27" t="str">
        <f>IF(ISBLANK(K130),"",IF(AND(K130*1&gt;H130*1,K130*1&lt;I130*1),"PASS","FAIL"))</f>
        <v>PASS</v>
      </c>
      <c r="N130" s="27" t="str">
        <f t="shared" si="8"/>
        <v/>
      </c>
    </row>
    <row r="131" spans="1:14" x14ac:dyDescent="0.3">
      <c r="A131" s="117"/>
      <c r="B131" s="180"/>
      <c r="C131" s="181"/>
      <c r="D131" s="182"/>
      <c r="E131" s="120"/>
      <c r="F131" s="166"/>
      <c r="G131" s="25" t="str">
        <f>G124</f>
        <v>43.8</v>
      </c>
      <c r="H131" s="25" t="str">
        <f>H124</f>
        <v>43.8</v>
      </c>
      <c r="I131" s="25" t="s">
        <v>118</v>
      </c>
      <c r="J131" s="25" t="s">
        <v>182</v>
      </c>
      <c r="K131" s="26">
        <f t="array" ref="K131">MIN(IF((LEFT(TXRESULT!$C$1:$C$1004,30)='CH9-CH16'!$B$124)*(TXRESULT!$B$1:$B$1004='CH9-CH16'!J131),TXRESULT!$F$1:$F$1004,""))</f>
        <v>50.8</v>
      </c>
      <c r="L131" s="147"/>
      <c r="M131" s="27" t="str">
        <f t="shared" si="7"/>
        <v>PASS</v>
      </c>
      <c r="N131" s="27" t="str">
        <f t="shared" si="8"/>
        <v/>
      </c>
    </row>
    <row r="132" spans="1:14" ht="15.75" customHeight="1" x14ac:dyDescent="0.3">
      <c r="A132" s="115" t="s">
        <v>120</v>
      </c>
      <c r="B132" s="174" t="s">
        <v>245</v>
      </c>
      <c r="C132" s="175"/>
      <c r="D132" s="176"/>
      <c r="E132" s="132" t="s">
        <v>52</v>
      </c>
      <c r="F132" s="164" t="s">
        <v>111</v>
      </c>
      <c r="G132" s="173" t="s">
        <v>121</v>
      </c>
      <c r="H132" s="124"/>
      <c r="I132" s="125"/>
      <c r="J132" s="25" t="s">
        <v>175</v>
      </c>
      <c r="K132" s="4">
        <f t="array" ref="K132">MAX(IF((LEFT(TXRESULT!$C$1:$C$1000,33)='CH9-CH16'!$B$132)*(TXRESULT!$B$1:$B$1000='CH9-CH16'!J132)*(TXRESULT!$K$1:$K$1000="OBUE1"),TXRESULT!$F$1:$F$1000,""))</f>
        <v>0</v>
      </c>
      <c r="L132" s="145" t="s">
        <v>122</v>
      </c>
      <c r="M132" s="27" t="str">
        <f>IF(ISBLANK(K132),"",IF(AND(K132*1&lt;-12.2),"PASS","FAIL"))</f>
        <v>FAIL</v>
      </c>
      <c r="N132" s="27" t="str">
        <f t="shared" si="8"/>
        <v/>
      </c>
    </row>
    <row r="133" spans="1:14" x14ac:dyDescent="0.3">
      <c r="A133" s="116"/>
      <c r="B133" s="177"/>
      <c r="C133" s="178"/>
      <c r="D133" s="179"/>
      <c r="E133" s="119"/>
      <c r="F133" s="165"/>
      <c r="G133" s="126"/>
      <c r="H133" s="127"/>
      <c r="I133" s="128"/>
      <c r="J133" s="25" t="s">
        <v>176</v>
      </c>
      <c r="K133" s="4">
        <f t="array" ref="K133">MAX(IF((LEFT(TXRESULT!$C$1:$C$1000,33)='CH9-CH16'!$B$132)*(TXRESULT!$B$1:$B$1000='CH9-CH16'!J133)*(TXRESULT!$K$1:$K$1000="OBUE1"),TXRESULT!$F$1:$F$1000,""))</f>
        <v>0</v>
      </c>
      <c r="L133" s="146"/>
      <c r="M133" s="27" t="str">
        <f t="shared" ref="M133:M147" si="9">IF(ISBLANK(K133),"",IF(AND(K133*1&lt;-12.2),"PASS","FAIL"))</f>
        <v>FAIL</v>
      </c>
      <c r="N133" s="27" t="str">
        <f t="shared" si="8"/>
        <v/>
      </c>
    </row>
    <row r="134" spans="1:14" x14ac:dyDescent="0.3">
      <c r="A134" s="116"/>
      <c r="B134" s="177"/>
      <c r="C134" s="178"/>
      <c r="D134" s="179"/>
      <c r="E134" s="119"/>
      <c r="F134" s="165"/>
      <c r="G134" s="126"/>
      <c r="H134" s="127"/>
      <c r="I134" s="128"/>
      <c r="J134" s="25" t="s">
        <v>177</v>
      </c>
      <c r="K134" s="4">
        <f t="array" ref="K134">MAX(IF((LEFT(TXRESULT!$C$1:$C$1000,33)='CH9-CH16'!$B$132)*(TXRESULT!$B$1:$B$1000='CH9-CH16'!J134)*(TXRESULT!$K$1:$K$1000="OBUE1"),TXRESULT!$F$1:$F$1000,""))</f>
        <v>0</v>
      </c>
      <c r="L134" s="146"/>
      <c r="M134" s="27" t="str">
        <f t="shared" si="9"/>
        <v>FAIL</v>
      </c>
      <c r="N134" s="27" t="str">
        <f t="shared" si="8"/>
        <v/>
      </c>
    </row>
    <row r="135" spans="1:14" x14ac:dyDescent="0.3">
      <c r="A135" s="116"/>
      <c r="B135" s="177"/>
      <c r="C135" s="178"/>
      <c r="D135" s="179"/>
      <c r="E135" s="119"/>
      <c r="F135" s="165"/>
      <c r="G135" s="126"/>
      <c r="H135" s="127"/>
      <c r="I135" s="128"/>
      <c r="J135" s="25" t="s">
        <v>178</v>
      </c>
      <c r="K135" s="4">
        <f t="array" ref="K135">MAX(IF((LEFT(TXRESULT!$C$1:$C$1000,33)='CH9-CH16'!$B$132)*(TXRESULT!$B$1:$B$1000='CH9-CH16'!J135)*(TXRESULT!$K$1:$K$1000="OBUE1"),TXRESULT!$F$1:$F$1000,""))</f>
        <v>0</v>
      </c>
      <c r="L135" s="146"/>
      <c r="M135" s="27" t="str">
        <f t="shared" si="9"/>
        <v>FAIL</v>
      </c>
      <c r="N135" s="27" t="str">
        <f t="shared" si="8"/>
        <v/>
      </c>
    </row>
    <row r="136" spans="1:14" x14ac:dyDescent="0.3">
      <c r="A136" s="116"/>
      <c r="B136" s="177"/>
      <c r="C136" s="178"/>
      <c r="D136" s="179"/>
      <c r="E136" s="119"/>
      <c r="F136" s="165"/>
      <c r="G136" s="126"/>
      <c r="H136" s="127"/>
      <c r="I136" s="128"/>
      <c r="J136" s="25" t="s">
        <v>179</v>
      </c>
      <c r="K136" s="4">
        <f t="array" ref="K136">MAX(IF((LEFT(TXRESULT!$C$1:$C$1000,33)='CH9-CH16'!$B$132)*(TXRESULT!$B$1:$B$1000='CH9-CH16'!J136)*(TXRESULT!$K$1:$K$1000="OBUE1"),TXRESULT!$F$1:$F$1000,""))</f>
        <v>0</v>
      </c>
      <c r="L136" s="146"/>
      <c r="M136" s="27" t="str">
        <f t="shared" si="9"/>
        <v>FAIL</v>
      </c>
      <c r="N136" s="27" t="str">
        <f t="shared" si="8"/>
        <v/>
      </c>
    </row>
    <row r="137" spans="1:14" x14ac:dyDescent="0.3">
      <c r="A137" s="116"/>
      <c r="B137" s="177"/>
      <c r="C137" s="178"/>
      <c r="D137" s="179"/>
      <c r="E137" s="119"/>
      <c r="F137" s="165"/>
      <c r="G137" s="126"/>
      <c r="H137" s="127"/>
      <c r="I137" s="128"/>
      <c r="J137" s="25" t="s">
        <v>180</v>
      </c>
      <c r="K137" s="4">
        <f t="array" ref="K137">MAX(IF((LEFT(TXRESULT!$C$1:$C$1000,33)='CH9-CH16'!$B$132)*(TXRESULT!$B$1:$B$1000='CH9-CH16'!J137)*(TXRESULT!$K$1:$K$1000="OBUE1"),TXRESULT!$F$1:$F$1000,""))</f>
        <v>0</v>
      </c>
      <c r="L137" s="146"/>
      <c r="M137" s="27" t="str">
        <f t="shared" si="9"/>
        <v>FAIL</v>
      </c>
      <c r="N137" s="27" t="str">
        <f t="shared" si="8"/>
        <v/>
      </c>
    </row>
    <row r="138" spans="1:14" x14ac:dyDescent="0.3">
      <c r="A138" s="116"/>
      <c r="B138" s="177"/>
      <c r="C138" s="178"/>
      <c r="D138" s="179"/>
      <c r="E138" s="119"/>
      <c r="F138" s="165"/>
      <c r="G138" s="126"/>
      <c r="H138" s="127"/>
      <c r="I138" s="128"/>
      <c r="J138" s="25" t="s">
        <v>181</v>
      </c>
      <c r="K138" s="4">
        <f t="array" ref="K138">MAX(IF((LEFT(TXRESULT!$C$1:$C$1000,33)='CH9-CH16'!$B$132)*(TXRESULT!$B$1:$B$1000='CH9-CH16'!J138)*(TXRESULT!$K$1:$K$1000="OBUE1"),TXRESULT!$F$1:$F$1000,""))</f>
        <v>0</v>
      </c>
      <c r="L138" s="146"/>
      <c r="M138" s="27" t="str">
        <f t="shared" si="9"/>
        <v>FAIL</v>
      </c>
      <c r="N138" s="27" t="str">
        <f t="shared" si="8"/>
        <v/>
      </c>
    </row>
    <row r="139" spans="1:14" x14ac:dyDescent="0.3">
      <c r="A139" s="116"/>
      <c r="B139" s="177"/>
      <c r="C139" s="178"/>
      <c r="D139" s="179"/>
      <c r="E139" s="120"/>
      <c r="F139" s="165"/>
      <c r="G139" s="129"/>
      <c r="H139" s="130"/>
      <c r="I139" s="131"/>
      <c r="J139" s="25" t="s">
        <v>182</v>
      </c>
      <c r="K139" s="4">
        <f t="array" ref="K139">MAX(IF((LEFT(TXRESULT!$C$1:$C$1000,33)='CH9-CH16'!$B$132)*(TXRESULT!$B$1:$B$1000='CH9-CH16'!J139)*(TXRESULT!$K$1:$K$1000="OBUE1"),TXRESULT!$F$1:$F$1000,""))</f>
        <v>0</v>
      </c>
      <c r="L139" s="147"/>
      <c r="M139" s="27" t="str">
        <f t="shared" si="9"/>
        <v>FAIL</v>
      </c>
      <c r="N139" s="27" t="str">
        <f t="shared" si="8"/>
        <v/>
      </c>
    </row>
    <row r="140" spans="1:14" ht="15.75" customHeight="1" x14ac:dyDescent="0.3">
      <c r="A140" s="116"/>
      <c r="B140" s="177"/>
      <c r="C140" s="178"/>
      <c r="D140" s="179"/>
      <c r="E140" s="132" t="s">
        <v>52</v>
      </c>
      <c r="F140" s="165"/>
      <c r="G140" s="173" t="s">
        <v>123</v>
      </c>
      <c r="H140" s="124"/>
      <c r="I140" s="125"/>
      <c r="J140" s="25" t="s">
        <v>175</v>
      </c>
      <c r="K140" s="4">
        <f t="array" ref="K140">MAX(IF((LEFT(TXRESULT!$C$1:$C$1000,33)='CH9-CH16'!$B$132)*(TXRESULT!$B$1:$B$1000='CH9-CH16'!J140)*(TXRESULT!$K$1:$K$1000="OBUE2"),TXRESULT!$F$1:$F$1000,""))</f>
        <v>0</v>
      </c>
      <c r="L140" s="145" t="s">
        <v>122</v>
      </c>
      <c r="M140" s="27" t="str">
        <f t="shared" si="9"/>
        <v>FAIL</v>
      </c>
      <c r="N140" s="27" t="str">
        <f t="shared" si="8"/>
        <v/>
      </c>
    </row>
    <row r="141" spans="1:14" x14ac:dyDescent="0.3">
      <c r="A141" s="116"/>
      <c r="B141" s="177"/>
      <c r="C141" s="178"/>
      <c r="D141" s="179"/>
      <c r="E141" s="119"/>
      <c r="F141" s="165"/>
      <c r="G141" s="126"/>
      <c r="H141" s="127"/>
      <c r="I141" s="128"/>
      <c r="J141" s="25" t="s">
        <v>176</v>
      </c>
      <c r="K141" s="4">
        <f t="array" ref="K141">MAX(IF((LEFT(TXRESULT!$C$1:$C$1000,33)='CH9-CH16'!$B$132)*(TXRESULT!$B$1:$B$1000='CH9-CH16'!J141)*(TXRESULT!$K$1:$K$1000="OBUE2"),TXRESULT!$F$1:$F$1000,""))</f>
        <v>0</v>
      </c>
      <c r="L141" s="146"/>
      <c r="M141" s="27" t="str">
        <f t="shared" si="9"/>
        <v>FAIL</v>
      </c>
      <c r="N141" s="27" t="str">
        <f t="shared" si="8"/>
        <v/>
      </c>
    </row>
    <row r="142" spans="1:14" x14ac:dyDescent="0.3">
      <c r="A142" s="116"/>
      <c r="B142" s="177"/>
      <c r="C142" s="178"/>
      <c r="D142" s="179"/>
      <c r="E142" s="119"/>
      <c r="F142" s="165"/>
      <c r="G142" s="126"/>
      <c r="H142" s="127"/>
      <c r="I142" s="128"/>
      <c r="J142" s="25" t="s">
        <v>177</v>
      </c>
      <c r="K142" s="4">
        <f t="array" ref="K142">MAX(IF((LEFT(TXRESULT!$C$1:$C$1000,33)='CH9-CH16'!$B$132)*(TXRESULT!$B$1:$B$1000='CH9-CH16'!J142)*(TXRESULT!$K$1:$K$1000="OBUE2"),TXRESULT!$F$1:$F$1000,""))</f>
        <v>0</v>
      </c>
      <c r="L142" s="146"/>
      <c r="M142" s="27" t="str">
        <f t="shared" si="9"/>
        <v>FAIL</v>
      </c>
      <c r="N142" s="27" t="str">
        <f t="shared" si="8"/>
        <v/>
      </c>
    </row>
    <row r="143" spans="1:14" x14ac:dyDescent="0.3">
      <c r="A143" s="116"/>
      <c r="B143" s="177"/>
      <c r="C143" s="178"/>
      <c r="D143" s="179"/>
      <c r="E143" s="119"/>
      <c r="F143" s="165"/>
      <c r="G143" s="126"/>
      <c r="H143" s="127"/>
      <c r="I143" s="128"/>
      <c r="J143" s="25" t="s">
        <v>178</v>
      </c>
      <c r="K143" s="4">
        <f t="array" ref="K143">MAX(IF((LEFT(TXRESULT!$C$1:$C$1000,33)='CH9-CH16'!$B$132)*(TXRESULT!$B$1:$B$1000='CH9-CH16'!J143)*(TXRESULT!$K$1:$K$1000="OBUE2"),TXRESULT!$F$1:$F$1000,""))</f>
        <v>0</v>
      </c>
      <c r="L143" s="146"/>
      <c r="M143" s="27" t="str">
        <f t="shared" si="9"/>
        <v>FAIL</v>
      </c>
      <c r="N143" s="27" t="str">
        <f t="shared" si="8"/>
        <v/>
      </c>
    </row>
    <row r="144" spans="1:14" x14ac:dyDescent="0.3">
      <c r="A144" s="116"/>
      <c r="B144" s="177"/>
      <c r="C144" s="178"/>
      <c r="D144" s="179"/>
      <c r="E144" s="119"/>
      <c r="F144" s="165"/>
      <c r="G144" s="126"/>
      <c r="H144" s="127"/>
      <c r="I144" s="128"/>
      <c r="J144" s="25" t="s">
        <v>179</v>
      </c>
      <c r="K144" s="4">
        <f t="array" ref="K144">MAX(IF((LEFT(TXRESULT!$C$1:$C$1000,33)='CH9-CH16'!$B$132)*(TXRESULT!$B$1:$B$1000='CH9-CH16'!J144)*(TXRESULT!$K$1:$K$1000="OBUE2"),TXRESULT!$F$1:$F$1000,""))</f>
        <v>0</v>
      </c>
      <c r="L144" s="146"/>
      <c r="M144" s="27" t="str">
        <f t="shared" si="9"/>
        <v>FAIL</v>
      </c>
      <c r="N144" s="27" t="str">
        <f t="shared" si="8"/>
        <v/>
      </c>
    </row>
    <row r="145" spans="1:14" x14ac:dyDescent="0.3">
      <c r="A145" s="116"/>
      <c r="B145" s="177"/>
      <c r="C145" s="178"/>
      <c r="D145" s="179"/>
      <c r="E145" s="119"/>
      <c r="F145" s="165"/>
      <c r="G145" s="126"/>
      <c r="H145" s="127"/>
      <c r="I145" s="128"/>
      <c r="J145" s="25" t="s">
        <v>180</v>
      </c>
      <c r="K145" s="4">
        <f t="array" ref="K145">MAX(IF((LEFT(TXRESULT!$C$1:$C$1000,33)='CH9-CH16'!$B$132)*(TXRESULT!$B$1:$B$1000='CH9-CH16'!J145)*(TXRESULT!$K$1:$K$1000="OBUE2"),TXRESULT!$F$1:$F$1000,""))</f>
        <v>0</v>
      </c>
      <c r="L145" s="146"/>
      <c r="M145" s="27" t="str">
        <f t="shared" si="9"/>
        <v>FAIL</v>
      </c>
      <c r="N145" s="27" t="str">
        <f t="shared" si="8"/>
        <v/>
      </c>
    </row>
    <row r="146" spans="1:14" x14ac:dyDescent="0.3">
      <c r="A146" s="116"/>
      <c r="B146" s="177"/>
      <c r="C146" s="178"/>
      <c r="D146" s="179"/>
      <c r="E146" s="119"/>
      <c r="F146" s="165"/>
      <c r="G146" s="126"/>
      <c r="H146" s="127"/>
      <c r="I146" s="128"/>
      <c r="J146" s="25" t="s">
        <v>181</v>
      </c>
      <c r="K146" s="4">
        <f t="array" ref="K146">MAX(IF((LEFT(TXRESULT!$C$1:$C$1000,33)='CH9-CH16'!$B$132)*(TXRESULT!$B$1:$B$1000='CH9-CH16'!J146)*(TXRESULT!$K$1:$K$1000="OBUE2"),TXRESULT!$F$1:$F$1000,""))</f>
        <v>0</v>
      </c>
      <c r="L146" s="146"/>
      <c r="M146" s="27" t="str">
        <f t="shared" si="9"/>
        <v>FAIL</v>
      </c>
      <c r="N146" s="27" t="str">
        <f t="shared" si="8"/>
        <v/>
      </c>
    </row>
    <row r="147" spans="1:14" x14ac:dyDescent="0.3">
      <c r="A147" s="116"/>
      <c r="B147" s="177"/>
      <c r="C147" s="178"/>
      <c r="D147" s="179"/>
      <c r="E147" s="120"/>
      <c r="F147" s="165"/>
      <c r="G147" s="129"/>
      <c r="H147" s="130"/>
      <c r="I147" s="131"/>
      <c r="J147" s="25" t="s">
        <v>182</v>
      </c>
      <c r="K147" s="4">
        <f t="array" ref="K147">MAX(IF((LEFT(TXRESULT!$C$1:$C$1000,33)='CH9-CH16'!$B$132)*(TXRESULT!$B$1:$B$1000='CH9-CH16'!J147)*(TXRESULT!$K$1:$K$1000="OBUE2"),TXRESULT!$F$1:$F$1000,""))</f>
        <v>0</v>
      </c>
      <c r="L147" s="147"/>
      <c r="M147" s="27" t="str">
        <f t="shared" si="9"/>
        <v>FAIL</v>
      </c>
      <c r="N147" s="27" t="str">
        <f t="shared" si="8"/>
        <v/>
      </c>
    </row>
    <row r="148" spans="1:14" ht="15.75" customHeight="1" x14ac:dyDescent="0.3">
      <c r="A148" s="116"/>
      <c r="B148" s="177"/>
      <c r="C148" s="178"/>
      <c r="D148" s="179"/>
      <c r="E148" s="132" t="s">
        <v>52</v>
      </c>
      <c r="F148" s="165"/>
      <c r="G148" s="173" t="s">
        <v>124</v>
      </c>
      <c r="H148" s="124"/>
      <c r="I148" s="125"/>
      <c r="J148" s="25" t="s">
        <v>175</v>
      </c>
      <c r="K148" s="4">
        <f t="array" ref="K148">MAX(IF((LEFT(TXRESULT!$C$1:$C$1000,33)='CH9-CH16'!$B$132)*(TXRESULT!$B$1:$B$1000='CH9-CH16'!J148)*(TXRESULT!$K$1:$K$1000="OBUE3"),TXRESULT!$F$1:$F$1000,""))</f>
        <v>0</v>
      </c>
      <c r="L148" s="145" t="s">
        <v>122</v>
      </c>
      <c r="M148" s="27" t="str">
        <f>IF(ISBLANK(K148),"",IF(AND(K148*1&lt;-15),"PASS","FAIL"))</f>
        <v>FAIL</v>
      </c>
      <c r="N148" s="27" t="str">
        <f t="shared" si="8"/>
        <v/>
      </c>
    </row>
    <row r="149" spans="1:14" x14ac:dyDescent="0.3">
      <c r="A149" s="116"/>
      <c r="B149" s="177"/>
      <c r="C149" s="178"/>
      <c r="D149" s="179"/>
      <c r="E149" s="119"/>
      <c r="F149" s="165"/>
      <c r="G149" s="126"/>
      <c r="H149" s="127"/>
      <c r="I149" s="128"/>
      <c r="J149" s="25" t="s">
        <v>176</v>
      </c>
      <c r="K149" s="4">
        <f t="array" ref="K149">MAX(IF((LEFT(TXRESULT!$C$1:$C$1000,33)='CH9-CH16'!$B$132)*(TXRESULT!$B$1:$B$1000='CH9-CH16'!J149)*(TXRESULT!$K$1:$K$1000="OBUE3"),TXRESULT!$F$1:$F$1000,""))</f>
        <v>0</v>
      </c>
      <c r="L149" s="146"/>
      <c r="M149" s="27" t="str">
        <f t="shared" ref="M149:M155" si="10">IF(ISBLANK(K149),"",IF(AND(K149*1&lt;-15),"PASS","FAIL"))</f>
        <v>FAIL</v>
      </c>
      <c r="N149" s="27" t="str">
        <f t="shared" si="8"/>
        <v/>
      </c>
    </row>
    <row r="150" spans="1:14" x14ac:dyDescent="0.3">
      <c r="A150" s="116"/>
      <c r="B150" s="177"/>
      <c r="C150" s="178"/>
      <c r="D150" s="179"/>
      <c r="E150" s="119"/>
      <c r="F150" s="165"/>
      <c r="G150" s="126"/>
      <c r="H150" s="127"/>
      <c r="I150" s="128"/>
      <c r="J150" s="25" t="s">
        <v>177</v>
      </c>
      <c r="K150" s="4">
        <f t="array" ref="K150">MAX(IF((LEFT(TXRESULT!$C$1:$C$1000,33)='CH9-CH16'!$B$132)*(TXRESULT!$B$1:$B$1000='CH9-CH16'!J150)*(TXRESULT!$K$1:$K$1000="OBUE3"),TXRESULT!$F$1:$F$1000,""))</f>
        <v>0</v>
      </c>
      <c r="L150" s="146"/>
      <c r="M150" s="27" t="str">
        <f t="shared" si="10"/>
        <v>FAIL</v>
      </c>
      <c r="N150" s="27" t="str">
        <f t="shared" si="8"/>
        <v/>
      </c>
    </row>
    <row r="151" spans="1:14" x14ac:dyDescent="0.3">
      <c r="A151" s="116"/>
      <c r="B151" s="177"/>
      <c r="C151" s="178"/>
      <c r="D151" s="179"/>
      <c r="E151" s="119"/>
      <c r="F151" s="165"/>
      <c r="G151" s="126"/>
      <c r="H151" s="127"/>
      <c r="I151" s="128"/>
      <c r="J151" s="25" t="s">
        <v>178</v>
      </c>
      <c r="K151" s="4">
        <f t="array" ref="K151">MAX(IF((LEFT(TXRESULT!$C$1:$C$1000,33)='CH9-CH16'!$B$132)*(TXRESULT!$B$1:$B$1000='CH9-CH16'!J151)*(TXRESULT!$K$1:$K$1000="OBUE3"),TXRESULT!$F$1:$F$1000,""))</f>
        <v>0</v>
      </c>
      <c r="L151" s="146"/>
      <c r="M151" s="27" t="str">
        <f t="shared" si="10"/>
        <v>FAIL</v>
      </c>
      <c r="N151" s="27" t="str">
        <f t="shared" si="8"/>
        <v/>
      </c>
    </row>
    <row r="152" spans="1:14" x14ac:dyDescent="0.3">
      <c r="A152" s="116"/>
      <c r="B152" s="177"/>
      <c r="C152" s="178"/>
      <c r="D152" s="179"/>
      <c r="E152" s="119"/>
      <c r="F152" s="165"/>
      <c r="G152" s="126"/>
      <c r="H152" s="127"/>
      <c r="I152" s="128"/>
      <c r="J152" s="25" t="s">
        <v>179</v>
      </c>
      <c r="K152" s="4">
        <f t="array" ref="K152">MAX(IF((LEFT(TXRESULT!$C$1:$C$1000,33)='CH9-CH16'!$B$132)*(TXRESULT!$B$1:$B$1000='CH9-CH16'!J152)*(TXRESULT!$K$1:$K$1000="OBUE3"),TXRESULT!$F$1:$F$1000,""))</f>
        <v>0</v>
      </c>
      <c r="L152" s="146"/>
      <c r="M152" s="27" t="str">
        <f t="shared" si="10"/>
        <v>FAIL</v>
      </c>
      <c r="N152" s="27" t="str">
        <f t="shared" si="8"/>
        <v/>
      </c>
    </row>
    <row r="153" spans="1:14" x14ac:dyDescent="0.3">
      <c r="A153" s="116"/>
      <c r="B153" s="177"/>
      <c r="C153" s="178"/>
      <c r="D153" s="179"/>
      <c r="E153" s="119"/>
      <c r="F153" s="165"/>
      <c r="G153" s="126"/>
      <c r="H153" s="127"/>
      <c r="I153" s="128"/>
      <c r="J153" s="25" t="s">
        <v>180</v>
      </c>
      <c r="K153" s="4">
        <f t="array" ref="K153">MAX(IF((LEFT(TXRESULT!$C$1:$C$1000,33)='CH9-CH16'!$B$132)*(TXRESULT!$B$1:$B$1000='CH9-CH16'!J153)*(TXRESULT!$K$1:$K$1000="OBUE3"),TXRESULT!$F$1:$F$1000,""))</f>
        <v>0</v>
      </c>
      <c r="L153" s="146"/>
      <c r="M153" s="27" t="str">
        <f t="shared" si="10"/>
        <v>FAIL</v>
      </c>
      <c r="N153" s="27" t="str">
        <f t="shared" si="8"/>
        <v/>
      </c>
    </row>
    <row r="154" spans="1:14" x14ac:dyDescent="0.3">
      <c r="A154" s="116"/>
      <c r="B154" s="177"/>
      <c r="C154" s="178"/>
      <c r="D154" s="179"/>
      <c r="E154" s="119"/>
      <c r="F154" s="165"/>
      <c r="G154" s="126"/>
      <c r="H154" s="127"/>
      <c r="I154" s="128"/>
      <c r="J154" s="25" t="s">
        <v>181</v>
      </c>
      <c r="K154" s="4">
        <f t="array" ref="K154">MAX(IF((LEFT(TXRESULT!$C$1:$C$1000,33)='CH9-CH16'!$B$132)*(TXRESULT!$B$1:$B$1000='CH9-CH16'!J154)*(TXRESULT!$K$1:$K$1000="OBUE3"),TXRESULT!$F$1:$F$1000,""))</f>
        <v>0</v>
      </c>
      <c r="L154" s="146"/>
      <c r="M154" s="27" t="str">
        <f t="shared" si="10"/>
        <v>FAIL</v>
      </c>
      <c r="N154" s="27" t="str">
        <f t="shared" si="8"/>
        <v/>
      </c>
    </row>
    <row r="155" spans="1:14" x14ac:dyDescent="0.3">
      <c r="A155" s="117"/>
      <c r="B155" s="180"/>
      <c r="C155" s="181"/>
      <c r="D155" s="182"/>
      <c r="E155" s="120"/>
      <c r="F155" s="166"/>
      <c r="G155" s="129"/>
      <c r="H155" s="130"/>
      <c r="I155" s="131"/>
      <c r="J155" s="25" t="s">
        <v>182</v>
      </c>
      <c r="K155" s="4">
        <f t="array" ref="K155">MAX(IF((LEFT(TXRESULT!$C$1:$C$1000,33)='CH9-CH16'!$B$132)*(TXRESULT!$B$1:$B$1000='CH9-CH16'!J155)*(TXRESULT!$K$1:$K$1000="OBUE3"),TXRESULT!$F$1:$F$1000,""))</f>
        <v>0</v>
      </c>
      <c r="L155" s="147"/>
      <c r="M155" s="27" t="str">
        <f t="shared" si="10"/>
        <v>FAIL</v>
      </c>
      <c r="N155" s="27" t="str">
        <f t="shared" si="8"/>
        <v/>
      </c>
    </row>
    <row r="156" spans="1:14" ht="15.75" customHeight="1" x14ac:dyDescent="0.3">
      <c r="A156" s="115" t="s">
        <v>125</v>
      </c>
      <c r="B156" s="174" t="s">
        <v>260</v>
      </c>
      <c r="C156" s="175"/>
      <c r="D156" s="176"/>
      <c r="E156" s="132" t="s">
        <v>52</v>
      </c>
      <c r="F156" s="164" t="s">
        <v>53</v>
      </c>
      <c r="G156" s="123" t="s">
        <v>126</v>
      </c>
      <c r="H156" s="124"/>
      <c r="I156" s="125"/>
      <c r="J156" s="25" t="s">
        <v>175</v>
      </c>
      <c r="K156" s="27" t="e">
        <f t="array" ref="K156">INDEX(TXRESULT!$B$1:$I$1000,MATCH($B$156&amp;J156&amp;$F$156&amp;"SPUR1",TXRESULT!$C$1:$C$1000&amp;TXRESULT!$B$1:$B$1000&amp;TXRESULT!$H$1:$H$1000&amp;TXRESULT!$K$1:$K$1000,0),5)</f>
        <v>#N/A</v>
      </c>
      <c r="L156" s="145" t="s">
        <v>127</v>
      </c>
      <c r="M156" s="27" t="e">
        <f>IF(ISBLANK(K156),"",IF(AND(K156*1&lt;-36),"PASS","FAIL"))</f>
        <v>#N/A</v>
      </c>
      <c r="N156" s="27" t="str">
        <f t="shared" si="8"/>
        <v/>
      </c>
    </row>
    <row r="157" spans="1:14" x14ac:dyDescent="0.3">
      <c r="A157" s="116"/>
      <c r="B157" s="177"/>
      <c r="C157" s="178"/>
      <c r="D157" s="179"/>
      <c r="E157" s="119"/>
      <c r="F157" s="165"/>
      <c r="G157" s="126"/>
      <c r="H157" s="127"/>
      <c r="I157" s="128"/>
      <c r="J157" s="25" t="s">
        <v>176</v>
      </c>
      <c r="K157" s="27" t="e">
        <f>INDEX(TXRESULT!$B$1:$I$1000,MATCH($B$156&amp;J157&amp;$F$156&amp;"SPUR1",TXRESULT!$C$1:$C$1000&amp;TXRESULT!$B$1:$B$1000&amp;TXRESULT!$H$1:$H$1000&amp;TXRESULT!$K$1:$K$1000,0),5)</f>
        <v>#VALUE!</v>
      </c>
      <c r="L157" s="146"/>
      <c r="M157" s="27" t="e">
        <f t="shared" ref="M157:M179" si="11">IF(ISBLANK(K157),"",IF(AND(K157*1&lt;-36),"PASS","FAIL"))</f>
        <v>#VALUE!</v>
      </c>
      <c r="N157" s="27" t="str">
        <f t="shared" si="8"/>
        <v/>
      </c>
    </row>
    <row r="158" spans="1:14" x14ac:dyDescent="0.3">
      <c r="A158" s="116"/>
      <c r="B158" s="177"/>
      <c r="C158" s="178"/>
      <c r="D158" s="179"/>
      <c r="E158" s="119"/>
      <c r="F158" s="165"/>
      <c r="G158" s="126"/>
      <c r="H158" s="127"/>
      <c r="I158" s="128"/>
      <c r="J158" s="25" t="s">
        <v>177</v>
      </c>
      <c r="K158" s="27" t="e">
        <f t="array" ref="K158">INDEX(TXRESULT!$B$1:$I$1000,MATCH($B$156&amp;J158&amp;$F$156&amp;"SPUR1",TXRESULT!$C$1:$C$1000&amp;TXRESULT!$B$1:$B$1000&amp;TXRESULT!$H$1:$H$1000&amp;TXRESULT!$K$1:$K$1000,0),5)</f>
        <v>#N/A</v>
      </c>
      <c r="L158" s="146"/>
      <c r="M158" s="27" t="e">
        <f t="shared" si="11"/>
        <v>#N/A</v>
      </c>
      <c r="N158" s="27" t="str">
        <f t="shared" si="8"/>
        <v/>
      </c>
    </row>
    <row r="159" spans="1:14" x14ac:dyDescent="0.3">
      <c r="A159" s="116"/>
      <c r="B159" s="177"/>
      <c r="C159" s="178"/>
      <c r="D159" s="179"/>
      <c r="E159" s="119"/>
      <c r="F159" s="165"/>
      <c r="G159" s="126"/>
      <c r="H159" s="127"/>
      <c r="I159" s="128"/>
      <c r="J159" s="25" t="s">
        <v>178</v>
      </c>
      <c r="K159" s="27" t="e">
        <f t="array" ref="K159">INDEX(TXRESULT!$B$1:$I$1000,MATCH($B$156&amp;J159&amp;$F$156&amp;"SPUR1",TXRESULT!$C$1:$C$1000&amp;TXRESULT!$B$1:$B$1000&amp;TXRESULT!$H$1:$H$1000&amp;TXRESULT!$K$1:$K$1000,0),5)</f>
        <v>#N/A</v>
      </c>
      <c r="L159" s="146"/>
      <c r="M159" s="27" t="e">
        <f t="shared" si="11"/>
        <v>#N/A</v>
      </c>
      <c r="N159" s="27" t="str">
        <f t="shared" si="8"/>
        <v/>
      </c>
    </row>
    <row r="160" spans="1:14" x14ac:dyDescent="0.3">
      <c r="A160" s="116"/>
      <c r="B160" s="177"/>
      <c r="C160" s="178"/>
      <c r="D160" s="179"/>
      <c r="E160" s="119"/>
      <c r="F160" s="165"/>
      <c r="G160" s="126"/>
      <c r="H160" s="127"/>
      <c r="I160" s="128"/>
      <c r="J160" s="25" t="s">
        <v>179</v>
      </c>
      <c r="K160" s="27" t="e">
        <f t="array" ref="K160">INDEX(TXRESULT!$B$1:$I$1000,MATCH($B$156&amp;J160&amp;$F$156&amp;"SPUR1",TXRESULT!$C$1:$C$1000&amp;TXRESULT!$B$1:$B$1000&amp;TXRESULT!$H$1:$H$1000&amp;TXRESULT!$K$1:$K$1000,0),5)</f>
        <v>#N/A</v>
      </c>
      <c r="L160" s="146"/>
      <c r="M160" s="27" t="e">
        <f t="shared" si="11"/>
        <v>#N/A</v>
      </c>
      <c r="N160" s="27" t="str">
        <f t="shared" si="8"/>
        <v/>
      </c>
    </row>
    <row r="161" spans="1:14" x14ac:dyDescent="0.3">
      <c r="A161" s="116"/>
      <c r="B161" s="177"/>
      <c r="C161" s="178"/>
      <c r="D161" s="179"/>
      <c r="E161" s="119"/>
      <c r="F161" s="165"/>
      <c r="G161" s="126"/>
      <c r="H161" s="127"/>
      <c r="I161" s="128"/>
      <c r="J161" s="25" t="s">
        <v>180</v>
      </c>
      <c r="K161" s="27" t="e">
        <f t="array" ref="K161">INDEX(TXRESULT!$B$1:$I$1000,MATCH($B$156&amp;J161&amp;$F$156&amp;"SPUR1",TXRESULT!$C$1:$C$1000&amp;TXRESULT!$B$1:$B$1000&amp;TXRESULT!$H$1:$H$1000&amp;TXRESULT!$K$1:$K$1000,0),5)</f>
        <v>#N/A</v>
      </c>
      <c r="L161" s="146"/>
      <c r="M161" s="27" t="e">
        <f t="shared" si="11"/>
        <v>#N/A</v>
      </c>
      <c r="N161" s="27" t="str">
        <f t="shared" ref="N161:N235" si="12">IF(ISBLANK(K161),"CHUADO","")</f>
        <v/>
      </c>
    </row>
    <row r="162" spans="1:14" x14ac:dyDescent="0.3">
      <c r="A162" s="116"/>
      <c r="B162" s="177"/>
      <c r="C162" s="178"/>
      <c r="D162" s="179"/>
      <c r="E162" s="119"/>
      <c r="F162" s="165"/>
      <c r="G162" s="126"/>
      <c r="H162" s="127"/>
      <c r="I162" s="128"/>
      <c r="J162" s="25" t="s">
        <v>181</v>
      </c>
      <c r="K162" s="27" t="e">
        <f t="array" ref="K162">INDEX(TXRESULT!$B$1:$I$1000,MATCH($B$156&amp;J162&amp;$F$156&amp;"SPUR1",TXRESULT!$C$1:$C$1000&amp;TXRESULT!$B$1:$B$1000&amp;TXRESULT!$H$1:$H$1000&amp;TXRESULT!$K$1:$K$1000,0),5)</f>
        <v>#N/A</v>
      </c>
      <c r="L162" s="146"/>
      <c r="M162" s="27" t="e">
        <f t="shared" si="11"/>
        <v>#N/A</v>
      </c>
      <c r="N162" s="27" t="str">
        <f t="shared" si="12"/>
        <v/>
      </c>
    </row>
    <row r="163" spans="1:14" x14ac:dyDescent="0.3">
      <c r="A163" s="116"/>
      <c r="B163" s="177"/>
      <c r="C163" s="178"/>
      <c r="D163" s="179"/>
      <c r="E163" s="120"/>
      <c r="F163" s="166"/>
      <c r="G163" s="129"/>
      <c r="H163" s="130"/>
      <c r="I163" s="131"/>
      <c r="J163" s="25" t="s">
        <v>182</v>
      </c>
      <c r="K163" s="27" t="e">
        <f t="array" ref="K163">INDEX(TXRESULT!$B$1:$I$1000,MATCH($B$156&amp;J163&amp;$F$156&amp;"SPUR1",TXRESULT!$C$1:$C$1000&amp;TXRESULT!$B$1:$B$1000&amp;TXRESULT!$H$1:$H$1000&amp;TXRESULT!$K$1:$K$1000,0),5)</f>
        <v>#N/A</v>
      </c>
      <c r="L163" s="147"/>
      <c r="M163" s="27" t="e">
        <f t="shared" si="11"/>
        <v>#N/A</v>
      </c>
      <c r="N163" s="27" t="str">
        <f t="shared" si="12"/>
        <v/>
      </c>
    </row>
    <row r="164" spans="1:14" ht="15.75" customHeight="1" x14ac:dyDescent="0.3">
      <c r="A164" s="116"/>
      <c r="B164" s="177"/>
      <c r="C164" s="178"/>
      <c r="D164" s="179"/>
      <c r="E164" s="132" t="s">
        <v>52</v>
      </c>
      <c r="F164" s="164" t="s">
        <v>53</v>
      </c>
      <c r="G164" s="123" t="s">
        <v>128</v>
      </c>
      <c r="H164" s="124"/>
      <c r="I164" s="125"/>
      <c r="J164" s="25" t="s">
        <v>175</v>
      </c>
      <c r="K164" s="27" t="e">
        <f t="array" ref="K164">INDEX(TXRESULT!$B$1:$I$1000,MATCH($B$156&amp;J156&amp;$F$156&amp;"SPUR2",TXRESULT!$C$1:$C$1000&amp;TXRESULT!$B$1:$B$1000&amp;TXRESULT!$H$1:$H$1000&amp;TXRESULT!$K$1:$K$1000,0),5)</f>
        <v>#N/A</v>
      </c>
      <c r="L164" s="145" t="s">
        <v>127</v>
      </c>
      <c r="M164" s="27" t="e">
        <f>IF(ISBLANK(K164),"",IF(AND(K164*1&lt;-36),"PASS","FAIL"))</f>
        <v>#N/A</v>
      </c>
      <c r="N164" s="27" t="str">
        <f t="shared" si="12"/>
        <v/>
      </c>
    </row>
    <row r="165" spans="1:14" x14ac:dyDescent="0.3">
      <c r="A165" s="116"/>
      <c r="B165" s="177"/>
      <c r="C165" s="178"/>
      <c r="D165" s="179"/>
      <c r="E165" s="119"/>
      <c r="F165" s="165"/>
      <c r="G165" s="126"/>
      <c r="H165" s="127"/>
      <c r="I165" s="128"/>
      <c r="J165" s="25" t="s">
        <v>176</v>
      </c>
      <c r="K165" s="27" t="e">
        <f t="array" ref="K165">INDEX(TXRESULT!$B$1:$I$1000,MATCH($B$156&amp;J157&amp;$F$156&amp;"SPUR2",TXRESULT!$C$1:$C$1000&amp;TXRESULT!$B$1:$B$1000&amp;TXRESULT!$H$1:$H$1000&amp;TXRESULT!$K$1:$K$1000,0),5)</f>
        <v>#N/A</v>
      </c>
      <c r="L165" s="146"/>
      <c r="M165" s="27" t="e">
        <f t="shared" si="11"/>
        <v>#N/A</v>
      </c>
      <c r="N165" s="27" t="str">
        <f t="shared" si="12"/>
        <v/>
      </c>
    </row>
    <row r="166" spans="1:14" x14ac:dyDescent="0.3">
      <c r="A166" s="116"/>
      <c r="B166" s="177"/>
      <c r="C166" s="178"/>
      <c r="D166" s="179"/>
      <c r="E166" s="119"/>
      <c r="F166" s="165"/>
      <c r="G166" s="126"/>
      <c r="H166" s="127"/>
      <c r="I166" s="128"/>
      <c r="J166" s="25" t="s">
        <v>177</v>
      </c>
      <c r="K166" s="27" t="e">
        <f t="array" ref="K166">INDEX(TXRESULT!$B$1:$I$1000,MATCH($B$156&amp;J158&amp;$F$156&amp;"SPUR2",TXRESULT!$C$1:$C$1000&amp;TXRESULT!$B$1:$B$1000&amp;TXRESULT!$H$1:$H$1000&amp;TXRESULT!$K$1:$K$1000,0),5)</f>
        <v>#N/A</v>
      </c>
      <c r="L166" s="146"/>
      <c r="M166" s="27" t="e">
        <f t="shared" si="11"/>
        <v>#N/A</v>
      </c>
      <c r="N166" s="27" t="str">
        <f t="shared" si="12"/>
        <v/>
      </c>
    </row>
    <row r="167" spans="1:14" x14ac:dyDescent="0.3">
      <c r="A167" s="116"/>
      <c r="B167" s="177"/>
      <c r="C167" s="178"/>
      <c r="D167" s="179"/>
      <c r="E167" s="119"/>
      <c r="F167" s="165"/>
      <c r="G167" s="126"/>
      <c r="H167" s="127"/>
      <c r="I167" s="128"/>
      <c r="J167" s="25" t="s">
        <v>178</v>
      </c>
      <c r="K167" s="27" t="e">
        <f t="array" ref="K167">INDEX(TXRESULT!$B$1:$I$1000,MATCH($B$156&amp;J159&amp;$F$156&amp;"SPUR2",TXRESULT!$C$1:$C$1000&amp;TXRESULT!$B$1:$B$1000&amp;TXRESULT!$H$1:$H$1000&amp;TXRESULT!$K$1:$K$1000,0),5)</f>
        <v>#N/A</v>
      </c>
      <c r="L167" s="146"/>
      <c r="M167" s="27" t="e">
        <f t="shared" si="11"/>
        <v>#N/A</v>
      </c>
      <c r="N167" s="27" t="str">
        <f t="shared" si="12"/>
        <v/>
      </c>
    </row>
    <row r="168" spans="1:14" x14ac:dyDescent="0.3">
      <c r="A168" s="116"/>
      <c r="B168" s="177"/>
      <c r="C168" s="178"/>
      <c r="D168" s="179"/>
      <c r="E168" s="119"/>
      <c r="F168" s="165"/>
      <c r="G168" s="126"/>
      <c r="H168" s="127"/>
      <c r="I168" s="128"/>
      <c r="J168" s="25" t="s">
        <v>179</v>
      </c>
      <c r="K168" s="27" t="e">
        <f t="array" ref="K168">INDEX(TXRESULT!$B$1:$I$1000,MATCH($B$156&amp;J160&amp;$F$156&amp;"SPUR2",TXRESULT!$C$1:$C$1000&amp;TXRESULT!$B$1:$B$1000&amp;TXRESULT!$H$1:$H$1000&amp;TXRESULT!$K$1:$K$1000,0),5)</f>
        <v>#N/A</v>
      </c>
      <c r="L168" s="146"/>
      <c r="M168" s="27" t="e">
        <f t="shared" si="11"/>
        <v>#N/A</v>
      </c>
      <c r="N168" s="27" t="str">
        <f t="shared" si="12"/>
        <v/>
      </c>
    </row>
    <row r="169" spans="1:14" x14ac:dyDescent="0.3">
      <c r="A169" s="116"/>
      <c r="B169" s="177"/>
      <c r="C169" s="178"/>
      <c r="D169" s="179"/>
      <c r="E169" s="119"/>
      <c r="F169" s="165"/>
      <c r="G169" s="126"/>
      <c r="H169" s="127"/>
      <c r="I169" s="128"/>
      <c r="J169" s="25" t="s">
        <v>180</v>
      </c>
      <c r="K169" s="27" t="e">
        <f t="array" ref="K169">INDEX(TXRESULT!$B$1:$I$1000,MATCH($B$156&amp;J161&amp;$F$156&amp;"SPUR2",TXRESULT!$C$1:$C$1000&amp;TXRESULT!$B$1:$B$1000&amp;TXRESULT!$H$1:$H$1000&amp;TXRESULT!$K$1:$K$1000,0),5)</f>
        <v>#N/A</v>
      </c>
      <c r="L169" s="146"/>
      <c r="M169" s="27" t="e">
        <f t="shared" si="11"/>
        <v>#N/A</v>
      </c>
      <c r="N169" s="27" t="str">
        <f t="shared" si="12"/>
        <v/>
      </c>
    </row>
    <row r="170" spans="1:14" x14ac:dyDescent="0.3">
      <c r="A170" s="116"/>
      <c r="B170" s="177"/>
      <c r="C170" s="178"/>
      <c r="D170" s="179"/>
      <c r="E170" s="119"/>
      <c r="F170" s="165"/>
      <c r="G170" s="126"/>
      <c r="H170" s="127"/>
      <c r="I170" s="128"/>
      <c r="J170" s="25" t="s">
        <v>181</v>
      </c>
      <c r="K170" s="27" t="e">
        <f t="array" ref="K170">INDEX(TXRESULT!$B$1:$I$1000,MATCH($B$156&amp;J162&amp;$F$156&amp;"SPUR2",TXRESULT!$C$1:$C$1000&amp;TXRESULT!$B$1:$B$1000&amp;TXRESULT!$H$1:$H$1000&amp;TXRESULT!$K$1:$K$1000,0),5)</f>
        <v>#N/A</v>
      </c>
      <c r="L170" s="146"/>
      <c r="M170" s="27" t="e">
        <f t="shared" si="11"/>
        <v>#N/A</v>
      </c>
      <c r="N170" s="27" t="str">
        <f t="shared" si="12"/>
        <v/>
      </c>
    </row>
    <row r="171" spans="1:14" x14ac:dyDescent="0.3">
      <c r="A171" s="116"/>
      <c r="B171" s="177"/>
      <c r="C171" s="178"/>
      <c r="D171" s="179"/>
      <c r="E171" s="120"/>
      <c r="F171" s="166"/>
      <c r="G171" s="129"/>
      <c r="H171" s="130"/>
      <c r="I171" s="131"/>
      <c r="J171" s="25" t="s">
        <v>182</v>
      </c>
      <c r="K171" s="27" t="e">
        <f t="array" ref="K171">INDEX(TXRESULT!$B$1:$I$1000,MATCH($B$156&amp;J163&amp;$F$156&amp;"SPUR2",TXRESULT!$C$1:$C$1000&amp;TXRESULT!$B$1:$B$1000&amp;TXRESULT!$H$1:$H$1000&amp;TXRESULT!$K$1:$K$1000,0),5)</f>
        <v>#N/A</v>
      </c>
      <c r="L171" s="147"/>
      <c r="M171" s="27" t="e">
        <f t="shared" si="11"/>
        <v>#N/A</v>
      </c>
      <c r="N171" s="27" t="str">
        <f t="shared" si="12"/>
        <v/>
      </c>
    </row>
    <row r="172" spans="1:14" ht="15.75" customHeight="1" x14ac:dyDescent="0.3">
      <c r="A172" s="116"/>
      <c r="B172" s="177"/>
      <c r="C172" s="178"/>
      <c r="D172" s="179"/>
      <c r="E172" s="132" t="s">
        <v>52</v>
      </c>
      <c r="F172" s="164" t="s">
        <v>53</v>
      </c>
      <c r="G172" s="123" t="s">
        <v>129</v>
      </c>
      <c r="H172" s="124"/>
      <c r="I172" s="125"/>
      <c r="J172" s="25" t="s">
        <v>175</v>
      </c>
      <c r="K172" s="27" t="e">
        <f t="array" ref="K172">INDEX(TXRESULT!$B$1:$I$1000,MATCH($B$156&amp;J156&amp;$F$156&amp;"SPUR3",TXRESULT!$C$1:$C$1000&amp;TXRESULT!$B$1:$B$1000&amp;TXRESULT!$H$1:$H$1000&amp;TXRESULT!$K$1:$K$1000,0),5)</f>
        <v>#N/A</v>
      </c>
      <c r="L172" s="145" t="s">
        <v>127</v>
      </c>
      <c r="M172" s="27" t="e">
        <f>IF(ISBLANK(K172),"",IF(AND(K172*1&lt;-36),"PASS","FAIL"))</f>
        <v>#N/A</v>
      </c>
      <c r="N172" s="27" t="str">
        <f t="shared" si="12"/>
        <v/>
      </c>
    </row>
    <row r="173" spans="1:14" x14ac:dyDescent="0.3">
      <c r="A173" s="116"/>
      <c r="B173" s="177"/>
      <c r="C173" s="178"/>
      <c r="D173" s="179"/>
      <c r="E173" s="119"/>
      <c r="F173" s="165"/>
      <c r="G173" s="126"/>
      <c r="H173" s="127"/>
      <c r="I173" s="128"/>
      <c r="J173" s="25" t="s">
        <v>176</v>
      </c>
      <c r="K173" s="27" t="e">
        <f t="array" ref="K173">INDEX(TXRESULT!$B$1:$I$1000,MATCH($B$156&amp;J157&amp;$F$156&amp;"SPUR3",TXRESULT!$C$1:$C$1000&amp;TXRESULT!$B$1:$B$1000&amp;TXRESULT!$H$1:$H$1000&amp;TXRESULT!$K$1:$K$1000,0),5)</f>
        <v>#N/A</v>
      </c>
      <c r="L173" s="146"/>
      <c r="M173" s="27" t="e">
        <f t="shared" si="11"/>
        <v>#N/A</v>
      </c>
      <c r="N173" s="27" t="str">
        <f t="shared" si="12"/>
        <v/>
      </c>
    </row>
    <row r="174" spans="1:14" x14ac:dyDescent="0.3">
      <c r="A174" s="116"/>
      <c r="B174" s="177"/>
      <c r="C174" s="178"/>
      <c r="D174" s="179"/>
      <c r="E174" s="119"/>
      <c r="F174" s="165"/>
      <c r="G174" s="126"/>
      <c r="H174" s="127"/>
      <c r="I174" s="128"/>
      <c r="J174" s="25" t="s">
        <v>177</v>
      </c>
      <c r="K174" s="27" t="e">
        <f t="array" ref="K174">INDEX(TXRESULT!$B$1:$I$1000,MATCH($B$156&amp;J158&amp;$F$156&amp;"SPUR3",TXRESULT!$C$1:$C$1000&amp;TXRESULT!$B$1:$B$1000&amp;TXRESULT!$H$1:$H$1000&amp;TXRESULT!$K$1:$K$1000,0),5)</f>
        <v>#N/A</v>
      </c>
      <c r="L174" s="146"/>
      <c r="M174" s="27" t="e">
        <f t="shared" si="11"/>
        <v>#N/A</v>
      </c>
      <c r="N174" s="27" t="str">
        <f t="shared" si="12"/>
        <v/>
      </c>
    </row>
    <row r="175" spans="1:14" x14ac:dyDescent="0.3">
      <c r="A175" s="116"/>
      <c r="B175" s="177"/>
      <c r="C175" s="178"/>
      <c r="D175" s="179"/>
      <c r="E175" s="119"/>
      <c r="F175" s="165"/>
      <c r="G175" s="126"/>
      <c r="H175" s="127"/>
      <c r="I175" s="128"/>
      <c r="J175" s="25" t="s">
        <v>178</v>
      </c>
      <c r="K175" s="27" t="e">
        <f t="array" ref="K175">INDEX(TXRESULT!$B$1:$I$1000,MATCH($B$156&amp;J159&amp;$F$156&amp;"SPUR3",TXRESULT!$C$1:$C$1000&amp;TXRESULT!$B$1:$B$1000&amp;TXRESULT!$H$1:$H$1000&amp;TXRESULT!$K$1:$K$1000,0),5)</f>
        <v>#N/A</v>
      </c>
      <c r="L175" s="146"/>
      <c r="M175" s="27" t="e">
        <f t="shared" si="11"/>
        <v>#N/A</v>
      </c>
      <c r="N175" s="27" t="str">
        <f t="shared" si="12"/>
        <v/>
      </c>
    </row>
    <row r="176" spans="1:14" x14ac:dyDescent="0.3">
      <c r="A176" s="116"/>
      <c r="B176" s="177"/>
      <c r="C176" s="178"/>
      <c r="D176" s="179"/>
      <c r="E176" s="119"/>
      <c r="F176" s="165"/>
      <c r="G176" s="126"/>
      <c r="H176" s="127"/>
      <c r="I176" s="128"/>
      <c r="J176" s="25" t="s">
        <v>179</v>
      </c>
      <c r="K176" s="27" t="e">
        <f t="array" ref="K176">INDEX(TXRESULT!$B$1:$I$1000,MATCH($B$156&amp;J160&amp;$F$156&amp;"SPUR3",TXRESULT!$C$1:$C$1000&amp;TXRESULT!$B$1:$B$1000&amp;TXRESULT!$H$1:$H$1000&amp;TXRESULT!$K$1:$K$1000,0),5)</f>
        <v>#N/A</v>
      </c>
      <c r="L176" s="146"/>
      <c r="M176" s="27" t="e">
        <f t="shared" si="11"/>
        <v>#N/A</v>
      </c>
      <c r="N176" s="27" t="str">
        <f t="shared" si="12"/>
        <v/>
      </c>
    </row>
    <row r="177" spans="1:14" x14ac:dyDescent="0.3">
      <c r="A177" s="116"/>
      <c r="B177" s="177"/>
      <c r="C177" s="178"/>
      <c r="D177" s="179"/>
      <c r="E177" s="119"/>
      <c r="F177" s="165"/>
      <c r="G177" s="126"/>
      <c r="H177" s="127"/>
      <c r="I177" s="128"/>
      <c r="J177" s="25" t="s">
        <v>180</v>
      </c>
      <c r="K177" s="27" t="e">
        <f t="array" ref="K177">INDEX(TXRESULT!$B$1:$I$1000,MATCH($B$156&amp;J161&amp;$F$156&amp;"SPUR3",TXRESULT!$C$1:$C$1000&amp;TXRESULT!$B$1:$B$1000&amp;TXRESULT!$H$1:$H$1000&amp;TXRESULT!$K$1:$K$1000,0),5)</f>
        <v>#N/A</v>
      </c>
      <c r="L177" s="146"/>
      <c r="M177" s="27" t="e">
        <f t="shared" si="11"/>
        <v>#N/A</v>
      </c>
      <c r="N177" s="27" t="str">
        <f t="shared" si="12"/>
        <v/>
      </c>
    </row>
    <row r="178" spans="1:14" x14ac:dyDescent="0.3">
      <c r="A178" s="116"/>
      <c r="B178" s="177"/>
      <c r="C178" s="178"/>
      <c r="D178" s="179"/>
      <c r="E178" s="119"/>
      <c r="F178" s="165"/>
      <c r="G178" s="126"/>
      <c r="H178" s="127"/>
      <c r="I178" s="128"/>
      <c r="J178" s="25" t="s">
        <v>181</v>
      </c>
      <c r="K178" s="27" t="e">
        <f t="array" ref="K178">INDEX(TXRESULT!$B$1:$I$1000,MATCH($B$156&amp;J162&amp;$F$156&amp;"SPUR3",TXRESULT!$C$1:$C$1000&amp;TXRESULT!$B$1:$B$1000&amp;TXRESULT!$H$1:$H$1000&amp;TXRESULT!$K$1:$K$1000,0),5)</f>
        <v>#N/A</v>
      </c>
      <c r="L178" s="146"/>
      <c r="M178" s="27" t="e">
        <f t="shared" si="11"/>
        <v>#N/A</v>
      </c>
      <c r="N178" s="27" t="str">
        <f t="shared" si="12"/>
        <v/>
      </c>
    </row>
    <row r="179" spans="1:14" x14ac:dyDescent="0.3">
      <c r="A179" s="116"/>
      <c r="B179" s="177"/>
      <c r="C179" s="178"/>
      <c r="D179" s="179"/>
      <c r="E179" s="120"/>
      <c r="F179" s="166"/>
      <c r="G179" s="129"/>
      <c r="H179" s="130"/>
      <c r="I179" s="131"/>
      <c r="J179" s="25" t="s">
        <v>182</v>
      </c>
      <c r="K179" s="27" t="e">
        <f t="array" ref="K179">INDEX(TXRESULT!$B$1:$I$1000,MATCH($B$156&amp;J163&amp;$F$156&amp;"SPUR3",TXRESULT!$C$1:$C$1000&amp;TXRESULT!$B$1:$B$1000&amp;TXRESULT!$H$1:$H$1000&amp;TXRESULT!$K$1:$K$1000,0),5)</f>
        <v>#N/A</v>
      </c>
      <c r="L179" s="147"/>
      <c r="M179" s="27" t="e">
        <f t="shared" si="11"/>
        <v>#N/A</v>
      </c>
      <c r="N179" s="27" t="str">
        <f t="shared" si="12"/>
        <v/>
      </c>
    </row>
    <row r="180" spans="1:14" ht="15.75" customHeight="1" x14ac:dyDescent="0.3">
      <c r="A180" s="116"/>
      <c r="B180" s="177"/>
      <c r="C180" s="178"/>
      <c r="D180" s="179"/>
      <c r="E180" s="132" t="s">
        <v>52</v>
      </c>
      <c r="F180" s="164" t="s">
        <v>53</v>
      </c>
      <c r="G180" s="123" t="s">
        <v>130</v>
      </c>
      <c r="H180" s="124"/>
      <c r="I180" s="125"/>
      <c r="J180" s="25" t="s">
        <v>175</v>
      </c>
      <c r="K180" s="27" t="e">
        <f t="array" ref="K180">INDEX(TXRESULT!$B$1:$I$1000,MATCH($B$156&amp;J156&amp;$F$156&amp;"SPUR4",TXRESULT!$C$1:$C$1000&amp;TXRESULT!$B$1:$B$1000&amp;TXRESULT!$H$1:$H$1000&amp;TXRESULT!$K$1:$K$1000,0),5)</f>
        <v>#N/A</v>
      </c>
      <c r="L180" s="145" t="s">
        <v>127</v>
      </c>
      <c r="M180" s="27" t="e">
        <f>IF(ISBLANK(K180),"",IF(AND(K180*1&lt;-30),"PASS","FAIL"))</f>
        <v>#N/A</v>
      </c>
      <c r="N180" s="27" t="str">
        <f t="shared" si="12"/>
        <v/>
      </c>
    </row>
    <row r="181" spans="1:14" x14ac:dyDescent="0.3">
      <c r="A181" s="116"/>
      <c r="B181" s="177"/>
      <c r="C181" s="178"/>
      <c r="D181" s="179"/>
      <c r="E181" s="119"/>
      <c r="F181" s="165"/>
      <c r="G181" s="126"/>
      <c r="H181" s="127"/>
      <c r="I181" s="128"/>
      <c r="J181" s="25" t="s">
        <v>176</v>
      </c>
      <c r="K181" s="27" t="e">
        <f t="array" ref="K181">INDEX(TXRESULT!$B$1:$I$1000,MATCH($B$156&amp;J157&amp;$F$156&amp;"SPUR4",TXRESULT!$C$1:$C$1000&amp;TXRESULT!$B$1:$B$1000&amp;TXRESULT!$H$1:$H$1000&amp;TXRESULT!$K$1:$K$1000,0),5)</f>
        <v>#N/A</v>
      </c>
      <c r="L181" s="146"/>
      <c r="M181" s="27" t="e">
        <f t="shared" ref="M181:M187" si="13">IF(ISBLANK(K181),"",IF(AND(K181*1&lt;-30),"PASS","FAIL"))</f>
        <v>#N/A</v>
      </c>
      <c r="N181" s="27" t="str">
        <f t="shared" si="12"/>
        <v/>
      </c>
    </row>
    <row r="182" spans="1:14" x14ac:dyDescent="0.3">
      <c r="A182" s="116"/>
      <c r="B182" s="177"/>
      <c r="C182" s="178"/>
      <c r="D182" s="179"/>
      <c r="E182" s="119"/>
      <c r="F182" s="165"/>
      <c r="G182" s="126"/>
      <c r="H182" s="127"/>
      <c r="I182" s="128"/>
      <c r="J182" s="25" t="s">
        <v>177</v>
      </c>
      <c r="K182" s="27" t="e">
        <f t="array" ref="K182">INDEX(TXRESULT!$B$1:$I$1000,MATCH($B$156&amp;J158&amp;$F$156&amp;"SPUR4",TXRESULT!$C$1:$C$1000&amp;TXRESULT!$B$1:$B$1000&amp;TXRESULT!$H$1:$H$1000&amp;TXRESULT!$K$1:$K$1000,0),5)</f>
        <v>#N/A</v>
      </c>
      <c r="L182" s="146"/>
      <c r="M182" s="27" t="e">
        <f t="shared" si="13"/>
        <v>#N/A</v>
      </c>
      <c r="N182" s="27" t="str">
        <f t="shared" si="12"/>
        <v/>
      </c>
    </row>
    <row r="183" spans="1:14" x14ac:dyDescent="0.3">
      <c r="A183" s="116"/>
      <c r="B183" s="177"/>
      <c r="C183" s="178"/>
      <c r="D183" s="179"/>
      <c r="E183" s="119"/>
      <c r="F183" s="165"/>
      <c r="G183" s="126"/>
      <c r="H183" s="127"/>
      <c r="I183" s="128"/>
      <c r="J183" s="25" t="s">
        <v>178</v>
      </c>
      <c r="K183" s="27" t="e">
        <f t="array" ref="K183">INDEX(TXRESULT!$B$1:$I$1000,MATCH($B$156&amp;J159&amp;$F$156&amp;"SPUR4",TXRESULT!$C$1:$C$1000&amp;TXRESULT!$B$1:$B$1000&amp;TXRESULT!$H$1:$H$1000&amp;TXRESULT!$K$1:$K$1000,0),5)</f>
        <v>#N/A</v>
      </c>
      <c r="L183" s="146"/>
      <c r="M183" s="27" t="e">
        <f t="shared" si="13"/>
        <v>#N/A</v>
      </c>
      <c r="N183" s="27" t="str">
        <f t="shared" si="12"/>
        <v/>
      </c>
    </row>
    <row r="184" spans="1:14" x14ac:dyDescent="0.3">
      <c r="A184" s="116"/>
      <c r="B184" s="177"/>
      <c r="C184" s="178"/>
      <c r="D184" s="179"/>
      <c r="E184" s="119"/>
      <c r="F184" s="165"/>
      <c r="G184" s="126"/>
      <c r="H184" s="127"/>
      <c r="I184" s="128"/>
      <c r="J184" s="25" t="s">
        <v>179</v>
      </c>
      <c r="K184" s="27" t="e">
        <f t="array" ref="K184">INDEX(TXRESULT!$B$1:$I$1000,MATCH($B$156&amp;J160&amp;$F$156&amp;"SPUR4",TXRESULT!$C$1:$C$1000&amp;TXRESULT!$B$1:$B$1000&amp;TXRESULT!$H$1:$H$1000&amp;TXRESULT!$K$1:$K$1000,0),5)</f>
        <v>#N/A</v>
      </c>
      <c r="L184" s="146"/>
      <c r="M184" s="27" t="e">
        <f t="shared" si="13"/>
        <v>#N/A</v>
      </c>
      <c r="N184" s="27" t="str">
        <f t="shared" si="12"/>
        <v/>
      </c>
    </row>
    <row r="185" spans="1:14" x14ac:dyDescent="0.3">
      <c r="A185" s="116"/>
      <c r="B185" s="177"/>
      <c r="C185" s="178"/>
      <c r="D185" s="179"/>
      <c r="E185" s="119"/>
      <c r="F185" s="165"/>
      <c r="G185" s="126"/>
      <c r="H185" s="127"/>
      <c r="I185" s="128"/>
      <c r="J185" s="25" t="s">
        <v>180</v>
      </c>
      <c r="K185" s="27" t="e">
        <f t="array" ref="K185">INDEX(TXRESULT!$B$1:$I$1000,MATCH($B$156&amp;J161&amp;$F$156&amp;"SPUR4",TXRESULT!$C$1:$C$1000&amp;TXRESULT!$B$1:$B$1000&amp;TXRESULT!$H$1:$H$1000&amp;TXRESULT!$K$1:$K$1000,0),5)</f>
        <v>#N/A</v>
      </c>
      <c r="L185" s="146"/>
      <c r="M185" s="27" t="e">
        <f t="shared" si="13"/>
        <v>#N/A</v>
      </c>
      <c r="N185" s="27" t="str">
        <f t="shared" si="12"/>
        <v/>
      </c>
    </row>
    <row r="186" spans="1:14" x14ac:dyDescent="0.3">
      <c r="A186" s="116"/>
      <c r="B186" s="177"/>
      <c r="C186" s="178"/>
      <c r="D186" s="179"/>
      <c r="E186" s="119"/>
      <c r="F186" s="165"/>
      <c r="G186" s="126"/>
      <c r="H186" s="127"/>
      <c r="I186" s="128"/>
      <c r="J186" s="25" t="s">
        <v>181</v>
      </c>
      <c r="K186" s="27" t="e">
        <f t="array" ref="K186">INDEX(TXRESULT!$B$1:$I$1000,MATCH($B$156&amp;J162&amp;$F$156&amp;"SPUR4",TXRESULT!$C$1:$C$1000&amp;TXRESULT!$B$1:$B$1000&amp;TXRESULT!$H$1:$H$1000&amp;TXRESULT!$K$1:$K$1000,0),5)</f>
        <v>#N/A</v>
      </c>
      <c r="L186" s="146"/>
      <c r="M186" s="27" t="e">
        <f t="shared" si="13"/>
        <v>#N/A</v>
      </c>
      <c r="N186" s="27" t="str">
        <f t="shared" si="12"/>
        <v/>
      </c>
    </row>
    <row r="187" spans="1:14" x14ac:dyDescent="0.3">
      <c r="A187" s="116"/>
      <c r="B187" s="177"/>
      <c r="C187" s="178"/>
      <c r="D187" s="179"/>
      <c r="E187" s="120"/>
      <c r="F187" s="166"/>
      <c r="G187" s="129"/>
      <c r="H187" s="130"/>
      <c r="I187" s="131"/>
      <c r="J187" s="25" t="s">
        <v>182</v>
      </c>
      <c r="K187" s="27" t="e">
        <f t="array" ref="K187">INDEX(TXRESULT!$B$1:$I$1000,MATCH($B$156&amp;J163&amp;$F$156&amp;"SPUR4",TXRESULT!$C$1:$C$1000&amp;TXRESULT!$B$1:$B$1000&amp;TXRESULT!$H$1:$H$1000&amp;TXRESULT!$K$1:$K$1000,0),5)</f>
        <v>#N/A</v>
      </c>
      <c r="L187" s="147"/>
      <c r="M187" s="27" t="e">
        <f t="shared" si="13"/>
        <v>#N/A</v>
      </c>
      <c r="N187" s="27" t="str">
        <f t="shared" si="12"/>
        <v/>
      </c>
    </row>
    <row r="188" spans="1:14" ht="15.75" customHeight="1" x14ac:dyDescent="0.3">
      <c r="A188" s="116"/>
      <c r="B188" s="177"/>
      <c r="C188" s="178"/>
      <c r="D188" s="179"/>
      <c r="E188" s="132" t="s">
        <v>52</v>
      </c>
      <c r="F188" s="164" t="s">
        <v>53</v>
      </c>
      <c r="G188" s="123" t="s">
        <v>131</v>
      </c>
      <c r="H188" s="124"/>
      <c r="I188" s="125"/>
      <c r="J188" s="25" t="s">
        <v>175</v>
      </c>
      <c r="K188" s="27" t="e">
        <f t="array" ref="K188">INDEX(TXRESULT!$B$1:$I$1000,MATCH($B$156&amp;J156&amp;$F$156&amp;"SPUR5",TXRESULT!$C$1:$C$1000&amp;TXRESULT!$B$1:$B$1000&amp;TXRESULT!$H$1:$H$1000&amp;TXRESULT!$K$1:$K$1000,0),5)</f>
        <v>#N/A</v>
      </c>
      <c r="L188" s="145" t="s">
        <v>127</v>
      </c>
      <c r="M188" s="27" t="e">
        <f>IF(ISBLANK(K188),"",IF(AND(K188*1&lt;-30),"PASS","FAIL"))</f>
        <v>#N/A</v>
      </c>
      <c r="N188" s="27" t="str">
        <f t="shared" si="12"/>
        <v/>
      </c>
    </row>
    <row r="189" spans="1:14" x14ac:dyDescent="0.3">
      <c r="A189" s="116"/>
      <c r="B189" s="177"/>
      <c r="C189" s="178"/>
      <c r="D189" s="179"/>
      <c r="E189" s="119"/>
      <c r="F189" s="165"/>
      <c r="G189" s="126"/>
      <c r="H189" s="127"/>
      <c r="I189" s="128"/>
      <c r="J189" s="25" t="s">
        <v>176</v>
      </c>
      <c r="K189" s="27" t="e">
        <f t="array" ref="K189">INDEX(TXRESULT!$B$1:$I$1000,MATCH($B$156&amp;J157&amp;$F$156&amp;"SPUR5",TXRESULT!$C$1:$C$1000&amp;TXRESULT!$B$1:$B$1000&amp;TXRESULT!$H$1:$H$1000&amp;TXRESULT!$K$1:$K$1000,0),5)</f>
        <v>#N/A</v>
      </c>
      <c r="L189" s="146"/>
      <c r="M189" s="27" t="e">
        <f t="shared" ref="M189:M195" si="14">IF(ISBLANK(K189),"",IF(AND(K189*1&lt;-30),"PASS","FAIL"))</f>
        <v>#N/A</v>
      </c>
      <c r="N189" s="27" t="str">
        <f t="shared" si="12"/>
        <v/>
      </c>
    </row>
    <row r="190" spans="1:14" x14ac:dyDescent="0.3">
      <c r="A190" s="116"/>
      <c r="B190" s="177"/>
      <c r="C190" s="178"/>
      <c r="D190" s="179"/>
      <c r="E190" s="119"/>
      <c r="F190" s="165"/>
      <c r="G190" s="126"/>
      <c r="H190" s="127"/>
      <c r="I190" s="128"/>
      <c r="J190" s="25" t="s">
        <v>177</v>
      </c>
      <c r="K190" s="27" t="e">
        <f t="array" ref="K190">INDEX(TXRESULT!$B$1:$I$1000,MATCH($B$156&amp;J158&amp;$F$156&amp;"SPUR5",TXRESULT!$C$1:$C$1000&amp;TXRESULT!$B$1:$B$1000&amp;TXRESULT!$H$1:$H$1000&amp;TXRESULT!$K$1:$K$1000,0),5)</f>
        <v>#N/A</v>
      </c>
      <c r="L190" s="146"/>
      <c r="M190" s="27" t="e">
        <f t="shared" si="14"/>
        <v>#N/A</v>
      </c>
      <c r="N190" s="27" t="str">
        <f t="shared" si="12"/>
        <v/>
      </c>
    </row>
    <row r="191" spans="1:14" x14ac:dyDescent="0.3">
      <c r="A191" s="116"/>
      <c r="B191" s="177"/>
      <c r="C191" s="178"/>
      <c r="D191" s="179"/>
      <c r="E191" s="119"/>
      <c r="F191" s="165"/>
      <c r="G191" s="126"/>
      <c r="H191" s="127"/>
      <c r="I191" s="128"/>
      <c r="J191" s="25" t="s">
        <v>178</v>
      </c>
      <c r="K191" s="27" t="e">
        <f t="array" ref="K191">INDEX(TXRESULT!$B$1:$I$1000,MATCH($B$156&amp;J159&amp;$F$156&amp;"SPUR5",TXRESULT!$C$1:$C$1000&amp;TXRESULT!$B$1:$B$1000&amp;TXRESULT!$H$1:$H$1000&amp;TXRESULT!$K$1:$K$1000,0),5)</f>
        <v>#N/A</v>
      </c>
      <c r="L191" s="146"/>
      <c r="M191" s="27" t="e">
        <f t="shared" si="14"/>
        <v>#N/A</v>
      </c>
      <c r="N191" s="27" t="str">
        <f t="shared" si="12"/>
        <v/>
      </c>
    </row>
    <row r="192" spans="1:14" x14ac:dyDescent="0.3">
      <c r="A192" s="116"/>
      <c r="B192" s="177"/>
      <c r="C192" s="178"/>
      <c r="D192" s="179"/>
      <c r="E192" s="119"/>
      <c r="F192" s="165"/>
      <c r="G192" s="126"/>
      <c r="H192" s="127"/>
      <c r="I192" s="128"/>
      <c r="J192" s="25" t="s">
        <v>179</v>
      </c>
      <c r="K192" s="27" t="e">
        <f t="array" ref="K192">INDEX(TXRESULT!$B$1:$I$1000,MATCH($B$156&amp;J160&amp;$F$156&amp;"SPUR5",TXRESULT!$C$1:$C$1000&amp;TXRESULT!$B$1:$B$1000&amp;TXRESULT!$H$1:$H$1000&amp;TXRESULT!$K$1:$K$1000,0),5)</f>
        <v>#N/A</v>
      </c>
      <c r="L192" s="146"/>
      <c r="M192" s="27" t="e">
        <f t="shared" si="14"/>
        <v>#N/A</v>
      </c>
      <c r="N192" s="27" t="str">
        <f t="shared" si="12"/>
        <v/>
      </c>
    </row>
    <row r="193" spans="1:14" x14ac:dyDescent="0.3">
      <c r="A193" s="116"/>
      <c r="B193" s="177"/>
      <c r="C193" s="178"/>
      <c r="D193" s="179"/>
      <c r="E193" s="119"/>
      <c r="F193" s="165"/>
      <c r="G193" s="126"/>
      <c r="H193" s="127"/>
      <c r="I193" s="128"/>
      <c r="J193" s="25" t="s">
        <v>180</v>
      </c>
      <c r="K193" s="27" t="e">
        <f t="array" ref="K193">INDEX(TXRESULT!$B$1:$I$1000,MATCH($B$156&amp;J161&amp;$F$156&amp;"SPUR5",TXRESULT!$C$1:$C$1000&amp;TXRESULT!$B$1:$B$1000&amp;TXRESULT!$H$1:$H$1000&amp;TXRESULT!$K$1:$K$1000,0),5)</f>
        <v>#N/A</v>
      </c>
      <c r="L193" s="146"/>
      <c r="M193" s="27" t="e">
        <f t="shared" si="14"/>
        <v>#N/A</v>
      </c>
      <c r="N193" s="27" t="str">
        <f t="shared" si="12"/>
        <v/>
      </c>
    </row>
    <row r="194" spans="1:14" x14ac:dyDescent="0.3">
      <c r="A194" s="116"/>
      <c r="B194" s="177"/>
      <c r="C194" s="178"/>
      <c r="D194" s="179"/>
      <c r="E194" s="119"/>
      <c r="F194" s="165"/>
      <c r="G194" s="126"/>
      <c r="H194" s="127"/>
      <c r="I194" s="128"/>
      <c r="J194" s="25" t="s">
        <v>181</v>
      </c>
      <c r="K194" s="27" t="e">
        <f t="array" ref="K194">INDEX(TXRESULT!$B$1:$I$1000,MATCH($B$156&amp;J162&amp;$F$156&amp;"SPUR5",TXRESULT!$C$1:$C$1000&amp;TXRESULT!$B$1:$B$1000&amp;TXRESULT!$H$1:$H$1000&amp;TXRESULT!$K$1:$K$1000,0),5)</f>
        <v>#N/A</v>
      </c>
      <c r="L194" s="146"/>
      <c r="M194" s="27" t="e">
        <f t="shared" si="14"/>
        <v>#N/A</v>
      </c>
      <c r="N194" s="27" t="str">
        <f t="shared" si="12"/>
        <v/>
      </c>
    </row>
    <row r="195" spans="1:14" x14ac:dyDescent="0.3">
      <c r="A195" s="117"/>
      <c r="B195" s="180"/>
      <c r="C195" s="181"/>
      <c r="D195" s="182"/>
      <c r="E195" s="120"/>
      <c r="F195" s="166"/>
      <c r="G195" s="129"/>
      <c r="H195" s="130"/>
      <c r="I195" s="131"/>
      <c r="J195" s="25" t="s">
        <v>182</v>
      </c>
      <c r="K195" s="27" t="e">
        <f t="array" ref="K195">INDEX(TXRESULT!$B$1:$I$1000,MATCH($B$156&amp;J163&amp;$F$156&amp;"SPUR5",TXRESULT!$C$1:$C$1000&amp;TXRESULT!$B$1:$B$1000&amp;TXRESULT!$H$1:$H$1000&amp;TXRESULT!$K$1:$K$1000,0),5)</f>
        <v>#N/A</v>
      </c>
      <c r="L195" s="147"/>
      <c r="M195" s="27" t="e">
        <f t="shared" si="14"/>
        <v>#N/A</v>
      </c>
      <c r="N195" s="27" t="str">
        <f t="shared" si="12"/>
        <v/>
      </c>
    </row>
    <row r="196" spans="1:14" ht="15.75" customHeight="1" x14ac:dyDescent="0.3">
      <c r="A196" s="115" t="s">
        <v>132</v>
      </c>
      <c r="B196" s="167" t="s">
        <v>133</v>
      </c>
      <c r="C196" s="168"/>
      <c r="D196" s="164" t="s">
        <v>256</v>
      </c>
      <c r="E196" s="132" t="s">
        <v>116</v>
      </c>
      <c r="F196" s="164" t="s">
        <v>53</v>
      </c>
      <c r="G196" s="25" t="s">
        <v>117</v>
      </c>
      <c r="H196" s="25" t="s">
        <v>117</v>
      </c>
      <c r="I196" s="25" t="s">
        <v>118</v>
      </c>
      <c r="J196" s="25" t="s">
        <v>175</v>
      </c>
      <c r="K196" s="27" t="e">
        <f>VLOOKUP($D$196&amp;J196&amp;$F$196,TXRESULT!$A$1:$I$1500,6,FALSE)</f>
        <v>#N/A</v>
      </c>
      <c r="L196" s="145" t="s">
        <v>134</v>
      </c>
      <c r="M196" s="27" t="e">
        <f>IF(ISBLANK(K196),"",IF(AND(K196*1&gt;H196*1,K196*1&lt;I196*1),"PASS","FAIL"))</f>
        <v>#N/A</v>
      </c>
      <c r="N196" s="27" t="str">
        <f t="shared" si="12"/>
        <v/>
      </c>
    </row>
    <row r="197" spans="1:14" x14ac:dyDescent="0.3">
      <c r="A197" s="116"/>
      <c r="B197" s="169"/>
      <c r="C197" s="170"/>
      <c r="D197" s="165"/>
      <c r="E197" s="119"/>
      <c r="F197" s="165"/>
      <c r="G197" s="25" t="str">
        <f>G196</f>
        <v>43.8</v>
      </c>
      <c r="H197" s="25" t="str">
        <f>H196</f>
        <v>43.8</v>
      </c>
      <c r="I197" s="25" t="s">
        <v>118</v>
      </c>
      <c r="J197" s="25" t="s">
        <v>176</v>
      </c>
      <c r="K197" s="27" t="e">
        <f>VLOOKUP($D$196&amp;J197&amp;$F$196,TXRESULT!$A$1:$I$1500,6,FALSE)</f>
        <v>#N/A</v>
      </c>
      <c r="L197" s="146"/>
      <c r="M197" s="27" t="e">
        <f t="shared" ref="M197:M203" si="15">IF(ISBLANK(K197),"",IF(AND(K197*1&gt;H197*1,K197*1&lt;I197*1),"PASS","FAIL"))</f>
        <v>#N/A</v>
      </c>
      <c r="N197" s="27" t="str">
        <f t="shared" si="12"/>
        <v/>
      </c>
    </row>
    <row r="198" spans="1:14" x14ac:dyDescent="0.3">
      <c r="A198" s="116"/>
      <c r="B198" s="169"/>
      <c r="C198" s="170"/>
      <c r="D198" s="165"/>
      <c r="E198" s="119"/>
      <c r="F198" s="165"/>
      <c r="G198" s="25" t="str">
        <f>G196</f>
        <v>43.8</v>
      </c>
      <c r="H198" s="25" t="str">
        <f>H196</f>
        <v>43.8</v>
      </c>
      <c r="I198" s="25" t="s">
        <v>118</v>
      </c>
      <c r="J198" s="25" t="s">
        <v>177</v>
      </c>
      <c r="K198" s="27" t="e">
        <f>VLOOKUP($D$196&amp;J198&amp;$F$196,TXRESULT!$A$1:$I$1500,6,FALSE)</f>
        <v>#N/A</v>
      </c>
      <c r="L198" s="146"/>
      <c r="M198" s="27" t="e">
        <f t="shared" si="15"/>
        <v>#N/A</v>
      </c>
      <c r="N198" s="27" t="str">
        <f t="shared" si="12"/>
        <v/>
      </c>
    </row>
    <row r="199" spans="1:14" x14ac:dyDescent="0.3">
      <c r="A199" s="116"/>
      <c r="B199" s="169"/>
      <c r="C199" s="170"/>
      <c r="D199" s="165"/>
      <c r="E199" s="119"/>
      <c r="F199" s="165"/>
      <c r="G199" s="25" t="str">
        <f>G196</f>
        <v>43.8</v>
      </c>
      <c r="H199" s="25" t="str">
        <f>H196</f>
        <v>43.8</v>
      </c>
      <c r="I199" s="25" t="s">
        <v>118</v>
      </c>
      <c r="J199" s="25" t="s">
        <v>178</v>
      </c>
      <c r="K199" s="27" t="e">
        <f>VLOOKUP($D$196&amp;J199&amp;$F$196,TXRESULT!$A$1:$I$1500,6,FALSE)</f>
        <v>#N/A</v>
      </c>
      <c r="L199" s="146"/>
      <c r="M199" s="27" t="e">
        <f t="shared" si="15"/>
        <v>#N/A</v>
      </c>
      <c r="N199" s="27" t="str">
        <f t="shared" si="12"/>
        <v/>
      </c>
    </row>
    <row r="200" spans="1:14" x14ac:dyDescent="0.3">
      <c r="A200" s="116"/>
      <c r="B200" s="169"/>
      <c r="C200" s="170"/>
      <c r="D200" s="165"/>
      <c r="E200" s="119"/>
      <c r="F200" s="165"/>
      <c r="G200" s="25" t="str">
        <f>G196</f>
        <v>43.8</v>
      </c>
      <c r="H200" s="25" t="str">
        <f>H196</f>
        <v>43.8</v>
      </c>
      <c r="I200" s="25" t="s">
        <v>118</v>
      </c>
      <c r="J200" s="25" t="s">
        <v>179</v>
      </c>
      <c r="K200" s="27" t="e">
        <f>VLOOKUP($D$196&amp;J200&amp;$F$196,TXRESULT!$A$1:$I$1500,6,FALSE)</f>
        <v>#N/A</v>
      </c>
      <c r="L200" s="146"/>
      <c r="M200" s="27" t="e">
        <f t="shared" si="15"/>
        <v>#N/A</v>
      </c>
      <c r="N200" s="27" t="str">
        <f t="shared" si="12"/>
        <v/>
      </c>
    </row>
    <row r="201" spans="1:14" x14ac:dyDescent="0.3">
      <c r="A201" s="116"/>
      <c r="B201" s="169"/>
      <c r="C201" s="170"/>
      <c r="D201" s="165"/>
      <c r="E201" s="119"/>
      <c r="F201" s="165"/>
      <c r="G201" s="25" t="str">
        <f>G196</f>
        <v>43.8</v>
      </c>
      <c r="H201" s="25" t="str">
        <f>H196</f>
        <v>43.8</v>
      </c>
      <c r="I201" s="25" t="s">
        <v>118</v>
      </c>
      <c r="J201" s="25" t="s">
        <v>180</v>
      </c>
      <c r="K201" s="27" t="e">
        <f>VLOOKUP($D$196&amp;J201&amp;$F$196,TXRESULT!$A$1:$I$1500,6,FALSE)</f>
        <v>#N/A</v>
      </c>
      <c r="L201" s="146"/>
      <c r="M201" s="27" t="e">
        <f t="shared" si="15"/>
        <v>#N/A</v>
      </c>
      <c r="N201" s="27" t="str">
        <f t="shared" si="12"/>
        <v/>
      </c>
    </row>
    <row r="202" spans="1:14" x14ac:dyDescent="0.3">
      <c r="A202" s="116"/>
      <c r="B202" s="169"/>
      <c r="C202" s="170"/>
      <c r="D202" s="165"/>
      <c r="E202" s="119"/>
      <c r="F202" s="165"/>
      <c r="G202" s="25" t="str">
        <f>G196</f>
        <v>43.8</v>
      </c>
      <c r="H202" s="25" t="str">
        <f>H196</f>
        <v>43.8</v>
      </c>
      <c r="I202" s="25" t="s">
        <v>118</v>
      </c>
      <c r="J202" s="25" t="s">
        <v>181</v>
      </c>
      <c r="K202" s="27" t="e">
        <f>VLOOKUP($D$196&amp;J202&amp;$F$196,TXRESULT!$A$1:$I$1500,6,FALSE)</f>
        <v>#N/A</v>
      </c>
      <c r="L202" s="146"/>
      <c r="M202" s="27" t="e">
        <f t="shared" si="15"/>
        <v>#N/A</v>
      </c>
      <c r="N202" s="27" t="str">
        <f t="shared" si="12"/>
        <v/>
      </c>
    </row>
    <row r="203" spans="1:14" x14ac:dyDescent="0.3">
      <c r="A203" s="116"/>
      <c r="B203" s="169"/>
      <c r="C203" s="170"/>
      <c r="D203" s="166"/>
      <c r="E203" s="120"/>
      <c r="F203" s="166"/>
      <c r="G203" s="25" t="str">
        <f>G196</f>
        <v>43.8</v>
      </c>
      <c r="H203" s="25" t="str">
        <f>H196</f>
        <v>43.8</v>
      </c>
      <c r="I203" s="25" t="s">
        <v>118</v>
      </c>
      <c r="J203" s="25" t="s">
        <v>182</v>
      </c>
      <c r="K203" s="27" t="e">
        <f>VLOOKUP($D$196&amp;J203&amp;$F$196,TXRESULT!$A$1:$I$1500,6,FALSE)</f>
        <v>#N/A</v>
      </c>
      <c r="L203" s="146"/>
      <c r="M203" s="27" t="e">
        <f t="shared" si="15"/>
        <v>#N/A</v>
      </c>
      <c r="N203" s="27" t="str">
        <f t="shared" si="12"/>
        <v/>
      </c>
    </row>
    <row r="204" spans="1:14" ht="15.75" customHeight="1" x14ac:dyDescent="0.3">
      <c r="A204" s="116"/>
      <c r="B204" s="169"/>
      <c r="C204" s="170"/>
      <c r="D204" s="164" t="s">
        <v>257</v>
      </c>
      <c r="E204" s="132" t="s">
        <v>52</v>
      </c>
      <c r="F204" s="164" t="s">
        <v>53</v>
      </c>
      <c r="G204" s="173" t="s">
        <v>121</v>
      </c>
      <c r="H204" s="124"/>
      <c r="I204" s="125"/>
      <c r="J204" s="25" t="s">
        <v>175</v>
      </c>
      <c r="K204" s="27" t="e">
        <f t="array" ref="K204">INDEX(TXRESULT!$B$1:$I$1000,MATCH($D$204&amp;J204&amp;$F$204&amp;"OBUE1",TXRESULT!$C$1:$C$1000&amp;TXRESULT!$B$1:$B$1000&amp;TXRESULT!$H$1:$H$1000&amp;TXRESULT!$K$1:$K$1000,0),5)</f>
        <v>#N/A</v>
      </c>
      <c r="L204" s="146"/>
      <c r="M204" s="27" t="e">
        <f>IF(ISBLANK(K204),"",IF(AND(K204*1&lt;-12.2),"PASS","FAIL"))</f>
        <v>#N/A</v>
      </c>
      <c r="N204" s="27" t="str">
        <f t="shared" si="12"/>
        <v/>
      </c>
    </row>
    <row r="205" spans="1:14" x14ac:dyDescent="0.3">
      <c r="A205" s="116"/>
      <c r="B205" s="169"/>
      <c r="C205" s="170"/>
      <c r="D205" s="165"/>
      <c r="E205" s="119"/>
      <c r="F205" s="165"/>
      <c r="G205" s="126"/>
      <c r="H205" s="127"/>
      <c r="I205" s="128"/>
      <c r="J205" s="25" t="s">
        <v>176</v>
      </c>
      <c r="K205" s="27" t="e">
        <f t="array" ref="K205">INDEX(TXRESULT!$B$1:$I$1000,MATCH($D$204&amp;J205&amp;$F$204&amp;"OBUE1",TXRESULT!$C$1:$C$1000&amp;TXRESULT!$B$1:$B$1000&amp;TXRESULT!$H$1:$H$1000&amp;TXRESULT!$K$1:$K$1000,0),5)</f>
        <v>#N/A</v>
      </c>
      <c r="L205" s="146"/>
      <c r="M205" s="27" t="e">
        <f t="shared" ref="M205:M219" si="16">IF(ISBLANK(K205),"",IF(AND(K205*1&lt;-12.2),"PASS","FAIL"))</f>
        <v>#N/A</v>
      </c>
      <c r="N205" s="27" t="str">
        <f t="shared" si="12"/>
        <v/>
      </c>
    </row>
    <row r="206" spans="1:14" x14ac:dyDescent="0.3">
      <c r="A206" s="116"/>
      <c r="B206" s="169"/>
      <c r="C206" s="170"/>
      <c r="D206" s="165"/>
      <c r="E206" s="119"/>
      <c r="F206" s="165"/>
      <c r="G206" s="126"/>
      <c r="H206" s="127"/>
      <c r="I206" s="128"/>
      <c r="J206" s="25" t="s">
        <v>177</v>
      </c>
      <c r="K206" s="27" t="e">
        <f t="array" ref="K206">INDEX(TXRESULT!$B$1:$I$1000,MATCH($D$204&amp;J206&amp;$F$204&amp;"OBUE1",TXRESULT!$C$1:$C$1000&amp;TXRESULT!$B$1:$B$1000&amp;TXRESULT!$H$1:$H$1000&amp;TXRESULT!$K$1:$K$1000,0),5)</f>
        <v>#N/A</v>
      </c>
      <c r="L206" s="146"/>
      <c r="M206" s="27" t="e">
        <f t="shared" si="16"/>
        <v>#N/A</v>
      </c>
      <c r="N206" s="27" t="str">
        <f t="shared" si="12"/>
        <v/>
      </c>
    </row>
    <row r="207" spans="1:14" x14ac:dyDescent="0.3">
      <c r="A207" s="116"/>
      <c r="B207" s="169"/>
      <c r="C207" s="170"/>
      <c r="D207" s="165"/>
      <c r="E207" s="119"/>
      <c r="F207" s="165"/>
      <c r="G207" s="126"/>
      <c r="H207" s="127"/>
      <c r="I207" s="128"/>
      <c r="J207" s="25" t="s">
        <v>178</v>
      </c>
      <c r="K207" s="27" t="e">
        <f t="array" ref="K207">INDEX(TXRESULT!$B$1:$I$1000,MATCH($D$204&amp;J207&amp;$F$204&amp;"OBUE1",TXRESULT!$C$1:$C$1000&amp;TXRESULT!$B$1:$B$1000&amp;TXRESULT!$H$1:$H$1000&amp;TXRESULT!$K$1:$K$1000,0),5)</f>
        <v>#N/A</v>
      </c>
      <c r="L207" s="146"/>
      <c r="M207" s="27" t="e">
        <f t="shared" si="16"/>
        <v>#N/A</v>
      </c>
      <c r="N207" s="27" t="str">
        <f t="shared" si="12"/>
        <v/>
      </c>
    </row>
    <row r="208" spans="1:14" x14ac:dyDescent="0.3">
      <c r="A208" s="116"/>
      <c r="B208" s="169"/>
      <c r="C208" s="170"/>
      <c r="D208" s="165"/>
      <c r="E208" s="119"/>
      <c r="F208" s="165"/>
      <c r="G208" s="126"/>
      <c r="H208" s="127"/>
      <c r="I208" s="128"/>
      <c r="J208" s="25" t="s">
        <v>179</v>
      </c>
      <c r="K208" s="27" t="e">
        <f t="array" ref="K208">INDEX(TXRESULT!$B$1:$I$1000,MATCH($D$204&amp;J208&amp;$F$204&amp;"OBUE1",TXRESULT!$C$1:$C$1000&amp;TXRESULT!$B$1:$B$1000&amp;TXRESULT!$H$1:$H$1000&amp;TXRESULT!$K$1:$K$1000,0),5)</f>
        <v>#N/A</v>
      </c>
      <c r="L208" s="146"/>
      <c r="M208" s="27" t="e">
        <f t="shared" si="16"/>
        <v>#N/A</v>
      </c>
      <c r="N208" s="27" t="str">
        <f t="shared" si="12"/>
        <v/>
      </c>
    </row>
    <row r="209" spans="1:14" x14ac:dyDescent="0.3">
      <c r="A209" s="116"/>
      <c r="B209" s="169"/>
      <c r="C209" s="170"/>
      <c r="D209" s="165"/>
      <c r="E209" s="119"/>
      <c r="F209" s="165"/>
      <c r="G209" s="126"/>
      <c r="H209" s="127"/>
      <c r="I209" s="128"/>
      <c r="J209" s="25" t="s">
        <v>180</v>
      </c>
      <c r="K209" s="27" t="e">
        <f t="array" ref="K209">INDEX(TXRESULT!$B$1:$I$1000,MATCH($D$204&amp;J209&amp;$F$204&amp;"OBUE1",TXRESULT!$C$1:$C$1000&amp;TXRESULT!$B$1:$B$1000&amp;TXRESULT!$H$1:$H$1000&amp;TXRESULT!$K$1:$K$1000,0),5)</f>
        <v>#N/A</v>
      </c>
      <c r="L209" s="146"/>
      <c r="M209" s="27" t="e">
        <f t="shared" si="16"/>
        <v>#N/A</v>
      </c>
      <c r="N209" s="27" t="str">
        <f t="shared" si="12"/>
        <v/>
      </c>
    </row>
    <row r="210" spans="1:14" x14ac:dyDescent="0.3">
      <c r="A210" s="116"/>
      <c r="B210" s="169"/>
      <c r="C210" s="170"/>
      <c r="D210" s="165"/>
      <c r="E210" s="119"/>
      <c r="F210" s="165"/>
      <c r="G210" s="126"/>
      <c r="H210" s="127"/>
      <c r="I210" s="128"/>
      <c r="J210" s="25" t="s">
        <v>181</v>
      </c>
      <c r="K210" s="27" t="e">
        <f t="array" ref="K210">INDEX(TXRESULT!$B$1:$I$1000,MATCH($D$204&amp;J210&amp;$F$204&amp;"OBUE1",TXRESULT!$C$1:$C$1000&amp;TXRESULT!$B$1:$B$1000&amp;TXRESULT!$H$1:$H$1000&amp;TXRESULT!$K$1:$K$1000,0),5)</f>
        <v>#N/A</v>
      </c>
      <c r="L210" s="146"/>
      <c r="M210" s="27" t="e">
        <f t="shared" si="16"/>
        <v>#N/A</v>
      </c>
      <c r="N210" s="27" t="str">
        <f t="shared" si="12"/>
        <v/>
      </c>
    </row>
    <row r="211" spans="1:14" x14ac:dyDescent="0.3">
      <c r="A211" s="116"/>
      <c r="B211" s="169"/>
      <c r="C211" s="170"/>
      <c r="D211" s="165"/>
      <c r="E211" s="120"/>
      <c r="F211" s="166"/>
      <c r="G211" s="129"/>
      <c r="H211" s="130"/>
      <c r="I211" s="131"/>
      <c r="J211" s="25" t="s">
        <v>182</v>
      </c>
      <c r="K211" s="27" t="e">
        <f t="array" ref="K211">INDEX(TXRESULT!$B$1:$I$1000,MATCH($D$204&amp;J211&amp;$F$204&amp;"OBUE1",TXRESULT!$C$1:$C$1000&amp;TXRESULT!$B$1:$B$1000&amp;TXRESULT!$H$1:$H$1000&amp;TXRESULT!$K$1:$K$1000,0),5)</f>
        <v>#N/A</v>
      </c>
      <c r="L211" s="146"/>
      <c r="M211" s="27" t="e">
        <f t="shared" si="16"/>
        <v>#N/A</v>
      </c>
      <c r="N211" s="27" t="str">
        <f t="shared" si="12"/>
        <v/>
      </c>
    </row>
    <row r="212" spans="1:14" x14ac:dyDescent="0.3">
      <c r="A212" s="116"/>
      <c r="B212" s="169"/>
      <c r="C212" s="170"/>
      <c r="D212" s="165"/>
      <c r="E212" s="132" t="s">
        <v>52</v>
      </c>
      <c r="F212" s="164" t="s">
        <v>53</v>
      </c>
      <c r="G212" s="173" t="s">
        <v>123</v>
      </c>
      <c r="H212" s="124"/>
      <c r="I212" s="125"/>
      <c r="J212" s="25" t="s">
        <v>175</v>
      </c>
      <c r="K212" s="27" t="e">
        <f t="array" ref="K212">INDEX(TXRESULT!$B$1:$I$1000,MATCH($D$204&amp;J211&amp;$F$212&amp;"OBUE2",TXRESULT!$C$1:$C$1000&amp;TXRESULT!$B$1:$B$1000&amp;TXRESULT!$H$1:$H$1000&amp;TXRESULT!$K$1:$K$1000,0),5)</f>
        <v>#N/A</v>
      </c>
      <c r="L212" s="146"/>
      <c r="M212" s="27" t="e">
        <f t="shared" si="16"/>
        <v>#N/A</v>
      </c>
      <c r="N212" s="27" t="str">
        <f t="shared" si="12"/>
        <v/>
      </c>
    </row>
    <row r="213" spans="1:14" x14ac:dyDescent="0.3">
      <c r="A213" s="116"/>
      <c r="B213" s="169"/>
      <c r="C213" s="170"/>
      <c r="D213" s="165"/>
      <c r="E213" s="119"/>
      <c r="F213" s="165"/>
      <c r="G213" s="126"/>
      <c r="H213" s="127"/>
      <c r="I213" s="128"/>
      <c r="J213" s="25" t="s">
        <v>176</v>
      </c>
      <c r="K213" s="27" t="e">
        <f t="array" ref="K213">INDEX(TXRESULT!$B$1:$I$1000,MATCH($D$204&amp;J212&amp;$F$212&amp;"OBUE2",TXRESULT!$C$1:$C$1000&amp;TXRESULT!$B$1:$B$1000&amp;TXRESULT!$H$1:$H$1000&amp;TXRESULT!$K$1:$K$1000,0),5)</f>
        <v>#N/A</v>
      </c>
      <c r="L213" s="146"/>
      <c r="M213" s="27" t="e">
        <f t="shared" si="16"/>
        <v>#N/A</v>
      </c>
      <c r="N213" s="27" t="str">
        <f t="shared" si="12"/>
        <v/>
      </c>
    </row>
    <row r="214" spans="1:14" x14ac:dyDescent="0.3">
      <c r="A214" s="116"/>
      <c r="B214" s="169"/>
      <c r="C214" s="170"/>
      <c r="D214" s="165"/>
      <c r="E214" s="119"/>
      <c r="F214" s="165"/>
      <c r="G214" s="126"/>
      <c r="H214" s="127"/>
      <c r="I214" s="128"/>
      <c r="J214" s="25" t="s">
        <v>177</v>
      </c>
      <c r="K214" s="27" t="e">
        <f t="array" ref="K214">INDEX(TXRESULT!$B$1:$I$1000,MATCH($D$204&amp;J213&amp;$F$212&amp;"OBUE2",TXRESULT!$C$1:$C$1000&amp;TXRESULT!$B$1:$B$1000&amp;TXRESULT!$H$1:$H$1000&amp;TXRESULT!$K$1:$K$1000,0),5)</f>
        <v>#N/A</v>
      </c>
      <c r="L214" s="146"/>
      <c r="M214" s="27" t="e">
        <f t="shared" si="16"/>
        <v>#N/A</v>
      </c>
      <c r="N214" s="27" t="str">
        <f t="shared" si="12"/>
        <v/>
      </c>
    </row>
    <row r="215" spans="1:14" x14ac:dyDescent="0.3">
      <c r="A215" s="116"/>
      <c r="B215" s="169"/>
      <c r="C215" s="170"/>
      <c r="D215" s="165"/>
      <c r="E215" s="119"/>
      <c r="F215" s="165"/>
      <c r="G215" s="126"/>
      <c r="H215" s="127"/>
      <c r="I215" s="128"/>
      <c r="J215" s="25" t="s">
        <v>178</v>
      </c>
      <c r="K215" s="27" t="e">
        <f t="array" ref="K215">INDEX(TXRESULT!$B$1:$I$1000,MATCH($D$204&amp;J214&amp;$F$212&amp;"OBUE2",TXRESULT!$C$1:$C$1000&amp;TXRESULT!$B$1:$B$1000&amp;TXRESULT!$H$1:$H$1000&amp;TXRESULT!$K$1:$K$1000,0),5)</f>
        <v>#N/A</v>
      </c>
      <c r="L215" s="146"/>
      <c r="M215" s="27" t="e">
        <f t="shared" si="16"/>
        <v>#N/A</v>
      </c>
      <c r="N215" s="27" t="str">
        <f t="shared" si="12"/>
        <v/>
      </c>
    </row>
    <row r="216" spans="1:14" x14ac:dyDescent="0.3">
      <c r="A216" s="116"/>
      <c r="B216" s="169"/>
      <c r="C216" s="170"/>
      <c r="D216" s="165"/>
      <c r="E216" s="119"/>
      <c r="F216" s="165"/>
      <c r="G216" s="126"/>
      <c r="H216" s="127"/>
      <c r="I216" s="128"/>
      <c r="J216" s="25" t="s">
        <v>179</v>
      </c>
      <c r="K216" s="27" t="e">
        <f t="array" ref="K216">INDEX(TXRESULT!$B$1:$I$1000,MATCH($D$204&amp;J215&amp;$F$212&amp;"OBUE2",TXRESULT!$C$1:$C$1000&amp;TXRESULT!$B$1:$B$1000&amp;TXRESULT!$H$1:$H$1000&amp;TXRESULT!$K$1:$K$1000,0),5)</f>
        <v>#N/A</v>
      </c>
      <c r="L216" s="146"/>
      <c r="M216" s="27" t="e">
        <f t="shared" si="16"/>
        <v>#N/A</v>
      </c>
      <c r="N216" s="27" t="str">
        <f t="shared" si="12"/>
        <v/>
      </c>
    </row>
    <row r="217" spans="1:14" x14ac:dyDescent="0.3">
      <c r="A217" s="116"/>
      <c r="B217" s="169"/>
      <c r="C217" s="170"/>
      <c r="D217" s="165"/>
      <c r="E217" s="119"/>
      <c r="F217" s="165"/>
      <c r="G217" s="126"/>
      <c r="H217" s="127"/>
      <c r="I217" s="128"/>
      <c r="J217" s="25" t="s">
        <v>180</v>
      </c>
      <c r="K217" s="27" t="e">
        <f t="array" ref="K217">INDEX(TXRESULT!$B$1:$I$1000,MATCH($D$204&amp;J216&amp;$F$212&amp;"OBUE2",TXRESULT!$C$1:$C$1000&amp;TXRESULT!$B$1:$B$1000&amp;TXRESULT!$H$1:$H$1000&amp;TXRESULT!$K$1:$K$1000,0),5)</f>
        <v>#N/A</v>
      </c>
      <c r="L217" s="146"/>
      <c r="M217" s="27" t="e">
        <f t="shared" si="16"/>
        <v>#N/A</v>
      </c>
      <c r="N217" s="27" t="str">
        <f t="shared" si="12"/>
        <v/>
      </c>
    </row>
    <row r="218" spans="1:14" x14ac:dyDescent="0.3">
      <c r="A218" s="116"/>
      <c r="B218" s="169"/>
      <c r="C218" s="170"/>
      <c r="D218" s="165"/>
      <c r="E218" s="119"/>
      <c r="F218" s="165"/>
      <c r="G218" s="126"/>
      <c r="H218" s="127"/>
      <c r="I218" s="128"/>
      <c r="J218" s="25" t="s">
        <v>181</v>
      </c>
      <c r="K218" s="27" t="e">
        <f t="array" ref="K218">INDEX(TXRESULT!$B$1:$I$1000,MATCH($D$204&amp;J217&amp;$F$212&amp;"OBUE2",TXRESULT!$C$1:$C$1000&amp;TXRESULT!$B$1:$B$1000&amp;TXRESULT!$H$1:$H$1000&amp;TXRESULT!$K$1:$K$1000,0),5)</f>
        <v>#N/A</v>
      </c>
      <c r="L218" s="146"/>
      <c r="M218" s="27" t="e">
        <f t="shared" si="16"/>
        <v>#N/A</v>
      </c>
      <c r="N218" s="27" t="str">
        <f t="shared" si="12"/>
        <v/>
      </c>
    </row>
    <row r="219" spans="1:14" x14ac:dyDescent="0.3">
      <c r="A219" s="116"/>
      <c r="B219" s="169"/>
      <c r="C219" s="170"/>
      <c r="D219" s="165"/>
      <c r="E219" s="120"/>
      <c r="F219" s="166"/>
      <c r="G219" s="129"/>
      <c r="H219" s="130"/>
      <c r="I219" s="131"/>
      <c r="J219" s="25" t="s">
        <v>182</v>
      </c>
      <c r="K219" s="27" t="e">
        <f t="array" ref="K219">INDEX(TXRESULT!$B$1:$I$1000,MATCH($D$204&amp;J218&amp;$F$212&amp;"OBUE2",TXRESULT!$C$1:$C$1000&amp;TXRESULT!$B$1:$B$1000&amp;TXRESULT!$H$1:$H$1000&amp;TXRESULT!$K$1:$K$1000,0),5)</f>
        <v>#N/A</v>
      </c>
      <c r="L219" s="146"/>
      <c r="M219" s="27" t="e">
        <f t="shared" si="16"/>
        <v>#N/A</v>
      </c>
      <c r="N219" s="27" t="str">
        <f t="shared" si="12"/>
        <v/>
      </c>
    </row>
    <row r="220" spans="1:14" x14ac:dyDescent="0.3">
      <c r="A220" s="116"/>
      <c r="B220" s="169"/>
      <c r="C220" s="170"/>
      <c r="D220" s="165"/>
      <c r="E220" s="132" t="s">
        <v>52</v>
      </c>
      <c r="F220" s="164" t="s">
        <v>53</v>
      </c>
      <c r="G220" s="173" t="s">
        <v>124</v>
      </c>
      <c r="H220" s="124"/>
      <c r="I220" s="125"/>
      <c r="J220" s="25" t="s">
        <v>175</v>
      </c>
      <c r="K220" s="27" t="e">
        <f t="array" ref="K220">INDEX(TXRESULT!$B$1:$I$1000,MATCH($D$204&amp;J220&amp;$F$220&amp;"OBUE1",TXRESULT!$C$1:$C$1000&amp;TXRESULT!$B$1:$B$1000&amp;TXRESULT!$H$1:$H$1000&amp;TXRESULT!$K$1:$K$1000,0),5)</f>
        <v>#N/A</v>
      </c>
      <c r="L220" s="146"/>
      <c r="M220" s="27" t="e">
        <f>IF(ISBLANK(K220),"",IF(AND(K220*1&lt;-15),"PASS","FAIL"))</f>
        <v>#N/A</v>
      </c>
      <c r="N220" s="27" t="str">
        <f t="shared" si="12"/>
        <v/>
      </c>
    </row>
    <row r="221" spans="1:14" x14ac:dyDescent="0.3">
      <c r="A221" s="116"/>
      <c r="B221" s="169"/>
      <c r="C221" s="170"/>
      <c r="D221" s="165"/>
      <c r="E221" s="119"/>
      <c r="F221" s="165"/>
      <c r="G221" s="126"/>
      <c r="H221" s="127"/>
      <c r="I221" s="128"/>
      <c r="J221" s="25" t="s">
        <v>176</v>
      </c>
      <c r="K221" s="27" t="e">
        <f t="array" ref="K221">INDEX(TXRESULT!$B$1:$I$1000,MATCH($D$204&amp;J221&amp;$F$220&amp;"OBUE1",TXRESULT!$C$1:$C$1000&amp;TXRESULT!$B$1:$B$1000&amp;TXRESULT!$H$1:$H$1000&amp;TXRESULT!$K$1:$K$1000,0),5)</f>
        <v>#N/A</v>
      </c>
      <c r="L221" s="146"/>
      <c r="M221" s="27" t="e">
        <f t="shared" ref="M221:M227" si="17">IF(ISBLANK(K221),"",IF(AND(K221*1&lt;-15),"PASS","FAIL"))</f>
        <v>#N/A</v>
      </c>
      <c r="N221" s="27" t="str">
        <f t="shared" si="12"/>
        <v/>
      </c>
    </row>
    <row r="222" spans="1:14" x14ac:dyDescent="0.3">
      <c r="A222" s="116"/>
      <c r="B222" s="169"/>
      <c r="C222" s="170"/>
      <c r="D222" s="165"/>
      <c r="E222" s="119"/>
      <c r="F222" s="165"/>
      <c r="G222" s="126"/>
      <c r="H222" s="127"/>
      <c r="I222" s="128"/>
      <c r="J222" s="25" t="s">
        <v>177</v>
      </c>
      <c r="K222" s="27" t="e">
        <f t="array" ref="K222">INDEX(TXRESULT!$B$1:$I$1000,MATCH($D$204&amp;J222&amp;$F$220&amp;"OBUE1",TXRESULT!$C$1:$C$1000&amp;TXRESULT!$B$1:$B$1000&amp;TXRESULT!$H$1:$H$1000&amp;TXRESULT!$K$1:$K$1000,0),5)</f>
        <v>#N/A</v>
      </c>
      <c r="L222" s="146"/>
      <c r="M222" s="27" t="e">
        <f t="shared" si="17"/>
        <v>#N/A</v>
      </c>
      <c r="N222" s="27" t="str">
        <f t="shared" si="12"/>
        <v/>
      </c>
    </row>
    <row r="223" spans="1:14" x14ac:dyDescent="0.3">
      <c r="A223" s="116"/>
      <c r="B223" s="169"/>
      <c r="C223" s="170"/>
      <c r="D223" s="165"/>
      <c r="E223" s="119"/>
      <c r="F223" s="165"/>
      <c r="G223" s="126"/>
      <c r="H223" s="127"/>
      <c r="I223" s="128"/>
      <c r="J223" s="25" t="s">
        <v>178</v>
      </c>
      <c r="K223" s="27" t="e">
        <f t="array" ref="K223">INDEX(TXRESULT!$B$1:$I$1000,MATCH($D$204&amp;J223&amp;$F$220&amp;"OBUE1",TXRESULT!$C$1:$C$1000&amp;TXRESULT!$B$1:$B$1000&amp;TXRESULT!$H$1:$H$1000&amp;TXRESULT!$K$1:$K$1000,0),5)</f>
        <v>#N/A</v>
      </c>
      <c r="L223" s="146"/>
      <c r="M223" s="27" t="e">
        <f t="shared" si="17"/>
        <v>#N/A</v>
      </c>
      <c r="N223" s="27" t="str">
        <f t="shared" si="12"/>
        <v/>
      </c>
    </row>
    <row r="224" spans="1:14" x14ac:dyDescent="0.3">
      <c r="A224" s="116"/>
      <c r="B224" s="169"/>
      <c r="C224" s="170"/>
      <c r="D224" s="165"/>
      <c r="E224" s="119"/>
      <c r="F224" s="165"/>
      <c r="G224" s="126"/>
      <c r="H224" s="127"/>
      <c r="I224" s="128"/>
      <c r="J224" s="25" t="s">
        <v>179</v>
      </c>
      <c r="K224" s="27" t="e">
        <f t="array" ref="K224">INDEX(TXRESULT!$B$1:$I$1000,MATCH($D$204&amp;J224&amp;$F$220&amp;"OBUE1",TXRESULT!$C$1:$C$1000&amp;TXRESULT!$B$1:$B$1000&amp;TXRESULT!$H$1:$H$1000&amp;TXRESULT!$K$1:$K$1000,0),5)</f>
        <v>#N/A</v>
      </c>
      <c r="L224" s="146"/>
      <c r="M224" s="27" t="e">
        <f t="shared" si="17"/>
        <v>#N/A</v>
      </c>
      <c r="N224" s="27" t="str">
        <f t="shared" si="12"/>
        <v/>
      </c>
    </row>
    <row r="225" spans="1:14" x14ac:dyDescent="0.3">
      <c r="A225" s="116"/>
      <c r="B225" s="169"/>
      <c r="C225" s="170"/>
      <c r="D225" s="165"/>
      <c r="E225" s="119"/>
      <c r="F225" s="165"/>
      <c r="G225" s="126"/>
      <c r="H225" s="127"/>
      <c r="I225" s="128"/>
      <c r="J225" s="25" t="s">
        <v>180</v>
      </c>
      <c r="K225" s="27" t="e">
        <f t="array" ref="K225">INDEX(TXRESULT!$B$1:$I$1000,MATCH($D$204&amp;J225&amp;$F$220&amp;"OBUE1",TXRESULT!$C$1:$C$1000&amp;TXRESULT!$B$1:$B$1000&amp;TXRESULT!$H$1:$H$1000&amp;TXRESULT!$K$1:$K$1000,0),5)</f>
        <v>#N/A</v>
      </c>
      <c r="L225" s="146"/>
      <c r="M225" s="27" t="e">
        <f t="shared" si="17"/>
        <v>#N/A</v>
      </c>
      <c r="N225" s="27" t="str">
        <f t="shared" si="12"/>
        <v/>
      </c>
    </row>
    <row r="226" spans="1:14" x14ac:dyDescent="0.3">
      <c r="A226" s="116"/>
      <c r="B226" s="169"/>
      <c r="C226" s="170"/>
      <c r="D226" s="165"/>
      <c r="E226" s="119"/>
      <c r="F226" s="165"/>
      <c r="G226" s="126"/>
      <c r="H226" s="127"/>
      <c r="I226" s="128"/>
      <c r="J226" s="25" t="s">
        <v>181</v>
      </c>
      <c r="K226" s="27" t="e">
        <f t="array" ref="K226">INDEX(TXRESULT!$B$1:$I$1000,MATCH($D$204&amp;J226&amp;$F$220&amp;"OBUE1",TXRESULT!$C$1:$C$1000&amp;TXRESULT!$B$1:$B$1000&amp;TXRESULT!$H$1:$H$1000&amp;TXRESULT!$K$1:$K$1000,0),5)</f>
        <v>#N/A</v>
      </c>
      <c r="L226" s="146"/>
      <c r="M226" s="27" t="e">
        <f t="shared" si="17"/>
        <v>#N/A</v>
      </c>
      <c r="N226" s="27" t="str">
        <f t="shared" si="12"/>
        <v/>
      </c>
    </row>
    <row r="227" spans="1:14" x14ac:dyDescent="0.3">
      <c r="A227" s="116"/>
      <c r="B227" s="169"/>
      <c r="C227" s="170"/>
      <c r="D227" s="166"/>
      <c r="E227" s="120"/>
      <c r="F227" s="166"/>
      <c r="G227" s="129"/>
      <c r="H227" s="130"/>
      <c r="I227" s="131"/>
      <c r="J227" s="25" t="s">
        <v>182</v>
      </c>
      <c r="K227" s="27" t="e">
        <f t="array" ref="K227">INDEX(TXRESULT!$B$1:$I$1000,MATCH($D$204&amp;J227&amp;$F$220&amp;"OBUE1",TXRESULT!$C$1:$C$1000&amp;TXRESULT!$B$1:$B$1000&amp;TXRESULT!$H$1:$H$1000&amp;TXRESULT!$K$1:$K$1000,0),5)</f>
        <v>#N/A</v>
      </c>
      <c r="L227" s="146"/>
      <c r="M227" s="27" t="e">
        <f t="shared" si="17"/>
        <v>#N/A</v>
      </c>
      <c r="N227" s="27" t="str">
        <f t="shared" si="12"/>
        <v/>
      </c>
    </row>
    <row r="228" spans="1:14" ht="15.75" customHeight="1" x14ac:dyDescent="0.3">
      <c r="A228" s="116"/>
      <c r="B228" s="169"/>
      <c r="C228" s="170"/>
      <c r="D228" s="164" t="s">
        <v>261</v>
      </c>
      <c r="E228" s="132" t="s">
        <v>52</v>
      </c>
      <c r="F228" s="164" t="s">
        <v>53</v>
      </c>
      <c r="G228" s="123" t="s">
        <v>126</v>
      </c>
      <c r="H228" s="124"/>
      <c r="I228" s="125"/>
      <c r="J228" s="25" t="s">
        <v>175</v>
      </c>
      <c r="K228" s="27" t="e">
        <f t="array" ref="K228">INDEX(TXRESULT!$B$1:$I$1000,MATCH($D$228&amp;J228&amp;$F$228&amp;"SPUR1",TXRESULT!$C$1:$C$1000&amp;TXRESULT!$B$1:$B$1000&amp;TXRESULT!$H$1:$H$1000&amp;TXRESULT!$K$1:$K$1000,0),5)</f>
        <v>#N/A</v>
      </c>
      <c r="L228" s="146"/>
      <c r="M228" s="27" t="e">
        <f>IF(ISBLANK(K228),"",IF(AND(K228*1&lt;-36),"PASS","FAIL"))</f>
        <v>#N/A</v>
      </c>
      <c r="N228" s="27" t="str">
        <f t="shared" si="12"/>
        <v/>
      </c>
    </row>
    <row r="229" spans="1:14" x14ac:dyDescent="0.3">
      <c r="A229" s="116"/>
      <c r="B229" s="169"/>
      <c r="C229" s="170"/>
      <c r="D229" s="165"/>
      <c r="E229" s="119"/>
      <c r="F229" s="165"/>
      <c r="G229" s="126"/>
      <c r="H229" s="127"/>
      <c r="I229" s="128"/>
      <c r="J229" s="25" t="s">
        <v>176</v>
      </c>
      <c r="K229" s="27" t="e">
        <f t="array" ref="K229">INDEX(TXRESULT!$B$1:$I$1000,MATCH($D$228&amp;J229&amp;$F$228&amp;"SPUR1",TXRESULT!$C$1:$C$1000&amp;TXRESULT!$B$1:$B$1000&amp;TXRESULT!$H$1:$H$1000&amp;TXRESULT!$K$1:$K$1000,0),5)</f>
        <v>#N/A</v>
      </c>
      <c r="L229" s="146"/>
      <c r="M229" s="27" t="e">
        <f t="shared" ref="M229:M251" si="18">IF(ISBLANK(K229),"",IF(AND(K229*1&lt;-36),"PASS","FAIL"))</f>
        <v>#N/A</v>
      </c>
      <c r="N229" s="27" t="str">
        <f t="shared" si="12"/>
        <v/>
      </c>
    </row>
    <row r="230" spans="1:14" x14ac:dyDescent="0.3">
      <c r="A230" s="116"/>
      <c r="B230" s="169"/>
      <c r="C230" s="170"/>
      <c r="D230" s="165"/>
      <c r="E230" s="119"/>
      <c r="F230" s="165"/>
      <c r="G230" s="126"/>
      <c r="H230" s="127"/>
      <c r="I230" s="128"/>
      <c r="J230" s="25" t="s">
        <v>177</v>
      </c>
      <c r="K230" s="27" t="e">
        <f t="array" ref="K230">INDEX(TXRESULT!$B$1:$I$1000,MATCH($D$228&amp;J230&amp;$F$228&amp;"SPUR1",TXRESULT!$C$1:$C$1000&amp;TXRESULT!$B$1:$B$1000&amp;TXRESULT!$H$1:$H$1000&amp;TXRESULT!$K$1:$K$1000,0),5)</f>
        <v>#N/A</v>
      </c>
      <c r="L230" s="146"/>
      <c r="M230" s="27" t="e">
        <f t="shared" si="18"/>
        <v>#N/A</v>
      </c>
      <c r="N230" s="27" t="str">
        <f t="shared" si="12"/>
        <v/>
      </c>
    </row>
    <row r="231" spans="1:14" x14ac:dyDescent="0.3">
      <c r="A231" s="116"/>
      <c r="B231" s="169"/>
      <c r="C231" s="170"/>
      <c r="D231" s="165"/>
      <c r="E231" s="119"/>
      <c r="F231" s="165"/>
      <c r="G231" s="126"/>
      <c r="H231" s="127"/>
      <c r="I231" s="128"/>
      <c r="J231" s="25" t="s">
        <v>178</v>
      </c>
      <c r="K231" s="27" t="e">
        <f t="array" ref="K231">INDEX(TXRESULT!$B$1:$I$1000,MATCH($D$228&amp;J231&amp;$F$228&amp;"SPUR1",TXRESULT!$C$1:$C$1000&amp;TXRESULT!$B$1:$B$1000&amp;TXRESULT!$H$1:$H$1000&amp;TXRESULT!$K$1:$K$1000,0),5)</f>
        <v>#N/A</v>
      </c>
      <c r="L231" s="146"/>
      <c r="M231" s="27" t="e">
        <f t="shared" si="18"/>
        <v>#N/A</v>
      </c>
      <c r="N231" s="27" t="str">
        <f t="shared" si="12"/>
        <v/>
      </c>
    </row>
    <row r="232" spans="1:14" x14ac:dyDescent="0.3">
      <c r="A232" s="116"/>
      <c r="B232" s="169"/>
      <c r="C232" s="170"/>
      <c r="D232" s="165"/>
      <c r="E232" s="119"/>
      <c r="F232" s="165"/>
      <c r="G232" s="126"/>
      <c r="H232" s="127"/>
      <c r="I232" s="128"/>
      <c r="J232" s="25" t="s">
        <v>179</v>
      </c>
      <c r="K232" s="27" t="e">
        <f t="array" ref="K232">INDEX(TXRESULT!$B$1:$I$1000,MATCH($D$228&amp;J232&amp;$F$228&amp;"SPUR1",TXRESULT!$C$1:$C$1000&amp;TXRESULT!$B$1:$B$1000&amp;TXRESULT!$H$1:$H$1000&amp;TXRESULT!$K$1:$K$1000,0),5)</f>
        <v>#N/A</v>
      </c>
      <c r="L232" s="146"/>
      <c r="M232" s="27" t="e">
        <f t="shared" si="18"/>
        <v>#N/A</v>
      </c>
      <c r="N232" s="27" t="str">
        <f t="shared" si="12"/>
        <v/>
      </c>
    </row>
    <row r="233" spans="1:14" x14ac:dyDescent="0.3">
      <c r="A233" s="116"/>
      <c r="B233" s="169"/>
      <c r="C233" s="170"/>
      <c r="D233" s="165"/>
      <c r="E233" s="119"/>
      <c r="F233" s="165"/>
      <c r="G233" s="126"/>
      <c r="H233" s="127"/>
      <c r="I233" s="128"/>
      <c r="J233" s="25" t="s">
        <v>180</v>
      </c>
      <c r="K233" s="27" t="e">
        <f t="array" ref="K233">INDEX(TXRESULT!$B$1:$I$1000,MATCH($D$228&amp;J233&amp;$F$228&amp;"SPUR1",TXRESULT!$C$1:$C$1000&amp;TXRESULT!$B$1:$B$1000&amp;TXRESULT!$H$1:$H$1000&amp;TXRESULT!$K$1:$K$1000,0),5)</f>
        <v>#N/A</v>
      </c>
      <c r="L233" s="146"/>
      <c r="M233" s="27" t="e">
        <f t="shared" si="18"/>
        <v>#N/A</v>
      </c>
      <c r="N233" s="27" t="str">
        <f t="shared" si="12"/>
        <v/>
      </c>
    </row>
    <row r="234" spans="1:14" x14ac:dyDescent="0.3">
      <c r="A234" s="116"/>
      <c r="B234" s="169"/>
      <c r="C234" s="170"/>
      <c r="D234" s="165"/>
      <c r="E234" s="119"/>
      <c r="F234" s="165"/>
      <c r="G234" s="126"/>
      <c r="H234" s="127"/>
      <c r="I234" s="128"/>
      <c r="J234" s="25" t="s">
        <v>181</v>
      </c>
      <c r="K234" s="27" t="e">
        <f t="array" ref="K234">INDEX(TXRESULT!$B$1:$I$1000,MATCH($D$228&amp;J234&amp;$F$228&amp;"SPUR1",TXRESULT!$C$1:$C$1000&amp;TXRESULT!$B$1:$B$1000&amp;TXRESULT!$H$1:$H$1000&amp;TXRESULT!$K$1:$K$1000,0),5)</f>
        <v>#N/A</v>
      </c>
      <c r="L234" s="146"/>
      <c r="M234" s="27" t="e">
        <f t="shared" si="18"/>
        <v>#N/A</v>
      </c>
      <c r="N234" s="27" t="str">
        <f t="shared" si="12"/>
        <v/>
      </c>
    </row>
    <row r="235" spans="1:14" x14ac:dyDescent="0.3">
      <c r="A235" s="116"/>
      <c r="B235" s="169"/>
      <c r="C235" s="170"/>
      <c r="D235" s="165"/>
      <c r="E235" s="120"/>
      <c r="F235" s="166"/>
      <c r="G235" s="129"/>
      <c r="H235" s="130"/>
      <c r="I235" s="131"/>
      <c r="J235" s="25" t="s">
        <v>182</v>
      </c>
      <c r="K235" s="27" t="e">
        <f t="array" ref="K235">INDEX(TXRESULT!$B$1:$I$1000,MATCH($D$228&amp;J235&amp;$F$228&amp;"SPUR1",TXRESULT!$C$1:$C$1000&amp;TXRESULT!$B$1:$B$1000&amp;TXRESULT!$H$1:$H$1000&amp;TXRESULT!$K$1:$K$1000,0),5)</f>
        <v>#N/A</v>
      </c>
      <c r="L235" s="146"/>
      <c r="M235" s="27" t="e">
        <f t="shared" si="18"/>
        <v>#N/A</v>
      </c>
      <c r="N235" s="27" t="str">
        <f t="shared" si="12"/>
        <v/>
      </c>
    </row>
    <row r="236" spans="1:14" ht="15.75" customHeight="1" x14ac:dyDescent="0.3">
      <c r="A236" s="116"/>
      <c r="B236" s="169"/>
      <c r="C236" s="170"/>
      <c r="D236" s="165"/>
      <c r="E236" s="132" t="s">
        <v>52</v>
      </c>
      <c r="F236" s="164" t="s">
        <v>53</v>
      </c>
      <c r="G236" s="123" t="s">
        <v>128</v>
      </c>
      <c r="H236" s="124"/>
      <c r="I236" s="125"/>
      <c r="J236" s="25" t="s">
        <v>175</v>
      </c>
      <c r="K236" s="27" t="e">
        <f t="array" ref="K236">INDEX(TXRESULT!$B$1:$I$1000,MATCH($D$228&amp;J236&amp;$F$236&amp;"SPUR2",TXRESULT!$C$1:$C$1000&amp;TXRESULT!$B$1:$B$1000&amp;TXRESULT!$H$1:$H$1000&amp;TXRESULT!$K$1:$K$1000,0),5)</f>
        <v>#N/A</v>
      </c>
      <c r="L236" s="146"/>
      <c r="M236" s="27" t="e">
        <f t="shared" si="18"/>
        <v>#N/A</v>
      </c>
      <c r="N236" s="27" t="str">
        <f t="shared" ref="N236:N267" si="19">IF(ISBLANK(K236),"CHUADO","")</f>
        <v/>
      </c>
    </row>
    <row r="237" spans="1:14" x14ac:dyDescent="0.3">
      <c r="A237" s="116"/>
      <c r="B237" s="169"/>
      <c r="C237" s="170"/>
      <c r="D237" s="165"/>
      <c r="E237" s="119"/>
      <c r="F237" s="165"/>
      <c r="G237" s="126"/>
      <c r="H237" s="127"/>
      <c r="I237" s="128"/>
      <c r="J237" s="25" t="s">
        <v>176</v>
      </c>
      <c r="K237" s="27" t="e">
        <f t="array" ref="K237">INDEX(TXRESULT!$B$1:$I$1000,MATCH($D$228&amp;J237&amp;$F$236&amp;"SPUR2",TXRESULT!$C$1:$C$1000&amp;TXRESULT!$B$1:$B$1000&amp;TXRESULT!$H$1:$H$1000&amp;TXRESULT!$K$1:$K$1000,0),5)</f>
        <v>#N/A</v>
      </c>
      <c r="L237" s="146"/>
      <c r="M237" s="27" t="e">
        <f t="shared" si="18"/>
        <v>#N/A</v>
      </c>
      <c r="N237" s="27" t="str">
        <f t="shared" si="19"/>
        <v/>
      </c>
    </row>
    <row r="238" spans="1:14" x14ac:dyDescent="0.3">
      <c r="A238" s="116"/>
      <c r="B238" s="169"/>
      <c r="C238" s="170"/>
      <c r="D238" s="165"/>
      <c r="E238" s="119"/>
      <c r="F238" s="165"/>
      <c r="G238" s="126"/>
      <c r="H238" s="127"/>
      <c r="I238" s="128"/>
      <c r="J238" s="25" t="s">
        <v>177</v>
      </c>
      <c r="K238" s="27" t="e">
        <f t="array" ref="K238">INDEX(TXRESULT!$B$1:$I$1000,MATCH($D$228&amp;J238&amp;$F$236&amp;"SPUR2",TXRESULT!$C$1:$C$1000&amp;TXRESULT!$B$1:$B$1000&amp;TXRESULT!$H$1:$H$1000&amp;TXRESULT!$K$1:$K$1000,0),5)</f>
        <v>#N/A</v>
      </c>
      <c r="L238" s="146"/>
      <c r="M238" s="27" t="e">
        <f t="shared" si="18"/>
        <v>#N/A</v>
      </c>
      <c r="N238" s="27" t="str">
        <f t="shared" si="19"/>
        <v/>
      </c>
    </row>
    <row r="239" spans="1:14" x14ac:dyDescent="0.3">
      <c r="A239" s="116"/>
      <c r="B239" s="169"/>
      <c r="C239" s="170"/>
      <c r="D239" s="165"/>
      <c r="E239" s="119"/>
      <c r="F239" s="165"/>
      <c r="G239" s="126"/>
      <c r="H239" s="127"/>
      <c r="I239" s="128"/>
      <c r="J239" s="25" t="s">
        <v>178</v>
      </c>
      <c r="K239" s="27" t="e">
        <f t="array" ref="K239">INDEX(TXRESULT!$B$1:$I$1000,MATCH($D$228&amp;J239&amp;$F$236&amp;"SPUR2",TXRESULT!$C$1:$C$1000&amp;TXRESULT!$B$1:$B$1000&amp;TXRESULT!$H$1:$H$1000&amp;TXRESULT!$K$1:$K$1000,0),5)</f>
        <v>#N/A</v>
      </c>
      <c r="L239" s="146"/>
      <c r="M239" s="27" t="e">
        <f t="shared" si="18"/>
        <v>#N/A</v>
      </c>
      <c r="N239" s="27" t="str">
        <f t="shared" si="19"/>
        <v/>
      </c>
    </row>
    <row r="240" spans="1:14" x14ac:dyDescent="0.3">
      <c r="A240" s="116"/>
      <c r="B240" s="169"/>
      <c r="C240" s="170"/>
      <c r="D240" s="165"/>
      <c r="E240" s="119"/>
      <c r="F240" s="165"/>
      <c r="G240" s="126"/>
      <c r="H240" s="127"/>
      <c r="I240" s="128"/>
      <c r="J240" s="25" t="s">
        <v>179</v>
      </c>
      <c r="K240" s="27" t="e">
        <f t="array" ref="K240">INDEX(TXRESULT!$B$1:$I$1000,MATCH($D$228&amp;J240&amp;$F$236&amp;"SPUR2",TXRESULT!$C$1:$C$1000&amp;TXRESULT!$B$1:$B$1000&amp;TXRESULT!$H$1:$H$1000&amp;TXRESULT!$K$1:$K$1000,0),5)</f>
        <v>#N/A</v>
      </c>
      <c r="L240" s="146"/>
      <c r="M240" s="27" t="e">
        <f t="shared" si="18"/>
        <v>#N/A</v>
      </c>
      <c r="N240" s="27" t="str">
        <f t="shared" si="19"/>
        <v/>
      </c>
    </row>
    <row r="241" spans="1:14" x14ac:dyDescent="0.3">
      <c r="A241" s="116"/>
      <c r="B241" s="169"/>
      <c r="C241" s="170"/>
      <c r="D241" s="165"/>
      <c r="E241" s="119"/>
      <c r="F241" s="165"/>
      <c r="G241" s="126"/>
      <c r="H241" s="127"/>
      <c r="I241" s="128"/>
      <c r="J241" s="25" t="s">
        <v>180</v>
      </c>
      <c r="K241" s="27" t="e">
        <f t="array" ref="K241">INDEX(TXRESULT!$B$1:$I$1000,MATCH($D$228&amp;J241&amp;$F$236&amp;"SPUR2",TXRESULT!$C$1:$C$1000&amp;TXRESULT!$B$1:$B$1000&amp;TXRESULT!$H$1:$H$1000&amp;TXRESULT!$K$1:$K$1000,0),5)</f>
        <v>#N/A</v>
      </c>
      <c r="L241" s="146"/>
      <c r="M241" s="27" t="e">
        <f t="shared" si="18"/>
        <v>#N/A</v>
      </c>
      <c r="N241" s="27" t="str">
        <f t="shared" si="19"/>
        <v/>
      </c>
    </row>
    <row r="242" spans="1:14" x14ac:dyDescent="0.3">
      <c r="A242" s="116"/>
      <c r="B242" s="169"/>
      <c r="C242" s="170"/>
      <c r="D242" s="165"/>
      <c r="E242" s="119"/>
      <c r="F242" s="165"/>
      <c r="G242" s="126"/>
      <c r="H242" s="127"/>
      <c r="I242" s="128"/>
      <c r="J242" s="25" t="s">
        <v>181</v>
      </c>
      <c r="K242" s="27" t="e">
        <f t="array" ref="K242">INDEX(TXRESULT!$B$1:$I$1000,MATCH($D$228&amp;J242&amp;$F$236&amp;"SPUR2",TXRESULT!$C$1:$C$1000&amp;TXRESULT!$B$1:$B$1000&amp;TXRESULT!$H$1:$H$1000&amp;TXRESULT!$K$1:$K$1000,0),5)</f>
        <v>#N/A</v>
      </c>
      <c r="L242" s="146"/>
      <c r="M242" s="27" t="e">
        <f t="shared" si="18"/>
        <v>#N/A</v>
      </c>
      <c r="N242" s="27" t="str">
        <f t="shared" si="19"/>
        <v/>
      </c>
    </row>
    <row r="243" spans="1:14" x14ac:dyDescent="0.3">
      <c r="A243" s="116"/>
      <c r="B243" s="169"/>
      <c r="C243" s="170"/>
      <c r="D243" s="165"/>
      <c r="E243" s="120"/>
      <c r="F243" s="166"/>
      <c r="G243" s="129"/>
      <c r="H243" s="130"/>
      <c r="I243" s="131"/>
      <c r="J243" s="25" t="s">
        <v>182</v>
      </c>
      <c r="K243" s="27" t="e">
        <f t="array" ref="K243">INDEX(TXRESULT!$B$1:$I$1000,MATCH($D$228&amp;J243&amp;$F$236&amp;"SPUR2",TXRESULT!$C$1:$C$1000&amp;TXRESULT!$B$1:$B$1000&amp;TXRESULT!$H$1:$H$1000&amp;TXRESULT!$K$1:$K$1000,0),5)</f>
        <v>#N/A</v>
      </c>
      <c r="L243" s="146"/>
      <c r="M243" s="27" t="e">
        <f t="shared" si="18"/>
        <v>#N/A</v>
      </c>
      <c r="N243" s="27" t="str">
        <f t="shared" si="19"/>
        <v/>
      </c>
    </row>
    <row r="244" spans="1:14" ht="15.75" customHeight="1" x14ac:dyDescent="0.3">
      <c r="A244" s="116"/>
      <c r="B244" s="169"/>
      <c r="C244" s="170"/>
      <c r="D244" s="165"/>
      <c r="E244" s="132" t="s">
        <v>52</v>
      </c>
      <c r="F244" s="164" t="s">
        <v>53</v>
      </c>
      <c r="G244" s="123" t="s">
        <v>129</v>
      </c>
      <c r="H244" s="124"/>
      <c r="I244" s="125"/>
      <c r="J244" s="25" t="s">
        <v>175</v>
      </c>
      <c r="K244" s="27" t="e">
        <f t="array" ref="K244">INDEX(TXRESULT!$B$1:$I$1000,MATCH($D$228&amp;J244&amp;$F$244&amp;"SPUR3",TXRESULT!$C$1:$C$1000&amp;TXRESULT!$B$1:$B$1000&amp;TXRESULT!$H$1:$H$1000&amp;TXRESULT!$K$1:$K$1000,0),5)</f>
        <v>#N/A</v>
      </c>
      <c r="L244" s="146"/>
      <c r="M244" s="27" t="e">
        <f t="shared" si="18"/>
        <v>#N/A</v>
      </c>
      <c r="N244" s="27" t="str">
        <f t="shared" si="19"/>
        <v/>
      </c>
    </row>
    <row r="245" spans="1:14" x14ac:dyDescent="0.3">
      <c r="A245" s="116"/>
      <c r="B245" s="169"/>
      <c r="C245" s="170"/>
      <c r="D245" s="165"/>
      <c r="E245" s="119"/>
      <c r="F245" s="165"/>
      <c r="G245" s="126"/>
      <c r="H245" s="127"/>
      <c r="I245" s="128"/>
      <c r="J245" s="25" t="s">
        <v>176</v>
      </c>
      <c r="K245" s="27" t="e">
        <f t="array" ref="K245">INDEX(TXRESULT!$B$1:$I$1000,MATCH($D$228&amp;J245&amp;$F$244&amp;"SPUR3",TXRESULT!$C$1:$C$1000&amp;TXRESULT!$B$1:$B$1000&amp;TXRESULT!$H$1:$H$1000&amp;TXRESULT!$K$1:$K$1000,0),5)</f>
        <v>#N/A</v>
      </c>
      <c r="L245" s="146"/>
      <c r="M245" s="27" t="e">
        <f t="shared" si="18"/>
        <v>#N/A</v>
      </c>
      <c r="N245" s="27" t="str">
        <f t="shared" si="19"/>
        <v/>
      </c>
    </row>
    <row r="246" spans="1:14" x14ac:dyDescent="0.3">
      <c r="A246" s="116"/>
      <c r="B246" s="169"/>
      <c r="C246" s="170"/>
      <c r="D246" s="165"/>
      <c r="E246" s="119"/>
      <c r="F246" s="165"/>
      <c r="G246" s="126"/>
      <c r="H246" s="127"/>
      <c r="I246" s="128"/>
      <c r="J246" s="25" t="s">
        <v>177</v>
      </c>
      <c r="K246" s="27" t="e">
        <f t="array" ref="K246">INDEX(TXRESULT!$B$1:$I$1000,MATCH($D$228&amp;J246&amp;$F$244&amp;"SPUR3",TXRESULT!$C$1:$C$1000&amp;TXRESULT!$B$1:$B$1000&amp;TXRESULT!$H$1:$H$1000&amp;TXRESULT!$K$1:$K$1000,0),5)</f>
        <v>#N/A</v>
      </c>
      <c r="L246" s="146"/>
      <c r="M246" s="27" t="e">
        <f t="shared" si="18"/>
        <v>#N/A</v>
      </c>
      <c r="N246" s="27" t="str">
        <f t="shared" si="19"/>
        <v/>
      </c>
    </row>
    <row r="247" spans="1:14" x14ac:dyDescent="0.3">
      <c r="A247" s="116"/>
      <c r="B247" s="169"/>
      <c r="C247" s="170"/>
      <c r="D247" s="165"/>
      <c r="E247" s="119"/>
      <c r="F247" s="165"/>
      <c r="G247" s="126"/>
      <c r="H247" s="127"/>
      <c r="I247" s="128"/>
      <c r="J247" s="25" t="s">
        <v>178</v>
      </c>
      <c r="K247" s="27" t="e">
        <f t="array" ref="K247">INDEX(TXRESULT!$B$1:$I$1000,MATCH($D$228&amp;J247&amp;$F$244&amp;"SPUR3",TXRESULT!$C$1:$C$1000&amp;TXRESULT!$B$1:$B$1000&amp;TXRESULT!$H$1:$H$1000&amp;TXRESULT!$K$1:$K$1000,0),5)</f>
        <v>#N/A</v>
      </c>
      <c r="L247" s="146"/>
      <c r="M247" s="27" t="e">
        <f t="shared" si="18"/>
        <v>#N/A</v>
      </c>
      <c r="N247" s="27" t="str">
        <f t="shared" si="19"/>
        <v/>
      </c>
    </row>
    <row r="248" spans="1:14" x14ac:dyDescent="0.3">
      <c r="A248" s="116"/>
      <c r="B248" s="169"/>
      <c r="C248" s="170"/>
      <c r="D248" s="165"/>
      <c r="E248" s="119"/>
      <c r="F248" s="165"/>
      <c r="G248" s="126"/>
      <c r="H248" s="127"/>
      <c r="I248" s="128"/>
      <c r="J248" s="25" t="s">
        <v>179</v>
      </c>
      <c r="K248" s="27" t="e">
        <f t="array" ref="K248">INDEX(TXRESULT!$B$1:$I$1000,MATCH($D$228&amp;J248&amp;$F$244&amp;"SPUR3",TXRESULT!$C$1:$C$1000&amp;TXRESULT!$B$1:$B$1000&amp;TXRESULT!$H$1:$H$1000&amp;TXRESULT!$K$1:$K$1000,0),5)</f>
        <v>#N/A</v>
      </c>
      <c r="L248" s="146"/>
      <c r="M248" s="27" t="e">
        <f t="shared" si="18"/>
        <v>#N/A</v>
      </c>
      <c r="N248" s="27" t="str">
        <f t="shared" si="19"/>
        <v/>
      </c>
    </row>
    <row r="249" spans="1:14" x14ac:dyDescent="0.3">
      <c r="A249" s="116"/>
      <c r="B249" s="169"/>
      <c r="C249" s="170"/>
      <c r="D249" s="165"/>
      <c r="E249" s="119"/>
      <c r="F249" s="165"/>
      <c r="G249" s="126"/>
      <c r="H249" s="127"/>
      <c r="I249" s="128"/>
      <c r="J249" s="25" t="s">
        <v>180</v>
      </c>
      <c r="K249" s="27" t="e">
        <f t="array" ref="K249">INDEX(TXRESULT!$B$1:$I$1000,MATCH($D$228&amp;J249&amp;$F$244&amp;"SPUR3",TXRESULT!$C$1:$C$1000&amp;TXRESULT!$B$1:$B$1000&amp;TXRESULT!$H$1:$H$1000&amp;TXRESULT!$K$1:$K$1000,0),5)</f>
        <v>#N/A</v>
      </c>
      <c r="L249" s="146"/>
      <c r="M249" s="27" t="e">
        <f t="shared" si="18"/>
        <v>#N/A</v>
      </c>
      <c r="N249" s="27" t="str">
        <f t="shared" si="19"/>
        <v/>
      </c>
    </row>
    <row r="250" spans="1:14" x14ac:dyDescent="0.3">
      <c r="A250" s="116"/>
      <c r="B250" s="169"/>
      <c r="C250" s="170"/>
      <c r="D250" s="165"/>
      <c r="E250" s="119"/>
      <c r="F250" s="165"/>
      <c r="G250" s="126"/>
      <c r="H250" s="127"/>
      <c r="I250" s="128"/>
      <c r="J250" s="25" t="s">
        <v>181</v>
      </c>
      <c r="K250" s="27" t="e">
        <f t="array" ref="K250">INDEX(TXRESULT!$B$1:$I$1000,MATCH($D$228&amp;J250&amp;$F$244&amp;"SPUR3",TXRESULT!$C$1:$C$1000&amp;TXRESULT!$B$1:$B$1000&amp;TXRESULT!$H$1:$H$1000&amp;TXRESULT!$K$1:$K$1000,0),5)</f>
        <v>#N/A</v>
      </c>
      <c r="L250" s="146"/>
      <c r="M250" s="27" t="e">
        <f t="shared" si="18"/>
        <v>#N/A</v>
      </c>
      <c r="N250" s="27" t="str">
        <f t="shared" si="19"/>
        <v/>
      </c>
    </row>
    <row r="251" spans="1:14" x14ac:dyDescent="0.3">
      <c r="A251" s="116"/>
      <c r="B251" s="169"/>
      <c r="C251" s="170"/>
      <c r="D251" s="165"/>
      <c r="E251" s="120"/>
      <c r="F251" s="166"/>
      <c r="G251" s="129"/>
      <c r="H251" s="130"/>
      <c r="I251" s="131"/>
      <c r="J251" s="25" t="s">
        <v>182</v>
      </c>
      <c r="K251" s="27" t="e">
        <f t="array" ref="K251">INDEX(TXRESULT!$B$1:$I$1000,MATCH($D$228&amp;J251&amp;$F$244&amp;"SPUR3",TXRESULT!$C$1:$C$1000&amp;TXRESULT!$B$1:$B$1000&amp;TXRESULT!$H$1:$H$1000&amp;TXRESULT!$K$1:$K$1000,0),5)</f>
        <v>#N/A</v>
      </c>
      <c r="L251" s="146"/>
      <c r="M251" s="27" t="e">
        <f t="shared" si="18"/>
        <v>#N/A</v>
      </c>
      <c r="N251" s="27" t="str">
        <f t="shared" si="19"/>
        <v/>
      </c>
    </row>
    <row r="252" spans="1:14" ht="15.75" customHeight="1" x14ac:dyDescent="0.3">
      <c r="A252" s="116"/>
      <c r="B252" s="169"/>
      <c r="C252" s="170"/>
      <c r="D252" s="165"/>
      <c r="E252" s="132" t="s">
        <v>52</v>
      </c>
      <c r="F252" s="164" t="s">
        <v>53</v>
      </c>
      <c r="G252" s="123" t="s">
        <v>130</v>
      </c>
      <c r="H252" s="124"/>
      <c r="I252" s="125"/>
      <c r="J252" s="25" t="s">
        <v>175</v>
      </c>
      <c r="K252" s="27" t="e">
        <f t="array" ref="K252">INDEX(TXRESULT!$B$1:$I$1000,MATCH($D$228&amp;J252&amp;$F$252&amp;"SPUR4",TXRESULT!$C$1:$C$1000&amp;TXRESULT!$B$1:$B$1000&amp;TXRESULT!$H$1:$H$1000&amp;TXRESULT!$K$1:$K$1000,0),5)</f>
        <v>#N/A</v>
      </c>
      <c r="L252" s="146"/>
      <c r="M252" s="27" t="e">
        <f>IF(ISBLANK(K252),"",IF(AND(K252*1&lt;-30),"PASS","FAIL"))</f>
        <v>#N/A</v>
      </c>
      <c r="N252" s="27" t="str">
        <f t="shared" si="19"/>
        <v/>
      </c>
    </row>
    <row r="253" spans="1:14" x14ac:dyDescent="0.3">
      <c r="A253" s="116"/>
      <c r="B253" s="169"/>
      <c r="C253" s="170"/>
      <c r="D253" s="165"/>
      <c r="E253" s="119"/>
      <c r="F253" s="165"/>
      <c r="G253" s="126"/>
      <c r="H253" s="127"/>
      <c r="I253" s="128"/>
      <c r="J253" s="25" t="s">
        <v>176</v>
      </c>
      <c r="K253" s="27" t="e">
        <f t="array" ref="K253">INDEX(TXRESULT!$B$1:$I$1000,MATCH($D$228&amp;J253&amp;$F$252&amp;"SPUR4",TXRESULT!$C$1:$C$1000&amp;TXRESULT!$B$1:$B$1000&amp;TXRESULT!$H$1:$H$1000&amp;TXRESULT!$K$1:$K$1000,0),5)</f>
        <v>#N/A</v>
      </c>
      <c r="L253" s="146"/>
      <c r="M253" s="27" t="e">
        <f t="shared" ref="M253:M267" si="20">IF(ISBLANK(K253),"",IF(AND(K253*1&lt;-30),"PASS","FAIL"))</f>
        <v>#N/A</v>
      </c>
      <c r="N253" s="27" t="str">
        <f t="shared" si="19"/>
        <v/>
      </c>
    </row>
    <row r="254" spans="1:14" x14ac:dyDescent="0.3">
      <c r="A254" s="116"/>
      <c r="B254" s="169"/>
      <c r="C254" s="170"/>
      <c r="D254" s="165"/>
      <c r="E254" s="119"/>
      <c r="F254" s="165"/>
      <c r="G254" s="126"/>
      <c r="H254" s="127"/>
      <c r="I254" s="128"/>
      <c r="J254" s="25" t="s">
        <v>177</v>
      </c>
      <c r="K254" s="27" t="e">
        <f t="array" ref="K254">INDEX(TXRESULT!$B$1:$I$1000,MATCH($D$228&amp;J254&amp;$F$252&amp;"SPUR4",TXRESULT!$C$1:$C$1000&amp;TXRESULT!$B$1:$B$1000&amp;TXRESULT!$H$1:$H$1000&amp;TXRESULT!$K$1:$K$1000,0),5)</f>
        <v>#N/A</v>
      </c>
      <c r="L254" s="146"/>
      <c r="M254" s="27" t="e">
        <f t="shared" si="20"/>
        <v>#N/A</v>
      </c>
      <c r="N254" s="27" t="str">
        <f t="shared" si="19"/>
        <v/>
      </c>
    </row>
    <row r="255" spans="1:14" x14ac:dyDescent="0.3">
      <c r="A255" s="116"/>
      <c r="B255" s="169"/>
      <c r="C255" s="170"/>
      <c r="D255" s="165"/>
      <c r="E255" s="119"/>
      <c r="F255" s="165"/>
      <c r="G255" s="126"/>
      <c r="H255" s="127"/>
      <c r="I255" s="128"/>
      <c r="J255" s="25" t="s">
        <v>178</v>
      </c>
      <c r="K255" s="27" t="e">
        <f t="array" ref="K255">INDEX(TXRESULT!$B$1:$I$1000,MATCH($D$228&amp;J255&amp;$F$252&amp;"SPUR4",TXRESULT!$C$1:$C$1000&amp;TXRESULT!$B$1:$B$1000&amp;TXRESULT!$H$1:$H$1000&amp;TXRESULT!$K$1:$K$1000,0),5)</f>
        <v>#N/A</v>
      </c>
      <c r="L255" s="146"/>
      <c r="M255" s="27" t="e">
        <f t="shared" si="20"/>
        <v>#N/A</v>
      </c>
      <c r="N255" s="27" t="str">
        <f t="shared" si="19"/>
        <v/>
      </c>
    </row>
    <row r="256" spans="1:14" x14ac:dyDescent="0.3">
      <c r="A256" s="116"/>
      <c r="B256" s="169"/>
      <c r="C256" s="170"/>
      <c r="D256" s="165"/>
      <c r="E256" s="119"/>
      <c r="F256" s="165"/>
      <c r="G256" s="126"/>
      <c r="H256" s="127"/>
      <c r="I256" s="128"/>
      <c r="J256" s="25" t="s">
        <v>179</v>
      </c>
      <c r="K256" s="27" t="e">
        <f t="array" ref="K256">INDEX(TXRESULT!$B$1:$I$1000,MATCH($D$228&amp;J256&amp;$F$252&amp;"SPUR4",TXRESULT!$C$1:$C$1000&amp;TXRESULT!$B$1:$B$1000&amp;TXRESULT!$H$1:$H$1000&amp;TXRESULT!$K$1:$K$1000,0),5)</f>
        <v>#N/A</v>
      </c>
      <c r="L256" s="146"/>
      <c r="M256" s="27" t="e">
        <f t="shared" si="20"/>
        <v>#N/A</v>
      </c>
      <c r="N256" s="27" t="str">
        <f t="shared" si="19"/>
        <v/>
      </c>
    </row>
    <row r="257" spans="1:14" x14ac:dyDescent="0.3">
      <c r="A257" s="116"/>
      <c r="B257" s="169"/>
      <c r="C257" s="170"/>
      <c r="D257" s="165"/>
      <c r="E257" s="119"/>
      <c r="F257" s="165"/>
      <c r="G257" s="126"/>
      <c r="H257" s="127"/>
      <c r="I257" s="128"/>
      <c r="J257" s="25" t="s">
        <v>180</v>
      </c>
      <c r="K257" s="27" t="e">
        <f t="array" ref="K257">INDEX(TXRESULT!$B$1:$I$1000,MATCH($D$228&amp;J257&amp;$F$252&amp;"SPUR4",TXRESULT!$C$1:$C$1000&amp;TXRESULT!$B$1:$B$1000&amp;TXRESULT!$H$1:$H$1000&amp;TXRESULT!$K$1:$K$1000,0),5)</f>
        <v>#N/A</v>
      </c>
      <c r="L257" s="146"/>
      <c r="M257" s="27" t="e">
        <f t="shared" si="20"/>
        <v>#N/A</v>
      </c>
      <c r="N257" s="27" t="str">
        <f t="shared" si="19"/>
        <v/>
      </c>
    </row>
    <row r="258" spans="1:14" x14ac:dyDescent="0.3">
      <c r="A258" s="116"/>
      <c r="B258" s="169"/>
      <c r="C258" s="170"/>
      <c r="D258" s="165"/>
      <c r="E258" s="119"/>
      <c r="F258" s="165"/>
      <c r="G258" s="126"/>
      <c r="H258" s="127"/>
      <c r="I258" s="128"/>
      <c r="J258" s="25" t="s">
        <v>181</v>
      </c>
      <c r="K258" s="27" t="e">
        <f t="array" ref="K258">INDEX(TXRESULT!$B$1:$I$1000,MATCH($D$228&amp;J258&amp;$F$252&amp;"SPUR4",TXRESULT!$C$1:$C$1000&amp;TXRESULT!$B$1:$B$1000&amp;TXRESULT!$H$1:$H$1000&amp;TXRESULT!$K$1:$K$1000,0),5)</f>
        <v>#N/A</v>
      </c>
      <c r="L258" s="146"/>
      <c r="M258" s="27" t="e">
        <f t="shared" si="20"/>
        <v>#N/A</v>
      </c>
      <c r="N258" s="27" t="str">
        <f t="shared" si="19"/>
        <v/>
      </c>
    </row>
    <row r="259" spans="1:14" x14ac:dyDescent="0.3">
      <c r="A259" s="116"/>
      <c r="B259" s="169"/>
      <c r="C259" s="170"/>
      <c r="D259" s="165"/>
      <c r="E259" s="120"/>
      <c r="F259" s="166"/>
      <c r="G259" s="129"/>
      <c r="H259" s="130"/>
      <c r="I259" s="131"/>
      <c r="J259" s="25" t="s">
        <v>182</v>
      </c>
      <c r="K259" s="27" t="e">
        <f t="array" ref="K259">INDEX(TXRESULT!$B$1:$I$1000,MATCH($D$228&amp;J259&amp;$F$252&amp;"SPUR4",TXRESULT!$C$1:$C$1000&amp;TXRESULT!$B$1:$B$1000&amp;TXRESULT!$H$1:$H$1000&amp;TXRESULT!$K$1:$K$1000,0),5)</f>
        <v>#N/A</v>
      </c>
      <c r="L259" s="146"/>
      <c r="M259" s="27" t="e">
        <f t="shared" si="20"/>
        <v>#N/A</v>
      </c>
      <c r="N259" s="27" t="str">
        <f t="shared" si="19"/>
        <v/>
      </c>
    </row>
    <row r="260" spans="1:14" ht="15.75" customHeight="1" x14ac:dyDescent="0.3">
      <c r="A260" s="116"/>
      <c r="B260" s="169"/>
      <c r="C260" s="170"/>
      <c r="D260" s="165"/>
      <c r="E260" s="132" t="s">
        <v>52</v>
      </c>
      <c r="F260" s="164" t="s">
        <v>53</v>
      </c>
      <c r="G260" s="123" t="s">
        <v>131</v>
      </c>
      <c r="H260" s="124"/>
      <c r="I260" s="125"/>
      <c r="J260" s="25" t="s">
        <v>175</v>
      </c>
      <c r="K260" s="27" t="e">
        <f t="array" ref="K260">INDEX(TXRESULT!$B$1:$I$1000,MATCH($D$228&amp;J260&amp;$F$260&amp;"SPUR5",TXRESULT!$C$1:$C$1000&amp;TXRESULT!$B$1:$B$1000&amp;TXRESULT!$H$1:$H$1000&amp;TXRESULT!$K$1:$K$1000,0),5)</f>
        <v>#N/A</v>
      </c>
      <c r="L260" s="146"/>
      <c r="M260" s="27" t="e">
        <f t="shared" si="20"/>
        <v>#N/A</v>
      </c>
      <c r="N260" s="27" t="str">
        <f t="shared" si="19"/>
        <v/>
      </c>
    </row>
    <row r="261" spans="1:14" x14ac:dyDescent="0.3">
      <c r="A261" s="116"/>
      <c r="B261" s="169"/>
      <c r="C261" s="170"/>
      <c r="D261" s="165"/>
      <c r="E261" s="119"/>
      <c r="F261" s="165"/>
      <c r="G261" s="126"/>
      <c r="H261" s="127"/>
      <c r="I261" s="128"/>
      <c r="J261" s="25" t="s">
        <v>176</v>
      </c>
      <c r="K261" s="27" t="e">
        <f t="array" ref="K261">INDEX(TXRESULT!$B$1:$I$1000,MATCH($D$228&amp;J261&amp;$F$260&amp;"SPUR5",TXRESULT!$C$1:$C$1000&amp;TXRESULT!$B$1:$B$1000&amp;TXRESULT!$H$1:$H$1000&amp;TXRESULT!$K$1:$K$1000,0),5)</f>
        <v>#N/A</v>
      </c>
      <c r="L261" s="146"/>
      <c r="M261" s="27" t="e">
        <f t="shared" si="20"/>
        <v>#N/A</v>
      </c>
      <c r="N261" s="27" t="str">
        <f t="shared" si="19"/>
        <v/>
      </c>
    </row>
    <row r="262" spans="1:14" x14ac:dyDescent="0.3">
      <c r="A262" s="116"/>
      <c r="B262" s="169"/>
      <c r="C262" s="170"/>
      <c r="D262" s="165"/>
      <c r="E262" s="119"/>
      <c r="F262" s="165"/>
      <c r="G262" s="126"/>
      <c r="H262" s="127"/>
      <c r="I262" s="128"/>
      <c r="J262" s="25" t="s">
        <v>177</v>
      </c>
      <c r="K262" s="27" t="e">
        <f t="array" ref="K262">INDEX(TXRESULT!$B$1:$I$1000,MATCH($D$228&amp;J262&amp;$F$260&amp;"SPUR5",TXRESULT!$C$1:$C$1000&amp;TXRESULT!$B$1:$B$1000&amp;TXRESULT!$H$1:$H$1000&amp;TXRESULT!$K$1:$K$1000,0),5)</f>
        <v>#N/A</v>
      </c>
      <c r="L262" s="146"/>
      <c r="M262" s="27" t="e">
        <f t="shared" si="20"/>
        <v>#N/A</v>
      </c>
      <c r="N262" s="27" t="str">
        <f t="shared" si="19"/>
        <v/>
      </c>
    </row>
    <row r="263" spans="1:14" x14ac:dyDescent="0.3">
      <c r="A263" s="116"/>
      <c r="B263" s="169"/>
      <c r="C263" s="170"/>
      <c r="D263" s="165"/>
      <c r="E263" s="119"/>
      <c r="F263" s="165"/>
      <c r="G263" s="126"/>
      <c r="H263" s="127"/>
      <c r="I263" s="128"/>
      <c r="J263" s="25" t="s">
        <v>178</v>
      </c>
      <c r="K263" s="27" t="e">
        <f t="array" ref="K263">INDEX(TXRESULT!$B$1:$I$1000,MATCH($D$228&amp;J263&amp;$F$260&amp;"SPUR5",TXRESULT!$C$1:$C$1000&amp;TXRESULT!$B$1:$B$1000&amp;TXRESULT!$H$1:$H$1000&amp;TXRESULT!$K$1:$K$1000,0),5)</f>
        <v>#N/A</v>
      </c>
      <c r="L263" s="146"/>
      <c r="M263" s="27" t="e">
        <f t="shared" si="20"/>
        <v>#N/A</v>
      </c>
      <c r="N263" s="27" t="str">
        <f t="shared" si="19"/>
        <v/>
      </c>
    </row>
    <row r="264" spans="1:14" x14ac:dyDescent="0.3">
      <c r="A264" s="116"/>
      <c r="B264" s="169"/>
      <c r="C264" s="170"/>
      <c r="D264" s="165"/>
      <c r="E264" s="119"/>
      <c r="F264" s="165"/>
      <c r="G264" s="126"/>
      <c r="H264" s="127"/>
      <c r="I264" s="128"/>
      <c r="J264" s="25" t="s">
        <v>179</v>
      </c>
      <c r="K264" s="27" t="e">
        <f t="array" ref="K264">INDEX(TXRESULT!$B$1:$I$1000,MATCH($D$228&amp;J264&amp;$F$260&amp;"SPUR5",TXRESULT!$C$1:$C$1000&amp;TXRESULT!$B$1:$B$1000&amp;TXRESULT!$H$1:$H$1000&amp;TXRESULT!$K$1:$K$1000,0),5)</f>
        <v>#N/A</v>
      </c>
      <c r="L264" s="146"/>
      <c r="M264" s="27" t="e">
        <f t="shared" si="20"/>
        <v>#N/A</v>
      </c>
      <c r="N264" s="27" t="str">
        <f t="shared" si="19"/>
        <v/>
      </c>
    </row>
    <row r="265" spans="1:14" x14ac:dyDescent="0.3">
      <c r="A265" s="116"/>
      <c r="B265" s="169"/>
      <c r="C265" s="170"/>
      <c r="D265" s="165"/>
      <c r="E265" s="119"/>
      <c r="F265" s="165"/>
      <c r="G265" s="126"/>
      <c r="H265" s="127"/>
      <c r="I265" s="128"/>
      <c r="J265" s="25" t="s">
        <v>180</v>
      </c>
      <c r="K265" s="27" t="e">
        <f t="array" ref="K265">INDEX(TXRESULT!$B$1:$I$1000,MATCH($D$228&amp;J265&amp;$F$260&amp;"SPUR5",TXRESULT!$C$1:$C$1000&amp;TXRESULT!$B$1:$B$1000&amp;TXRESULT!$H$1:$H$1000&amp;TXRESULT!$K$1:$K$1000,0),5)</f>
        <v>#N/A</v>
      </c>
      <c r="L265" s="146"/>
      <c r="M265" s="27" t="e">
        <f t="shared" si="20"/>
        <v>#N/A</v>
      </c>
      <c r="N265" s="27" t="str">
        <f t="shared" si="19"/>
        <v/>
      </c>
    </row>
    <row r="266" spans="1:14" x14ac:dyDescent="0.3">
      <c r="A266" s="116"/>
      <c r="B266" s="169"/>
      <c r="C266" s="170"/>
      <c r="D266" s="165"/>
      <c r="E266" s="119"/>
      <c r="F266" s="165"/>
      <c r="G266" s="126"/>
      <c r="H266" s="127"/>
      <c r="I266" s="128"/>
      <c r="J266" s="25" t="s">
        <v>181</v>
      </c>
      <c r="K266" s="27" t="e">
        <f t="array" ref="K266">INDEX(TXRESULT!$B$1:$I$1000,MATCH($D$228&amp;J266&amp;$F$260&amp;"SPUR5",TXRESULT!$C$1:$C$1000&amp;TXRESULT!$B$1:$B$1000&amp;TXRESULT!$H$1:$H$1000&amp;TXRESULT!$K$1:$K$1000,0),5)</f>
        <v>#N/A</v>
      </c>
      <c r="L266" s="146"/>
      <c r="M266" s="27" t="e">
        <f t="shared" si="20"/>
        <v>#N/A</v>
      </c>
      <c r="N266" s="27" t="str">
        <f t="shared" si="19"/>
        <v/>
      </c>
    </row>
    <row r="267" spans="1:14" x14ac:dyDescent="0.3">
      <c r="A267" s="117"/>
      <c r="B267" s="171"/>
      <c r="C267" s="172"/>
      <c r="D267" s="166"/>
      <c r="E267" s="120"/>
      <c r="F267" s="166"/>
      <c r="G267" s="129"/>
      <c r="H267" s="130"/>
      <c r="I267" s="131"/>
      <c r="J267" s="25" t="s">
        <v>182</v>
      </c>
      <c r="K267" s="27" t="e">
        <f t="array" ref="K267">INDEX(TXRESULT!$B$1:$I$1000,MATCH($D$228&amp;J267&amp;$F$260&amp;"SPUR5",TXRESULT!$C$1:$C$1000&amp;TXRESULT!$B$1:$B$1000&amp;TXRESULT!$H$1:$H$1000&amp;TXRESULT!$K$1:$K$1000,0),5)</f>
        <v>#N/A</v>
      </c>
      <c r="L267" s="147"/>
      <c r="M267" s="27" t="e">
        <f t="shared" si="20"/>
        <v>#N/A</v>
      </c>
      <c r="N267" s="27" t="str">
        <f t="shared" si="19"/>
        <v/>
      </c>
    </row>
    <row r="268" spans="1:14" x14ac:dyDescent="0.3">
      <c r="A268" s="148" t="s">
        <v>38</v>
      </c>
      <c r="B268" s="151" t="s">
        <v>39</v>
      </c>
      <c r="C268" s="152"/>
      <c r="D268" s="153"/>
      <c r="E268" s="148" t="s">
        <v>40</v>
      </c>
      <c r="F268" s="160" t="s">
        <v>41</v>
      </c>
      <c r="G268" s="161"/>
      <c r="H268" s="161"/>
      <c r="I268" s="162"/>
      <c r="J268" s="151" t="s">
        <v>42</v>
      </c>
      <c r="K268" s="153"/>
      <c r="L268" s="148" t="s">
        <v>43</v>
      </c>
      <c r="M268" s="133" t="s">
        <v>44</v>
      </c>
      <c r="N268" s="133" t="s">
        <v>45</v>
      </c>
    </row>
    <row r="269" spans="1:14" x14ac:dyDescent="0.3">
      <c r="A269" s="149"/>
      <c r="B269" s="154"/>
      <c r="C269" s="155"/>
      <c r="D269" s="156"/>
      <c r="E269" s="149"/>
      <c r="F269" s="163" t="s">
        <v>199</v>
      </c>
      <c r="G269" s="163"/>
      <c r="H269" s="163" t="s">
        <v>200</v>
      </c>
      <c r="I269" s="163"/>
      <c r="J269" s="154"/>
      <c r="K269" s="156"/>
      <c r="L269" s="149"/>
      <c r="M269" s="134"/>
      <c r="N269" s="134"/>
    </row>
    <row r="270" spans="1:14" ht="31.2" x14ac:dyDescent="0.3">
      <c r="A270" s="150"/>
      <c r="B270" s="157"/>
      <c r="C270" s="158"/>
      <c r="D270" s="159"/>
      <c r="E270" s="150"/>
      <c r="F270" s="59" t="s">
        <v>201</v>
      </c>
      <c r="G270" s="59" t="s">
        <v>202</v>
      </c>
      <c r="H270" s="59" t="s">
        <v>201</v>
      </c>
      <c r="I270" s="59" t="s">
        <v>202</v>
      </c>
      <c r="J270" s="157"/>
      <c r="K270" s="159"/>
      <c r="L270" s="150"/>
      <c r="M270" s="135"/>
      <c r="N270" s="135"/>
    </row>
    <row r="271" spans="1:14" x14ac:dyDescent="0.3">
      <c r="A271" s="14" t="s">
        <v>135</v>
      </c>
      <c r="B271" s="15" t="s">
        <v>136</v>
      </c>
      <c r="C271" s="16"/>
      <c r="D271" s="16"/>
      <c r="E271" s="16"/>
      <c r="F271" s="16"/>
      <c r="G271" s="40"/>
      <c r="H271" s="40"/>
      <c r="I271" s="40"/>
      <c r="J271" s="40"/>
      <c r="K271" s="41"/>
      <c r="L271" s="40"/>
      <c r="M271" s="27"/>
      <c r="N271" s="42"/>
    </row>
    <row r="272" spans="1:14" ht="15.6" customHeight="1" x14ac:dyDescent="0.3">
      <c r="A272" s="115" t="s">
        <v>137</v>
      </c>
      <c r="B272" s="136" t="s">
        <v>138</v>
      </c>
      <c r="C272" s="137"/>
      <c r="D272" s="138"/>
      <c r="E272" s="114" t="s">
        <v>52</v>
      </c>
      <c r="F272" s="115" t="s">
        <v>220</v>
      </c>
      <c r="G272" s="58" t="s">
        <v>139</v>
      </c>
      <c r="H272" s="132" t="s">
        <v>225</v>
      </c>
      <c r="I272" s="58" t="s">
        <v>225</v>
      </c>
      <c r="J272" s="25" t="s">
        <v>175</v>
      </c>
      <c r="K272" s="27"/>
      <c r="L272" s="145" t="s">
        <v>140</v>
      </c>
      <c r="M272" s="27" t="str">
        <f>IF(ISBLANK(K272),"",IF(AND(K272*1&lt;=H272*1),"PASS","FAIL"))</f>
        <v/>
      </c>
      <c r="N272" s="27" t="str">
        <f>IF(ISBLANK(K272),"CHUADO","")</f>
        <v>CHUADO</v>
      </c>
    </row>
    <row r="273" spans="1:14" x14ac:dyDescent="0.3">
      <c r="A273" s="116"/>
      <c r="B273" s="139"/>
      <c r="C273" s="140"/>
      <c r="D273" s="141"/>
      <c r="E273" s="114"/>
      <c r="F273" s="116"/>
      <c r="G273" s="58" t="str">
        <f>G272</f>
        <v>-94.9</v>
      </c>
      <c r="H273" s="119"/>
      <c r="I273" s="58" t="s">
        <v>225</v>
      </c>
      <c r="J273" s="25" t="s">
        <v>176</v>
      </c>
      <c r="K273" s="27"/>
      <c r="L273" s="146"/>
      <c r="M273" s="27" t="str">
        <f t="shared" ref="M273:M279" si="21">IF(ISBLANK(K273),"",IF(AND(K273*1&lt;=H273*1),"PASS","FAIL"))</f>
        <v/>
      </c>
      <c r="N273" s="27" t="str">
        <f t="shared" ref="N273:N336" si="22">IF(ISBLANK(K273),"CHUADO","")</f>
        <v>CHUADO</v>
      </c>
    </row>
    <row r="274" spans="1:14" x14ac:dyDescent="0.3">
      <c r="A274" s="116"/>
      <c r="B274" s="139"/>
      <c r="C274" s="140"/>
      <c r="D274" s="141"/>
      <c r="E274" s="114"/>
      <c r="F274" s="116"/>
      <c r="G274" s="58" t="str">
        <f t="shared" ref="G274:G279" si="23">G273</f>
        <v>-94.9</v>
      </c>
      <c r="H274" s="119"/>
      <c r="I274" s="58" t="s">
        <v>225</v>
      </c>
      <c r="J274" s="25" t="s">
        <v>177</v>
      </c>
      <c r="K274" s="27"/>
      <c r="L274" s="146"/>
      <c r="M274" s="27" t="str">
        <f t="shared" si="21"/>
        <v/>
      </c>
      <c r="N274" s="27" t="str">
        <f t="shared" si="22"/>
        <v>CHUADO</v>
      </c>
    </row>
    <row r="275" spans="1:14" x14ac:dyDescent="0.3">
      <c r="A275" s="116"/>
      <c r="B275" s="139"/>
      <c r="C275" s="140"/>
      <c r="D275" s="141"/>
      <c r="E275" s="114"/>
      <c r="F275" s="116"/>
      <c r="G275" s="58" t="str">
        <f t="shared" si="23"/>
        <v>-94.9</v>
      </c>
      <c r="H275" s="119"/>
      <c r="I275" s="58" t="s">
        <v>225</v>
      </c>
      <c r="J275" s="25" t="s">
        <v>178</v>
      </c>
      <c r="K275" s="27"/>
      <c r="L275" s="146"/>
      <c r="M275" s="27" t="str">
        <f t="shared" si="21"/>
        <v/>
      </c>
      <c r="N275" s="27" t="str">
        <f t="shared" si="22"/>
        <v>CHUADO</v>
      </c>
    </row>
    <row r="276" spans="1:14" x14ac:dyDescent="0.3">
      <c r="A276" s="116"/>
      <c r="B276" s="139"/>
      <c r="C276" s="140"/>
      <c r="D276" s="141"/>
      <c r="E276" s="114"/>
      <c r="F276" s="116"/>
      <c r="G276" s="58" t="str">
        <f t="shared" si="23"/>
        <v>-94.9</v>
      </c>
      <c r="H276" s="119"/>
      <c r="I276" s="58" t="s">
        <v>225</v>
      </c>
      <c r="J276" s="25" t="s">
        <v>179</v>
      </c>
      <c r="K276" s="27"/>
      <c r="L276" s="146"/>
      <c r="M276" s="27" t="str">
        <f t="shared" si="21"/>
        <v/>
      </c>
      <c r="N276" s="27" t="str">
        <f t="shared" si="22"/>
        <v>CHUADO</v>
      </c>
    </row>
    <row r="277" spans="1:14" x14ac:dyDescent="0.3">
      <c r="A277" s="116"/>
      <c r="B277" s="139"/>
      <c r="C277" s="140"/>
      <c r="D277" s="141"/>
      <c r="E277" s="114"/>
      <c r="F277" s="116"/>
      <c r="G277" s="58" t="str">
        <f t="shared" si="23"/>
        <v>-94.9</v>
      </c>
      <c r="H277" s="119"/>
      <c r="I277" s="58" t="s">
        <v>225</v>
      </c>
      <c r="J277" s="25" t="s">
        <v>180</v>
      </c>
      <c r="K277" s="27"/>
      <c r="L277" s="146"/>
      <c r="M277" s="27" t="str">
        <f t="shared" si="21"/>
        <v/>
      </c>
      <c r="N277" s="27" t="str">
        <f t="shared" si="22"/>
        <v>CHUADO</v>
      </c>
    </row>
    <row r="278" spans="1:14" x14ac:dyDescent="0.3">
      <c r="A278" s="116"/>
      <c r="B278" s="139"/>
      <c r="C278" s="140"/>
      <c r="D278" s="141"/>
      <c r="E278" s="114"/>
      <c r="F278" s="116"/>
      <c r="G278" s="58" t="str">
        <f t="shared" si="23"/>
        <v>-94.9</v>
      </c>
      <c r="H278" s="119"/>
      <c r="I278" s="58" t="s">
        <v>225</v>
      </c>
      <c r="J278" s="25" t="s">
        <v>181</v>
      </c>
      <c r="K278" s="27"/>
      <c r="L278" s="146"/>
      <c r="M278" s="27" t="str">
        <f t="shared" si="21"/>
        <v/>
      </c>
      <c r="N278" s="27" t="str">
        <f t="shared" si="22"/>
        <v>CHUADO</v>
      </c>
    </row>
    <row r="279" spans="1:14" x14ac:dyDescent="0.3">
      <c r="A279" s="117"/>
      <c r="B279" s="142"/>
      <c r="C279" s="143"/>
      <c r="D279" s="144"/>
      <c r="E279" s="114"/>
      <c r="F279" s="117"/>
      <c r="G279" s="58" t="str">
        <f t="shared" si="23"/>
        <v>-94.9</v>
      </c>
      <c r="H279" s="120"/>
      <c r="I279" s="58" t="s">
        <v>225</v>
      </c>
      <c r="J279" s="25" t="s">
        <v>182</v>
      </c>
      <c r="K279" s="27"/>
      <c r="L279" s="147"/>
      <c r="M279" s="27" t="str">
        <f t="shared" si="21"/>
        <v/>
      </c>
      <c r="N279" s="27" t="str">
        <f t="shared" si="22"/>
        <v>CHUADO</v>
      </c>
    </row>
    <row r="280" spans="1:14" ht="15.6" customHeight="1" x14ac:dyDescent="0.3">
      <c r="A280" s="104" t="s">
        <v>141</v>
      </c>
      <c r="B280" s="105" t="s">
        <v>266</v>
      </c>
      <c r="C280" s="106"/>
      <c r="D280" s="107"/>
      <c r="E280" s="114" t="s">
        <v>52</v>
      </c>
      <c r="F280" s="115" t="s">
        <v>221</v>
      </c>
      <c r="G280" s="58" t="s">
        <v>204</v>
      </c>
      <c r="H280" s="132" t="s">
        <v>203</v>
      </c>
      <c r="I280" s="58" t="s">
        <v>142</v>
      </c>
      <c r="J280" s="25" t="s">
        <v>175</v>
      </c>
      <c r="K280" s="27"/>
      <c r="L280" s="118" t="s">
        <v>143</v>
      </c>
      <c r="M280" s="27" t="str">
        <f>IF(ISBLANK(K280),"",IF(AND(K280*1&gt;=H280*1),"PASS","FAIL"))</f>
        <v/>
      </c>
      <c r="N280" s="27" t="str">
        <f t="shared" si="22"/>
        <v>CHUADO</v>
      </c>
    </row>
    <row r="281" spans="1:14" x14ac:dyDescent="0.3">
      <c r="A281" s="104"/>
      <c r="B281" s="108"/>
      <c r="C281" s="109"/>
      <c r="D281" s="110"/>
      <c r="E281" s="114"/>
      <c r="F281" s="116"/>
      <c r="G281" s="58" t="s">
        <v>204</v>
      </c>
      <c r="H281" s="119"/>
      <c r="I281" s="58" t="str">
        <f>I280</f>
        <v>-69.1</v>
      </c>
      <c r="J281" s="25" t="s">
        <v>176</v>
      </c>
      <c r="K281" s="27"/>
      <c r="L281" s="118"/>
      <c r="M281" s="27" t="str">
        <f t="shared" ref="M281:M319" si="24">IF(ISBLANK(K281),"",IF(AND(K281*1&gt;=H281*1),"PASS","FAIL"))</f>
        <v/>
      </c>
      <c r="N281" s="27" t="str">
        <f t="shared" si="22"/>
        <v>CHUADO</v>
      </c>
    </row>
    <row r="282" spans="1:14" x14ac:dyDescent="0.3">
      <c r="A282" s="104"/>
      <c r="B282" s="108"/>
      <c r="C282" s="109"/>
      <c r="D282" s="110"/>
      <c r="E282" s="114"/>
      <c r="F282" s="116"/>
      <c r="G282" s="58" t="s">
        <v>204</v>
      </c>
      <c r="H282" s="119"/>
      <c r="I282" s="58" t="str">
        <f t="shared" ref="I282:I287" si="25">I281</f>
        <v>-69.1</v>
      </c>
      <c r="J282" s="25" t="s">
        <v>177</v>
      </c>
      <c r="K282" s="27"/>
      <c r="L282" s="118"/>
      <c r="M282" s="27" t="str">
        <f t="shared" si="24"/>
        <v/>
      </c>
      <c r="N282" s="27" t="str">
        <f t="shared" si="22"/>
        <v>CHUADO</v>
      </c>
    </row>
    <row r="283" spans="1:14" x14ac:dyDescent="0.3">
      <c r="A283" s="104"/>
      <c r="B283" s="108"/>
      <c r="C283" s="109"/>
      <c r="D283" s="110"/>
      <c r="E283" s="114"/>
      <c r="F283" s="116"/>
      <c r="G283" s="58" t="s">
        <v>204</v>
      </c>
      <c r="H283" s="119"/>
      <c r="I283" s="58" t="str">
        <f t="shared" si="25"/>
        <v>-69.1</v>
      </c>
      <c r="J283" s="25" t="s">
        <v>178</v>
      </c>
      <c r="K283" s="27"/>
      <c r="L283" s="118"/>
      <c r="M283" s="27" t="str">
        <f t="shared" si="24"/>
        <v/>
      </c>
      <c r="N283" s="27" t="str">
        <f t="shared" si="22"/>
        <v>CHUADO</v>
      </c>
    </row>
    <row r="284" spans="1:14" x14ac:dyDescent="0.3">
      <c r="A284" s="104"/>
      <c r="B284" s="108"/>
      <c r="C284" s="109"/>
      <c r="D284" s="110"/>
      <c r="E284" s="114"/>
      <c r="F284" s="116"/>
      <c r="G284" s="58" t="s">
        <v>204</v>
      </c>
      <c r="H284" s="119"/>
      <c r="I284" s="58" t="str">
        <f t="shared" si="25"/>
        <v>-69.1</v>
      </c>
      <c r="J284" s="25" t="s">
        <v>179</v>
      </c>
      <c r="K284" s="27"/>
      <c r="L284" s="118"/>
      <c r="M284" s="27" t="str">
        <f t="shared" si="24"/>
        <v/>
      </c>
      <c r="N284" s="27" t="str">
        <f t="shared" si="22"/>
        <v>CHUADO</v>
      </c>
    </row>
    <row r="285" spans="1:14" x14ac:dyDescent="0.3">
      <c r="A285" s="104"/>
      <c r="B285" s="108"/>
      <c r="C285" s="109"/>
      <c r="D285" s="110"/>
      <c r="E285" s="114"/>
      <c r="F285" s="116"/>
      <c r="G285" s="58" t="s">
        <v>204</v>
      </c>
      <c r="H285" s="119"/>
      <c r="I285" s="58" t="str">
        <f t="shared" si="25"/>
        <v>-69.1</v>
      </c>
      <c r="J285" s="25" t="s">
        <v>180</v>
      </c>
      <c r="K285" s="27"/>
      <c r="L285" s="118"/>
      <c r="M285" s="27" t="str">
        <f t="shared" si="24"/>
        <v/>
      </c>
      <c r="N285" s="27" t="str">
        <f t="shared" si="22"/>
        <v>CHUADO</v>
      </c>
    </row>
    <row r="286" spans="1:14" x14ac:dyDescent="0.3">
      <c r="A286" s="104"/>
      <c r="B286" s="108"/>
      <c r="C286" s="109"/>
      <c r="D286" s="110"/>
      <c r="E286" s="114"/>
      <c r="F286" s="116"/>
      <c r="G286" s="58" t="s">
        <v>204</v>
      </c>
      <c r="H286" s="119"/>
      <c r="I286" s="58" t="str">
        <f t="shared" si="25"/>
        <v>-69.1</v>
      </c>
      <c r="J286" s="25" t="s">
        <v>181</v>
      </c>
      <c r="K286" s="27"/>
      <c r="L286" s="118"/>
      <c r="M286" s="27" t="str">
        <f t="shared" si="24"/>
        <v/>
      </c>
      <c r="N286" s="27" t="str">
        <f t="shared" si="22"/>
        <v>CHUADO</v>
      </c>
    </row>
    <row r="287" spans="1:14" x14ac:dyDescent="0.3">
      <c r="A287" s="104"/>
      <c r="B287" s="111"/>
      <c r="C287" s="112"/>
      <c r="D287" s="113"/>
      <c r="E287" s="114"/>
      <c r="F287" s="117"/>
      <c r="G287" s="58" t="s">
        <v>204</v>
      </c>
      <c r="H287" s="120"/>
      <c r="I287" s="58" t="str">
        <f t="shared" si="25"/>
        <v>-69.1</v>
      </c>
      <c r="J287" s="25" t="s">
        <v>182</v>
      </c>
      <c r="K287" s="27"/>
      <c r="L287" s="118"/>
      <c r="M287" s="27" t="str">
        <f t="shared" si="24"/>
        <v/>
      </c>
      <c r="N287" s="27" t="str">
        <f t="shared" si="22"/>
        <v>CHUADO</v>
      </c>
    </row>
    <row r="288" spans="1:14" ht="15.6" customHeight="1" x14ac:dyDescent="0.3">
      <c r="A288" s="104" t="s">
        <v>144</v>
      </c>
      <c r="B288" s="105" t="s">
        <v>267</v>
      </c>
      <c r="C288" s="106"/>
      <c r="D288" s="107"/>
      <c r="E288" s="114" t="s">
        <v>52</v>
      </c>
      <c r="F288" s="115" t="s">
        <v>220</v>
      </c>
      <c r="G288" s="58">
        <f t="shared" ref="G288:G319" si="26">$G$272*1+6</f>
        <v>-88.9</v>
      </c>
      <c r="H288" s="115" t="s">
        <v>205</v>
      </c>
      <c r="I288" s="58" t="s">
        <v>145</v>
      </c>
      <c r="J288" s="25" t="s">
        <v>175</v>
      </c>
      <c r="K288" s="27"/>
      <c r="L288" s="118" t="s">
        <v>146</v>
      </c>
      <c r="M288" s="27" t="str">
        <f t="shared" si="24"/>
        <v/>
      </c>
      <c r="N288" s="27" t="str">
        <f t="shared" si="22"/>
        <v>CHUADO</v>
      </c>
    </row>
    <row r="289" spans="1:14" x14ac:dyDescent="0.3">
      <c r="A289" s="104"/>
      <c r="B289" s="108"/>
      <c r="C289" s="109"/>
      <c r="D289" s="110"/>
      <c r="E289" s="114"/>
      <c r="F289" s="116"/>
      <c r="G289" s="58">
        <f t="shared" si="26"/>
        <v>-88.9</v>
      </c>
      <c r="H289" s="116"/>
      <c r="I289" s="58" t="str">
        <f>I288</f>
        <v>-52</v>
      </c>
      <c r="J289" s="25" t="s">
        <v>176</v>
      </c>
      <c r="K289" s="27"/>
      <c r="L289" s="118"/>
      <c r="M289" s="27" t="str">
        <f t="shared" si="24"/>
        <v/>
      </c>
      <c r="N289" s="27" t="str">
        <f t="shared" si="22"/>
        <v>CHUADO</v>
      </c>
    </row>
    <row r="290" spans="1:14" x14ac:dyDescent="0.3">
      <c r="A290" s="104"/>
      <c r="B290" s="108"/>
      <c r="C290" s="109"/>
      <c r="D290" s="110"/>
      <c r="E290" s="114"/>
      <c r="F290" s="116"/>
      <c r="G290" s="58">
        <f t="shared" si="26"/>
        <v>-88.9</v>
      </c>
      <c r="H290" s="116"/>
      <c r="I290" s="58" t="str">
        <f t="shared" ref="I290:I295" si="27">I289</f>
        <v>-52</v>
      </c>
      <c r="J290" s="25" t="s">
        <v>177</v>
      </c>
      <c r="K290" s="27"/>
      <c r="L290" s="118"/>
      <c r="M290" s="27" t="str">
        <f t="shared" si="24"/>
        <v/>
      </c>
      <c r="N290" s="27" t="str">
        <f t="shared" si="22"/>
        <v>CHUADO</v>
      </c>
    </row>
    <row r="291" spans="1:14" x14ac:dyDescent="0.3">
      <c r="A291" s="104"/>
      <c r="B291" s="108"/>
      <c r="C291" s="109"/>
      <c r="D291" s="110"/>
      <c r="E291" s="114"/>
      <c r="F291" s="116"/>
      <c r="G291" s="58">
        <f t="shared" si="26"/>
        <v>-88.9</v>
      </c>
      <c r="H291" s="116"/>
      <c r="I291" s="58" t="str">
        <f t="shared" si="27"/>
        <v>-52</v>
      </c>
      <c r="J291" s="25" t="s">
        <v>178</v>
      </c>
      <c r="K291" s="27"/>
      <c r="L291" s="118"/>
      <c r="M291" s="27" t="str">
        <f t="shared" si="24"/>
        <v/>
      </c>
      <c r="N291" s="27" t="str">
        <f t="shared" si="22"/>
        <v>CHUADO</v>
      </c>
    </row>
    <row r="292" spans="1:14" x14ac:dyDescent="0.3">
      <c r="A292" s="104"/>
      <c r="B292" s="108"/>
      <c r="C292" s="109"/>
      <c r="D292" s="110"/>
      <c r="E292" s="114"/>
      <c r="F292" s="116"/>
      <c r="G292" s="58">
        <f t="shared" si="26"/>
        <v>-88.9</v>
      </c>
      <c r="H292" s="116"/>
      <c r="I292" s="58" t="str">
        <f t="shared" si="27"/>
        <v>-52</v>
      </c>
      <c r="J292" s="25" t="s">
        <v>179</v>
      </c>
      <c r="K292" s="27"/>
      <c r="L292" s="118"/>
      <c r="M292" s="27" t="str">
        <f t="shared" si="24"/>
        <v/>
      </c>
      <c r="N292" s="27" t="str">
        <f t="shared" si="22"/>
        <v>CHUADO</v>
      </c>
    </row>
    <row r="293" spans="1:14" x14ac:dyDescent="0.3">
      <c r="A293" s="104"/>
      <c r="B293" s="108"/>
      <c r="C293" s="109"/>
      <c r="D293" s="110"/>
      <c r="E293" s="114"/>
      <c r="F293" s="116"/>
      <c r="G293" s="58">
        <f t="shared" si="26"/>
        <v>-88.9</v>
      </c>
      <c r="H293" s="116"/>
      <c r="I293" s="58" t="str">
        <f t="shared" si="27"/>
        <v>-52</v>
      </c>
      <c r="J293" s="25" t="s">
        <v>180</v>
      </c>
      <c r="K293" s="27"/>
      <c r="L293" s="118"/>
      <c r="M293" s="27" t="str">
        <f t="shared" si="24"/>
        <v/>
      </c>
      <c r="N293" s="27" t="str">
        <f t="shared" si="22"/>
        <v>CHUADO</v>
      </c>
    </row>
    <row r="294" spans="1:14" x14ac:dyDescent="0.3">
      <c r="A294" s="104"/>
      <c r="B294" s="108"/>
      <c r="C294" s="109"/>
      <c r="D294" s="110"/>
      <c r="E294" s="114"/>
      <c r="F294" s="116"/>
      <c r="G294" s="58">
        <f t="shared" si="26"/>
        <v>-88.9</v>
      </c>
      <c r="H294" s="116"/>
      <c r="I294" s="58" t="str">
        <f t="shared" si="27"/>
        <v>-52</v>
      </c>
      <c r="J294" s="25" t="s">
        <v>181</v>
      </c>
      <c r="K294" s="27"/>
      <c r="L294" s="118"/>
      <c r="M294" s="27" t="str">
        <f t="shared" si="24"/>
        <v/>
      </c>
      <c r="N294" s="27" t="str">
        <f t="shared" si="22"/>
        <v>CHUADO</v>
      </c>
    </row>
    <row r="295" spans="1:14" x14ac:dyDescent="0.3">
      <c r="A295" s="104"/>
      <c r="B295" s="111"/>
      <c r="C295" s="112"/>
      <c r="D295" s="113"/>
      <c r="E295" s="114"/>
      <c r="F295" s="117"/>
      <c r="G295" s="58">
        <f t="shared" si="26"/>
        <v>-88.9</v>
      </c>
      <c r="H295" s="117"/>
      <c r="I295" s="58" t="str">
        <f t="shared" si="27"/>
        <v>-52</v>
      </c>
      <c r="J295" s="25" t="s">
        <v>182</v>
      </c>
      <c r="K295" s="27"/>
      <c r="L295" s="118"/>
      <c r="M295" s="27" t="str">
        <f t="shared" si="24"/>
        <v/>
      </c>
      <c r="N295" s="27" t="str">
        <f t="shared" si="22"/>
        <v>CHUADO</v>
      </c>
    </row>
    <row r="296" spans="1:14" ht="15.6" customHeight="1" x14ac:dyDescent="0.3">
      <c r="A296" s="104" t="s">
        <v>147</v>
      </c>
      <c r="B296" s="105" t="s">
        <v>148</v>
      </c>
      <c r="C296" s="106"/>
      <c r="D296" s="107"/>
      <c r="E296" s="114" t="s">
        <v>52</v>
      </c>
      <c r="F296" s="115" t="s">
        <v>220</v>
      </c>
      <c r="G296" s="58">
        <f t="shared" si="26"/>
        <v>-88.9</v>
      </c>
      <c r="H296" s="115" t="s">
        <v>205</v>
      </c>
      <c r="I296" s="58" t="s">
        <v>149</v>
      </c>
      <c r="J296" s="25" t="s">
        <v>175</v>
      </c>
      <c r="K296" s="27"/>
      <c r="L296" s="118" t="s">
        <v>150</v>
      </c>
      <c r="M296" s="27" t="str">
        <f t="shared" si="24"/>
        <v/>
      </c>
      <c r="N296" s="27" t="str">
        <f t="shared" si="22"/>
        <v>CHUADO</v>
      </c>
    </row>
    <row r="297" spans="1:14" x14ac:dyDescent="0.3">
      <c r="A297" s="104"/>
      <c r="B297" s="108"/>
      <c r="C297" s="109"/>
      <c r="D297" s="110"/>
      <c r="E297" s="114"/>
      <c r="F297" s="116"/>
      <c r="G297" s="58">
        <f t="shared" si="26"/>
        <v>-88.9</v>
      </c>
      <c r="H297" s="116"/>
      <c r="I297" s="58" t="str">
        <f>I296</f>
        <v>-43</v>
      </c>
      <c r="J297" s="25" t="s">
        <v>176</v>
      </c>
      <c r="K297" s="27"/>
      <c r="L297" s="118"/>
      <c r="M297" s="27" t="str">
        <f t="shared" si="24"/>
        <v/>
      </c>
      <c r="N297" s="27" t="str">
        <f t="shared" si="22"/>
        <v>CHUADO</v>
      </c>
    </row>
    <row r="298" spans="1:14" x14ac:dyDescent="0.3">
      <c r="A298" s="104"/>
      <c r="B298" s="108"/>
      <c r="C298" s="109"/>
      <c r="D298" s="110"/>
      <c r="E298" s="114"/>
      <c r="F298" s="116"/>
      <c r="G298" s="58">
        <f t="shared" si="26"/>
        <v>-88.9</v>
      </c>
      <c r="H298" s="116"/>
      <c r="I298" s="58" t="str">
        <f>I296</f>
        <v>-43</v>
      </c>
      <c r="J298" s="25" t="s">
        <v>177</v>
      </c>
      <c r="K298" s="27"/>
      <c r="L298" s="118"/>
      <c r="M298" s="27" t="str">
        <f t="shared" si="24"/>
        <v/>
      </c>
      <c r="N298" s="27" t="str">
        <f t="shared" si="22"/>
        <v>CHUADO</v>
      </c>
    </row>
    <row r="299" spans="1:14" x14ac:dyDescent="0.3">
      <c r="A299" s="104"/>
      <c r="B299" s="108"/>
      <c r="C299" s="109"/>
      <c r="D299" s="110"/>
      <c r="E299" s="114"/>
      <c r="F299" s="116"/>
      <c r="G299" s="58">
        <f t="shared" si="26"/>
        <v>-88.9</v>
      </c>
      <c r="H299" s="116"/>
      <c r="I299" s="58" t="str">
        <f>I296</f>
        <v>-43</v>
      </c>
      <c r="J299" s="25" t="s">
        <v>178</v>
      </c>
      <c r="K299" s="27"/>
      <c r="L299" s="118"/>
      <c r="M299" s="27" t="str">
        <f t="shared" si="24"/>
        <v/>
      </c>
      <c r="N299" s="27" t="str">
        <f t="shared" si="22"/>
        <v>CHUADO</v>
      </c>
    </row>
    <row r="300" spans="1:14" x14ac:dyDescent="0.3">
      <c r="A300" s="104"/>
      <c r="B300" s="108"/>
      <c r="C300" s="109"/>
      <c r="D300" s="110"/>
      <c r="E300" s="114"/>
      <c r="F300" s="116"/>
      <c r="G300" s="58">
        <f t="shared" si="26"/>
        <v>-88.9</v>
      </c>
      <c r="H300" s="116"/>
      <c r="I300" s="58" t="str">
        <f>I296</f>
        <v>-43</v>
      </c>
      <c r="J300" s="25" t="s">
        <v>179</v>
      </c>
      <c r="K300" s="27"/>
      <c r="L300" s="118"/>
      <c r="M300" s="27" t="str">
        <f t="shared" si="24"/>
        <v/>
      </c>
      <c r="N300" s="27" t="str">
        <f t="shared" si="22"/>
        <v>CHUADO</v>
      </c>
    </row>
    <row r="301" spans="1:14" x14ac:dyDescent="0.3">
      <c r="A301" s="104"/>
      <c r="B301" s="108"/>
      <c r="C301" s="109"/>
      <c r="D301" s="110"/>
      <c r="E301" s="114"/>
      <c r="F301" s="116"/>
      <c r="G301" s="58">
        <f t="shared" si="26"/>
        <v>-88.9</v>
      </c>
      <c r="H301" s="116"/>
      <c r="I301" s="58" t="str">
        <f>I296</f>
        <v>-43</v>
      </c>
      <c r="J301" s="25" t="s">
        <v>180</v>
      </c>
      <c r="K301" s="27"/>
      <c r="L301" s="118"/>
      <c r="M301" s="27" t="str">
        <f t="shared" si="24"/>
        <v/>
      </c>
      <c r="N301" s="27" t="str">
        <f t="shared" si="22"/>
        <v>CHUADO</v>
      </c>
    </row>
    <row r="302" spans="1:14" x14ac:dyDescent="0.3">
      <c r="A302" s="104"/>
      <c r="B302" s="108"/>
      <c r="C302" s="109"/>
      <c r="D302" s="110"/>
      <c r="E302" s="114"/>
      <c r="F302" s="116"/>
      <c r="G302" s="58">
        <f t="shared" si="26"/>
        <v>-88.9</v>
      </c>
      <c r="H302" s="116"/>
      <c r="I302" s="58" t="str">
        <f>I296</f>
        <v>-43</v>
      </c>
      <c r="J302" s="25" t="s">
        <v>181</v>
      </c>
      <c r="K302" s="27"/>
      <c r="L302" s="118"/>
      <c r="M302" s="27" t="str">
        <f t="shared" si="24"/>
        <v/>
      </c>
      <c r="N302" s="27" t="str">
        <f t="shared" si="22"/>
        <v>CHUADO</v>
      </c>
    </row>
    <row r="303" spans="1:14" x14ac:dyDescent="0.3">
      <c r="A303" s="104"/>
      <c r="B303" s="111"/>
      <c r="C303" s="112"/>
      <c r="D303" s="113"/>
      <c r="E303" s="114"/>
      <c r="F303" s="117"/>
      <c r="G303" s="58">
        <f t="shared" si="26"/>
        <v>-88.9</v>
      </c>
      <c r="H303" s="117"/>
      <c r="I303" s="58" t="str">
        <f>I296</f>
        <v>-43</v>
      </c>
      <c r="J303" s="25" t="s">
        <v>182</v>
      </c>
      <c r="K303" s="27"/>
      <c r="L303" s="118"/>
      <c r="M303" s="27" t="str">
        <f t="shared" si="24"/>
        <v/>
      </c>
      <c r="N303" s="27" t="str">
        <f t="shared" si="22"/>
        <v>CHUADO</v>
      </c>
    </row>
    <row r="304" spans="1:14" ht="15.6" customHeight="1" x14ac:dyDescent="0.3">
      <c r="A304" s="104" t="s">
        <v>151</v>
      </c>
      <c r="B304" s="105" t="s">
        <v>152</v>
      </c>
      <c r="C304" s="106"/>
      <c r="D304" s="107"/>
      <c r="E304" s="114" t="s">
        <v>52</v>
      </c>
      <c r="F304" s="115" t="s">
        <v>220</v>
      </c>
      <c r="G304" s="58">
        <f t="shared" si="26"/>
        <v>-88.9</v>
      </c>
      <c r="H304" s="115" t="s">
        <v>206</v>
      </c>
      <c r="I304" s="44" t="s">
        <v>153</v>
      </c>
      <c r="J304" s="25" t="s">
        <v>175</v>
      </c>
      <c r="K304" s="27"/>
      <c r="L304" s="118" t="s">
        <v>154</v>
      </c>
      <c r="M304" s="27" t="str">
        <f t="shared" si="24"/>
        <v/>
      </c>
      <c r="N304" s="27" t="str">
        <f t="shared" si="22"/>
        <v>CHUADO</v>
      </c>
    </row>
    <row r="305" spans="1:14" x14ac:dyDescent="0.3">
      <c r="A305" s="104"/>
      <c r="B305" s="108"/>
      <c r="C305" s="109"/>
      <c r="D305" s="110"/>
      <c r="E305" s="114"/>
      <c r="F305" s="116"/>
      <c r="G305" s="58">
        <f t="shared" si="26"/>
        <v>-88.9</v>
      </c>
      <c r="H305" s="116"/>
      <c r="I305" s="58" t="str">
        <f>I304</f>
        <v>-49</v>
      </c>
      <c r="J305" s="25" t="s">
        <v>176</v>
      </c>
      <c r="K305" s="27"/>
      <c r="L305" s="118"/>
      <c r="M305" s="27" t="str">
        <f t="shared" si="24"/>
        <v/>
      </c>
      <c r="N305" s="27" t="str">
        <f t="shared" si="22"/>
        <v>CHUADO</v>
      </c>
    </row>
    <row r="306" spans="1:14" x14ac:dyDescent="0.3">
      <c r="A306" s="104"/>
      <c r="B306" s="108"/>
      <c r="C306" s="109"/>
      <c r="D306" s="110"/>
      <c r="E306" s="114"/>
      <c r="F306" s="116"/>
      <c r="G306" s="58">
        <f t="shared" si="26"/>
        <v>-88.9</v>
      </c>
      <c r="H306" s="116"/>
      <c r="I306" s="58" t="str">
        <f>I304</f>
        <v>-49</v>
      </c>
      <c r="J306" s="25" t="s">
        <v>177</v>
      </c>
      <c r="K306" s="27"/>
      <c r="L306" s="118"/>
      <c r="M306" s="27" t="str">
        <f t="shared" si="24"/>
        <v/>
      </c>
      <c r="N306" s="27" t="str">
        <f t="shared" si="22"/>
        <v>CHUADO</v>
      </c>
    </row>
    <row r="307" spans="1:14" x14ac:dyDescent="0.3">
      <c r="A307" s="104"/>
      <c r="B307" s="108"/>
      <c r="C307" s="109"/>
      <c r="D307" s="110"/>
      <c r="E307" s="114"/>
      <c r="F307" s="116"/>
      <c r="G307" s="58">
        <f t="shared" si="26"/>
        <v>-88.9</v>
      </c>
      <c r="H307" s="116"/>
      <c r="I307" s="58" t="str">
        <f>I304</f>
        <v>-49</v>
      </c>
      <c r="J307" s="25" t="s">
        <v>178</v>
      </c>
      <c r="K307" s="27"/>
      <c r="L307" s="118"/>
      <c r="M307" s="27" t="str">
        <f t="shared" si="24"/>
        <v/>
      </c>
      <c r="N307" s="27" t="str">
        <f t="shared" si="22"/>
        <v>CHUADO</v>
      </c>
    </row>
    <row r="308" spans="1:14" x14ac:dyDescent="0.3">
      <c r="A308" s="104"/>
      <c r="B308" s="108"/>
      <c r="C308" s="109"/>
      <c r="D308" s="110"/>
      <c r="E308" s="114"/>
      <c r="F308" s="116"/>
      <c r="G308" s="58">
        <f t="shared" si="26"/>
        <v>-88.9</v>
      </c>
      <c r="H308" s="116"/>
      <c r="I308" s="58" t="str">
        <f>I304</f>
        <v>-49</v>
      </c>
      <c r="J308" s="25" t="s">
        <v>179</v>
      </c>
      <c r="K308" s="27"/>
      <c r="L308" s="118"/>
      <c r="M308" s="27" t="str">
        <f t="shared" si="24"/>
        <v/>
      </c>
      <c r="N308" s="27" t="str">
        <f t="shared" si="22"/>
        <v>CHUADO</v>
      </c>
    </row>
    <row r="309" spans="1:14" x14ac:dyDescent="0.3">
      <c r="A309" s="104"/>
      <c r="B309" s="108"/>
      <c r="C309" s="109"/>
      <c r="D309" s="110"/>
      <c r="E309" s="114"/>
      <c r="F309" s="116"/>
      <c r="G309" s="58">
        <f t="shared" si="26"/>
        <v>-88.9</v>
      </c>
      <c r="H309" s="116"/>
      <c r="I309" s="58" t="str">
        <f>I304</f>
        <v>-49</v>
      </c>
      <c r="J309" s="25" t="s">
        <v>180</v>
      </c>
      <c r="K309" s="27"/>
      <c r="L309" s="118"/>
      <c r="M309" s="27" t="str">
        <f t="shared" si="24"/>
        <v/>
      </c>
      <c r="N309" s="27" t="str">
        <f t="shared" si="22"/>
        <v>CHUADO</v>
      </c>
    </row>
    <row r="310" spans="1:14" x14ac:dyDescent="0.3">
      <c r="A310" s="104"/>
      <c r="B310" s="108"/>
      <c r="C310" s="109"/>
      <c r="D310" s="110"/>
      <c r="E310" s="114"/>
      <c r="F310" s="116"/>
      <c r="G310" s="58">
        <f t="shared" si="26"/>
        <v>-88.9</v>
      </c>
      <c r="H310" s="116"/>
      <c r="I310" s="58" t="str">
        <f>I304</f>
        <v>-49</v>
      </c>
      <c r="J310" s="25" t="s">
        <v>181</v>
      </c>
      <c r="K310" s="27"/>
      <c r="L310" s="118"/>
      <c r="M310" s="27" t="str">
        <f t="shared" si="24"/>
        <v/>
      </c>
      <c r="N310" s="27" t="str">
        <f t="shared" si="22"/>
        <v>CHUADO</v>
      </c>
    </row>
    <row r="311" spans="1:14" x14ac:dyDescent="0.3">
      <c r="A311" s="104"/>
      <c r="B311" s="111"/>
      <c r="C311" s="112"/>
      <c r="D311" s="113"/>
      <c r="E311" s="114"/>
      <c r="F311" s="117"/>
      <c r="G311" s="58">
        <f t="shared" si="26"/>
        <v>-88.9</v>
      </c>
      <c r="H311" s="117"/>
      <c r="I311" s="58" t="str">
        <f>I304</f>
        <v>-49</v>
      </c>
      <c r="J311" s="25" t="s">
        <v>182</v>
      </c>
      <c r="K311" s="27"/>
      <c r="L311" s="118"/>
      <c r="M311" s="27" t="str">
        <f t="shared" si="24"/>
        <v/>
      </c>
      <c r="N311" s="27" t="str">
        <f t="shared" si="22"/>
        <v>CHUADO</v>
      </c>
    </row>
    <row r="312" spans="1:14" ht="15.6" customHeight="1" x14ac:dyDescent="0.3">
      <c r="A312" s="104" t="s">
        <v>155</v>
      </c>
      <c r="B312" s="105" t="s">
        <v>156</v>
      </c>
      <c r="C312" s="106"/>
      <c r="D312" s="107"/>
      <c r="E312" s="114" t="s">
        <v>52</v>
      </c>
      <c r="F312" s="115" t="s">
        <v>220</v>
      </c>
      <c r="G312" s="58">
        <f t="shared" si="26"/>
        <v>-88.9</v>
      </c>
      <c r="H312" s="132" t="s">
        <v>207</v>
      </c>
      <c r="I312" s="58" t="s">
        <v>157</v>
      </c>
      <c r="J312" s="25" t="s">
        <v>175</v>
      </c>
      <c r="K312" s="27"/>
      <c r="L312" s="118" t="s">
        <v>158</v>
      </c>
      <c r="M312" s="27" t="str">
        <f t="shared" si="24"/>
        <v/>
      </c>
      <c r="N312" s="27" t="str">
        <f t="shared" si="22"/>
        <v>CHUADO</v>
      </c>
    </row>
    <row r="313" spans="1:14" x14ac:dyDescent="0.3">
      <c r="A313" s="104"/>
      <c r="B313" s="108"/>
      <c r="C313" s="109"/>
      <c r="D313" s="110"/>
      <c r="E313" s="114"/>
      <c r="F313" s="116"/>
      <c r="G313" s="58">
        <f t="shared" si="26"/>
        <v>-88.9</v>
      </c>
      <c r="H313" s="119"/>
      <c r="I313" s="58" t="str">
        <f>I312</f>
        <v>-15</v>
      </c>
      <c r="J313" s="25" t="s">
        <v>176</v>
      </c>
      <c r="K313" s="27"/>
      <c r="L313" s="118"/>
      <c r="M313" s="27" t="str">
        <f t="shared" si="24"/>
        <v/>
      </c>
      <c r="N313" s="27" t="str">
        <f t="shared" si="22"/>
        <v>CHUADO</v>
      </c>
    </row>
    <row r="314" spans="1:14" x14ac:dyDescent="0.3">
      <c r="A314" s="104"/>
      <c r="B314" s="108"/>
      <c r="C314" s="109"/>
      <c r="D314" s="110"/>
      <c r="E314" s="114"/>
      <c r="F314" s="116"/>
      <c r="G314" s="58">
        <f t="shared" si="26"/>
        <v>-88.9</v>
      </c>
      <c r="H314" s="119"/>
      <c r="I314" s="58" t="str">
        <f>I312</f>
        <v>-15</v>
      </c>
      <c r="J314" s="25" t="s">
        <v>177</v>
      </c>
      <c r="K314" s="27"/>
      <c r="L314" s="118"/>
      <c r="M314" s="27" t="str">
        <f t="shared" si="24"/>
        <v/>
      </c>
      <c r="N314" s="27" t="str">
        <f t="shared" si="22"/>
        <v>CHUADO</v>
      </c>
    </row>
    <row r="315" spans="1:14" x14ac:dyDescent="0.3">
      <c r="A315" s="104"/>
      <c r="B315" s="108"/>
      <c r="C315" s="109"/>
      <c r="D315" s="110"/>
      <c r="E315" s="114"/>
      <c r="F315" s="116"/>
      <c r="G315" s="58">
        <f t="shared" si="26"/>
        <v>-88.9</v>
      </c>
      <c r="H315" s="119"/>
      <c r="I315" s="58" t="str">
        <f>I312</f>
        <v>-15</v>
      </c>
      <c r="J315" s="25" t="s">
        <v>178</v>
      </c>
      <c r="K315" s="27"/>
      <c r="L315" s="118"/>
      <c r="M315" s="27" t="str">
        <f t="shared" si="24"/>
        <v/>
      </c>
      <c r="N315" s="27" t="str">
        <f t="shared" si="22"/>
        <v>CHUADO</v>
      </c>
    </row>
    <row r="316" spans="1:14" x14ac:dyDescent="0.3">
      <c r="A316" s="104"/>
      <c r="B316" s="108"/>
      <c r="C316" s="109"/>
      <c r="D316" s="110"/>
      <c r="E316" s="114"/>
      <c r="F316" s="116"/>
      <c r="G316" s="58">
        <f t="shared" si="26"/>
        <v>-88.9</v>
      </c>
      <c r="H316" s="119"/>
      <c r="I316" s="58" t="str">
        <f>I312</f>
        <v>-15</v>
      </c>
      <c r="J316" s="25" t="s">
        <v>179</v>
      </c>
      <c r="K316" s="27"/>
      <c r="L316" s="118"/>
      <c r="M316" s="27" t="str">
        <f t="shared" si="24"/>
        <v/>
      </c>
      <c r="N316" s="27" t="str">
        <f t="shared" si="22"/>
        <v>CHUADO</v>
      </c>
    </row>
    <row r="317" spans="1:14" x14ac:dyDescent="0.3">
      <c r="A317" s="104"/>
      <c r="B317" s="108"/>
      <c r="C317" s="109"/>
      <c r="D317" s="110"/>
      <c r="E317" s="114"/>
      <c r="F317" s="116"/>
      <c r="G317" s="58">
        <f t="shared" si="26"/>
        <v>-88.9</v>
      </c>
      <c r="H317" s="119"/>
      <c r="I317" s="58" t="str">
        <f>I312</f>
        <v>-15</v>
      </c>
      <c r="J317" s="25" t="s">
        <v>180</v>
      </c>
      <c r="K317" s="27"/>
      <c r="L317" s="118"/>
      <c r="M317" s="27" t="str">
        <f t="shared" si="24"/>
        <v/>
      </c>
      <c r="N317" s="27" t="str">
        <f t="shared" si="22"/>
        <v>CHUADO</v>
      </c>
    </row>
    <row r="318" spans="1:14" x14ac:dyDescent="0.3">
      <c r="A318" s="104"/>
      <c r="B318" s="108"/>
      <c r="C318" s="109"/>
      <c r="D318" s="110"/>
      <c r="E318" s="114"/>
      <c r="F318" s="116"/>
      <c r="G318" s="58">
        <f t="shared" si="26"/>
        <v>-88.9</v>
      </c>
      <c r="H318" s="119"/>
      <c r="I318" s="58" t="str">
        <f>I312</f>
        <v>-15</v>
      </c>
      <c r="J318" s="25" t="s">
        <v>181</v>
      </c>
      <c r="K318" s="27"/>
      <c r="L318" s="118"/>
      <c r="M318" s="27" t="str">
        <f t="shared" si="24"/>
        <v/>
      </c>
      <c r="N318" s="27" t="str">
        <f t="shared" si="22"/>
        <v>CHUADO</v>
      </c>
    </row>
    <row r="319" spans="1:14" x14ac:dyDescent="0.3">
      <c r="A319" s="104"/>
      <c r="B319" s="111"/>
      <c r="C319" s="112"/>
      <c r="D319" s="113"/>
      <c r="E319" s="114"/>
      <c r="F319" s="117"/>
      <c r="G319" s="58">
        <f t="shared" si="26"/>
        <v>-88.9</v>
      </c>
      <c r="H319" s="120"/>
      <c r="I319" s="58" t="str">
        <f>I312</f>
        <v>-15</v>
      </c>
      <c r="J319" s="25" t="s">
        <v>182</v>
      </c>
      <c r="K319" s="27"/>
      <c r="L319" s="118"/>
      <c r="M319" s="27" t="str">
        <f t="shared" si="24"/>
        <v/>
      </c>
      <c r="N319" s="27" t="str">
        <f t="shared" si="22"/>
        <v>CHUADO</v>
      </c>
    </row>
    <row r="320" spans="1:14" ht="15.75" customHeight="1" x14ac:dyDescent="0.3">
      <c r="A320" s="115" t="s">
        <v>159</v>
      </c>
      <c r="B320" s="105" t="s">
        <v>160</v>
      </c>
      <c r="C320" s="106"/>
      <c r="D320" s="107"/>
      <c r="E320" s="114" t="s">
        <v>52</v>
      </c>
      <c r="F320" s="115"/>
      <c r="G320" s="123" t="s">
        <v>222</v>
      </c>
      <c r="H320" s="124"/>
      <c r="I320" s="125"/>
      <c r="J320" s="25" t="s">
        <v>175</v>
      </c>
      <c r="K320" s="27"/>
      <c r="L320" s="118" t="s">
        <v>161</v>
      </c>
      <c r="M320" s="27" t="str">
        <f>IF(ISBLANK(K320),"",IF(AND(K320*1&lt;-57),"PASS","FAIL"))</f>
        <v/>
      </c>
      <c r="N320" s="27" t="str">
        <f t="shared" si="22"/>
        <v>CHUADO</v>
      </c>
    </row>
    <row r="321" spans="1:14" x14ac:dyDescent="0.3">
      <c r="A321" s="116"/>
      <c r="B321" s="108"/>
      <c r="C321" s="109"/>
      <c r="D321" s="110"/>
      <c r="E321" s="114"/>
      <c r="F321" s="116"/>
      <c r="G321" s="126"/>
      <c r="H321" s="127"/>
      <c r="I321" s="128"/>
      <c r="J321" s="25" t="s">
        <v>176</v>
      </c>
      <c r="K321" s="27"/>
      <c r="L321" s="118"/>
      <c r="M321" s="27" t="str">
        <f t="shared" ref="M321:M327" si="28">IF(ISBLANK(K321),"",IF(AND(K321*1&lt;-57),"PASS","FAIL"))</f>
        <v/>
      </c>
      <c r="N321" s="27" t="str">
        <f t="shared" si="22"/>
        <v>CHUADO</v>
      </c>
    </row>
    <row r="322" spans="1:14" x14ac:dyDescent="0.3">
      <c r="A322" s="116"/>
      <c r="B322" s="108"/>
      <c r="C322" s="109"/>
      <c r="D322" s="110"/>
      <c r="E322" s="114"/>
      <c r="F322" s="116"/>
      <c r="G322" s="126"/>
      <c r="H322" s="127"/>
      <c r="I322" s="128"/>
      <c r="J322" s="25" t="s">
        <v>177</v>
      </c>
      <c r="K322" s="27"/>
      <c r="L322" s="118"/>
      <c r="M322" s="27" t="str">
        <f t="shared" si="28"/>
        <v/>
      </c>
      <c r="N322" s="27" t="str">
        <f t="shared" si="22"/>
        <v>CHUADO</v>
      </c>
    </row>
    <row r="323" spans="1:14" x14ac:dyDescent="0.3">
      <c r="A323" s="116"/>
      <c r="B323" s="108"/>
      <c r="C323" s="109"/>
      <c r="D323" s="110"/>
      <c r="E323" s="114"/>
      <c r="F323" s="116"/>
      <c r="G323" s="126"/>
      <c r="H323" s="127"/>
      <c r="I323" s="128"/>
      <c r="J323" s="25" t="s">
        <v>178</v>
      </c>
      <c r="K323" s="27"/>
      <c r="L323" s="118"/>
      <c r="M323" s="27" t="str">
        <f t="shared" si="28"/>
        <v/>
      </c>
      <c r="N323" s="27" t="str">
        <f t="shared" si="22"/>
        <v>CHUADO</v>
      </c>
    </row>
    <row r="324" spans="1:14" x14ac:dyDescent="0.3">
      <c r="A324" s="116"/>
      <c r="B324" s="108"/>
      <c r="C324" s="109"/>
      <c r="D324" s="110"/>
      <c r="E324" s="114"/>
      <c r="F324" s="116"/>
      <c r="G324" s="126"/>
      <c r="H324" s="127"/>
      <c r="I324" s="128"/>
      <c r="J324" s="25" t="s">
        <v>179</v>
      </c>
      <c r="K324" s="27"/>
      <c r="L324" s="118"/>
      <c r="M324" s="27" t="str">
        <f t="shared" si="28"/>
        <v/>
      </c>
      <c r="N324" s="27" t="str">
        <f t="shared" si="22"/>
        <v>CHUADO</v>
      </c>
    </row>
    <row r="325" spans="1:14" x14ac:dyDescent="0.3">
      <c r="A325" s="116"/>
      <c r="B325" s="108"/>
      <c r="C325" s="109"/>
      <c r="D325" s="110"/>
      <c r="E325" s="114"/>
      <c r="F325" s="116"/>
      <c r="G325" s="126"/>
      <c r="H325" s="127"/>
      <c r="I325" s="128"/>
      <c r="J325" s="25" t="s">
        <v>180</v>
      </c>
      <c r="K325" s="27"/>
      <c r="L325" s="118"/>
      <c r="M325" s="27" t="str">
        <f t="shared" si="28"/>
        <v/>
      </c>
      <c r="N325" s="27" t="str">
        <f t="shared" si="22"/>
        <v>CHUADO</v>
      </c>
    </row>
    <row r="326" spans="1:14" x14ac:dyDescent="0.3">
      <c r="A326" s="116"/>
      <c r="B326" s="108"/>
      <c r="C326" s="109"/>
      <c r="D326" s="110"/>
      <c r="E326" s="114"/>
      <c r="F326" s="116"/>
      <c r="G326" s="126"/>
      <c r="H326" s="127"/>
      <c r="I326" s="128"/>
      <c r="J326" s="25" t="s">
        <v>181</v>
      </c>
      <c r="K326" s="27"/>
      <c r="L326" s="118"/>
      <c r="M326" s="27" t="str">
        <f t="shared" si="28"/>
        <v/>
      </c>
      <c r="N326" s="27" t="str">
        <f t="shared" si="22"/>
        <v>CHUADO</v>
      </c>
    </row>
    <row r="327" spans="1:14" x14ac:dyDescent="0.3">
      <c r="A327" s="116"/>
      <c r="B327" s="108"/>
      <c r="C327" s="109"/>
      <c r="D327" s="110"/>
      <c r="E327" s="114"/>
      <c r="F327" s="117"/>
      <c r="G327" s="129"/>
      <c r="H327" s="130"/>
      <c r="I327" s="131"/>
      <c r="J327" s="25" t="s">
        <v>182</v>
      </c>
      <c r="K327" s="27"/>
      <c r="L327" s="118"/>
      <c r="M327" s="27" t="str">
        <f t="shared" si="28"/>
        <v/>
      </c>
      <c r="N327" s="27" t="str">
        <f t="shared" si="22"/>
        <v>CHUADO</v>
      </c>
    </row>
    <row r="328" spans="1:14" ht="15.6" customHeight="1" x14ac:dyDescent="0.3">
      <c r="A328" s="116"/>
      <c r="B328" s="108"/>
      <c r="C328" s="109"/>
      <c r="D328" s="110"/>
      <c r="E328" s="114" t="s">
        <v>52</v>
      </c>
      <c r="F328" s="115"/>
      <c r="G328" s="123" t="s">
        <v>223</v>
      </c>
      <c r="H328" s="124"/>
      <c r="I328" s="125"/>
      <c r="J328" s="25" t="s">
        <v>175</v>
      </c>
      <c r="K328" s="27"/>
      <c r="L328" s="118" t="s">
        <v>161</v>
      </c>
      <c r="M328" s="27" t="str">
        <f>IF(ISBLANK(K328),"",IF(AND(K328*1&lt;-47),"PASS","FAIL"))</f>
        <v/>
      </c>
      <c r="N328" s="27" t="str">
        <f t="shared" si="22"/>
        <v>CHUADO</v>
      </c>
    </row>
    <row r="329" spans="1:14" x14ac:dyDescent="0.3">
      <c r="A329" s="116"/>
      <c r="B329" s="108"/>
      <c r="C329" s="109"/>
      <c r="D329" s="110"/>
      <c r="E329" s="114"/>
      <c r="F329" s="116"/>
      <c r="G329" s="126"/>
      <c r="H329" s="127"/>
      <c r="I329" s="128"/>
      <c r="J329" s="25" t="s">
        <v>176</v>
      </c>
      <c r="K329" s="27"/>
      <c r="L329" s="118"/>
      <c r="M329" s="27" t="str">
        <f t="shared" ref="M329:M343" si="29">IF(ISBLANK(K329),"",IF(AND(K329*1&lt;-47),"PASS","FAIL"))</f>
        <v/>
      </c>
      <c r="N329" s="27" t="str">
        <f t="shared" si="22"/>
        <v>CHUADO</v>
      </c>
    </row>
    <row r="330" spans="1:14" x14ac:dyDescent="0.3">
      <c r="A330" s="116"/>
      <c r="B330" s="108"/>
      <c r="C330" s="109"/>
      <c r="D330" s="110"/>
      <c r="E330" s="114"/>
      <c r="F330" s="116"/>
      <c r="G330" s="126"/>
      <c r="H330" s="127"/>
      <c r="I330" s="128"/>
      <c r="J330" s="25" t="s">
        <v>177</v>
      </c>
      <c r="K330" s="27"/>
      <c r="L330" s="118"/>
      <c r="M330" s="27" t="str">
        <f t="shared" si="29"/>
        <v/>
      </c>
      <c r="N330" s="27" t="str">
        <f t="shared" si="22"/>
        <v>CHUADO</v>
      </c>
    </row>
    <row r="331" spans="1:14" x14ac:dyDescent="0.3">
      <c r="A331" s="116"/>
      <c r="B331" s="108"/>
      <c r="C331" s="109"/>
      <c r="D331" s="110"/>
      <c r="E331" s="114"/>
      <c r="F331" s="116"/>
      <c r="G331" s="126"/>
      <c r="H331" s="127"/>
      <c r="I331" s="128"/>
      <c r="J331" s="25" t="s">
        <v>178</v>
      </c>
      <c r="K331" s="27"/>
      <c r="L331" s="118"/>
      <c r="M331" s="27" t="str">
        <f t="shared" si="29"/>
        <v/>
      </c>
      <c r="N331" s="27" t="str">
        <f t="shared" si="22"/>
        <v>CHUADO</v>
      </c>
    </row>
    <row r="332" spans="1:14" x14ac:dyDescent="0.3">
      <c r="A332" s="116"/>
      <c r="B332" s="108"/>
      <c r="C332" s="109"/>
      <c r="D332" s="110"/>
      <c r="E332" s="114"/>
      <c r="F332" s="116"/>
      <c r="G332" s="126"/>
      <c r="H332" s="127"/>
      <c r="I332" s="128"/>
      <c r="J332" s="25" t="s">
        <v>179</v>
      </c>
      <c r="K332" s="27"/>
      <c r="L332" s="118"/>
      <c r="M332" s="27" t="str">
        <f t="shared" si="29"/>
        <v/>
      </c>
      <c r="N332" s="27" t="str">
        <f t="shared" si="22"/>
        <v>CHUADO</v>
      </c>
    </row>
    <row r="333" spans="1:14" x14ac:dyDescent="0.3">
      <c r="A333" s="116"/>
      <c r="B333" s="108"/>
      <c r="C333" s="109"/>
      <c r="D333" s="110"/>
      <c r="E333" s="114"/>
      <c r="F333" s="116"/>
      <c r="G333" s="126"/>
      <c r="H333" s="127"/>
      <c r="I333" s="128"/>
      <c r="J333" s="25" t="s">
        <v>180</v>
      </c>
      <c r="K333" s="27"/>
      <c r="L333" s="118"/>
      <c r="M333" s="27" t="str">
        <f t="shared" si="29"/>
        <v/>
      </c>
      <c r="N333" s="27" t="str">
        <f t="shared" si="22"/>
        <v>CHUADO</v>
      </c>
    </row>
    <row r="334" spans="1:14" x14ac:dyDescent="0.3">
      <c r="A334" s="116"/>
      <c r="B334" s="108"/>
      <c r="C334" s="109"/>
      <c r="D334" s="110"/>
      <c r="E334" s="114"/>
      <c r="F334" s="116"/>
      <c r="G334" s="126"/>
      <c r="H334" s="127"/>
      <c r="I334" s="128"/>
      <c r="J334" s="25" t="s">
        <v>181</v>
      </c>
      <c r="K334" s="27"/>
      <c r="L334" s="118"/>
      <c r="M334" s="27" t="str">
        <f t="shared" si="29"/>
        <v/>
      </c>
      <c r="N334" s="27" t="str">
        <f t="shared" si="22"/>
        <v>CHUADO</v>
      </c>
    </row>
    <row r="335" spans="1:14" x14ac:dyDescent="0.3">
      <c r="A335" s="116"/>
      <c r="B335" s="108"/>
      <c r="C335" s="109"/>
      <c r="D335" s="110"/>
      <c r="E335" s="114"/>
      <c r="F335" s="117"/>
      <c r="G335" s="129"/>
      <c r="H335" s="130"/>
      <c r="I335" s="131"/>
      <c r="J335" s="25" t="s">
        <v>182</v>
      </c>
      <c r="K335" s="27"/>
      <c r="L335" s="118"/>
      <c r="M335" s="27" t="str">
        <f t="shared" si="29"/>
        <v/>
      </c>
      <c r="N335" s="27" t="str">
        <f t="shared" si="22"/>
        <v>CHUADO</v>
      </c>
    </row>
    <row r="336" spans="1:14" ht="15.6" customHeight="1" x14ac:dyDescent="0.3">
      <c r="A336" s="116"/>
      <c r="B336" s="108"/>
      <c r="C336" s="109"/>
      <c r="D336" s="110"/>
      <c r="E336" s="114" t="s">
        <v>52</v>
      </c>
      <c r="F336" s="115"/>
      <c r="G336" s="123" t="s">
        <v>224</v>
      </c>
      <c r="H336" s="124"/>
      <c r="I336" s="125"/>
      <c r="J336" s="25" t="s">
        <v>175</v>
      </c>
      <c r="K336" s="27"/>
      <c r="L336" s="118" t="s">
        <v>161</v>
      </c>
      <c r="M336" s="27" t="str">
        <f t="shared" si="29"/>
        <v/>
      </c>
      <c r="N336" s="27" t="str">
        <f t="shared" si="22"/>
        <v>CHUADO</v>
      </c>
    </row>
    <row r="337" spans="1:14" x14ac:dyDescent="0.3">
      <c r="A337" s="116"/>
      <c r="B337" s="108"/>
      <c r="C337" s="109"/>
      <c r="D337" s="110"/>
      <c r="E337" s="114"/>
      <c r="F337" s="116"/>
      <c r="G337" s="126"/>
      <c r="H337" s="127"/>
      <c r="I337" s="128"/>
      <c r="J337" s="25" t="s">
        <v>176</v>
      </c>
      <c r="K337" s="27"/>
      <c r="L337" s="118"/>
      <c r="M337" s="27" t="str">
        <f t="shared" si="29"/>
        <v/>
      </c>
      <c r="N337" s="27" t="str">
        <f t="shared" ref="N337:N367" si="30">IF(ISBLANK(K337),"CHUADO","")</f>
        <v>CHUADO</v>
      </c>
    </row>
    <row r="338" spans="1:14" x14ac:dyDescent="0.3">
      <c r="A338" s="116"/>
      <c r="B338" s="108"/>
      <c r="C338" s="109"/>
      <c r="D338" s="110"/>
      <c r="E338" s="114"/>
      <c r="F338" s="116"/>
      <c r="G338" s="126"/>
      <c r="H338" s="127"/>
      <c r="I338" s="128"/>
      <c r="J338" s="25" t="s">
        <v>177</v>
      </c>
      <c r="K338" s="27"/>
      <c r="L338" s="118"/>
      <c r="M338" s="27" t="str">
        <f t="shared" si="29"/>
        <v/>
      </c>
      <c r="N338" s="27" t="str">
        <f t="shared" si="30"/>
        <v>CHUADO</v>
      </c>
    </row>
    <row r="339" spans="1:14" x14ac:dyDescent="0.3">
      <c r="A339" s="116"/>
      <c r="B339" s="108"/>
      <c r="C339" s="109"/>
      <c r="D339" s="110"/>
      <c r="E339" s="114"/>
      <c r="F339" s="116"/>
      <c r="G339" s="126"/>
      <c r="H339" s="127"/>
      <c r="I339" s="128"/>
      <c r="J339" s="25" t="s">
        <v>178</v>
      </c>
      <c r="K339" s="27"/>
      <c r="L339" s="118"/>
      <c r="M339" s="27" t="str">
        <f t="shared" si="29"/>
        <v/>
      </c>
      <c r="N339" s="27" t="str">
        <f t="shared" si="30"/>
        <v>CHUADO</v>
      </c>
    </row>
    <row r="340" spans="1:14" x14ac:dyDescent="0.3">
      <c r="A340" s="116"/>
      <c r="B340" s="108"/>
      <c r="C340" s="109"/>
      <c r="D340" s="110"/>
      <c r="E340" s="114"/>
      <c r="F340" s="116"/>
      <c r="G340" s="126"/>
      <c r="H340" s="127"/>
      <c r="I340" s="128"/>
      <c r="J340" s="25" t="s">
        <v>179</v>
      </c>
      <c r="K340" s="27"/>
      <c r="L340" s="118"/>
      <c r="M340" s="27" t="str">
        <f t="shared" si="29"/>
        <v/>
      </c>
      <c r="N340" s="27" t="str">
        <f t="shared" si="30"/>
        <v>CHUADO</v>
      </c>
    </row>
    <row r="341" spans="1:14" x14ac:dyDescent="0.3">
      <c r="A341" s="116"/>
      <c r="B341" s="108"/>
      <c r="C341" s="109"/>
      <c r="D341" s="110"/>
      <c r="E341" s="114"/>
      <c r="F341" s="116"/>
      <c r="G341" s="126"/>
      <c r="H341" s="127"/>
      <c r="I341" s="128"/>
      <c r="J341" s="25" t="s">
        <v>180</v>
      </c>
      <c r="K341" s="27"/>
      <c r="L341" s="118"/>
      <c r="M341" s="27" t="str">
        <f t="shared" si="29"/>
        <v/>
      </c>
      <c r="N341" s="27" t="str">
        <f t="shared" si="30"/>
        <v>CHUADO</v>
      </c>
    </row>
    <row r="342" spans="1:14" x14ac:dyDescent="0.3">
      <c r="A342" s="116"/>
      <c r="B342" s="108"/>
      <c r="C342" s="109"/>
      <c r="D342" s="110"/>
      <c r="E342" s="114"/>
      <c r="F342" s="116"/>
      <c r="G342" s="126"/>
      <c r="H342" s="127"/>
      <c r="I342" s="128"/>
      <c r="J342" s="25" t="s">
        <v>181</v>
      </c>
      <c r="K342" s="27"/>
      <c r="L342" s="118"/>
      <c r="M342" s="27" t="str">
        <f t="shared" si="29"/>
        <v/>
      </c>
      <c r="N342" s="27" t="str">
        <f t="shared" si="30"/>
        <v>CHUADO</v>
      </c>
    </row>
    <row r="343" spans="1:14" x14ac:dyDescent="0.3">
      <c r="A343" s="117"/>
      <c r="B343" s="111"/>
      <c r="C343" s="112"/>
      <c r="D343" s="113"/>
      <c r="E343" s="114"/>
      <c r="F343" s="117"/>
      <c r="G343" s="129"/>
      <c r="H343" s="130"/>
      <c r="I343" s="131"/>
      <c r="J343" s="25" t="s">
        <v>182</v>
      </c>
      <c r="K343" s="27"/>
      <c r="L343" s="118"/>
      <c r="M343" s="27" t="str">
        <f t="shared" si="29"/>
        <v/>
      </c>
      <c r="N343" s="27" t="str">
        <f t="shared" si="30"/>
        <v>CHUADO</v>
      </c>
    </row>
    <row r="344" spans="1:14" ht="15.75" customHeight="1" x14ac:dyDescent="0.3">
      <c r="A344" s="104" t="s">
        <v>162</v>
      </c>
      <c r="B344" s="105" t="s">
        <v>163</v>
      </c>
      <c r="C344" s="106"/>
      <c r="D344" s="107"/>
      <c r="E344" s="114" t="s">
        <v>52</v>
      </c>
      <c r="F344" s="115" t="s">
        <v>220</v>
      </c>
      <c r="G344" s="58">
        <f>$G$272*1+6</f>
        <v>-88.9</v>
      </c>
      <c r="H344" s="115" t="s">
        <v>217</v>
      </c>
      <c r="I344" s="58" t="s">
        <v>145</v>
      </c>
      <c r="J344" s="25" t="s">
        <v>175</v>
      </c>
      <c r="K344" s="27"/>
      <c r="L344" s="118" t="s">
        <v>164</v>
      </c>
      <c r="M344" s="27" t="str">
        <f>IF(ISBLANK(K344),"",IF(AND(K344*1&gt;=H344*1),"PASS","FAIL"))</f>
        <v/>
      </c>
      <c r="N344" s="27" t="str">
        <f t="shared" si="30"/>
        <v>CHUADO</v>
      </c>
    </row>
    <row r="345" spans="1:14" x14ac:dyDescent="0.3">
      <c r="A345" s="104"/>
      <c r="B345" s="108"/>
      <c r="C345" s="109"/>
      <c r="D345" s="110"/>
      <c r="E345" s="114"/>
      <c r="F345" s="116"/>
      <c r="G345" s="58">
        <f t="shared" ref="G345:G359" si="31">$G$272*1+6</f>
        <v>-88.9</v>
      </c>
      <c r="H345" s="119"/>
      <c r="I345" s="58" t="s">
        <v>145</v>
      </c>
      <c r="J345" s="25" t="s">
        <v>176</v>
      </c>
      <c r="K345" s="27"/>
      <c r="L345" s="118"/>
      <c r="M345" s="27" t="str">
        <f t="shared" ref="M345:M367" si="32">IF(ISBLANK(K345),"",IF(AND(K345*1&gt;=H345*1),"PASS","FAIL"))</f>
        <v/>
      </c>
      <c r="N345" s="27" t="str">
        <f t="shared" si="30"/>
        <v>CHUADO</v>
      </c>
    </row>
    <row r="346" spans="1:14" x14ac:dyDescent="0.3">
      <c r="A346" s="104"/>
      <c r="B346" s="108"/>
      <c r="C346" s="109"/>
      <c r="D346" s="110"/>
      <c r="E346" s="114"/>
      <c r="F346" s="116"/>
      <c r="G346" s="58">
        <f t="shared" si="31"/>
        <v>-88.9</v>
      </c>
      <c r="H346" s="119"/>
      <c r="I346" s="58" t="s">
        <v>145</v>
      </c>
      <c r="J346" s="25" t="s">
        <v>177</v>
      </c>
      <c r="K346" s="27"/>
      <c r="L346" s="118"/>
      <c r="M346" s="27" t="str">
        <f t="shared" si="32"/>
        <v/>
      </c>
      <c r="N346" s="27" t="str">
        <f t="shared" si="30"/>
        <v>CHUADO</v>
      </c>
    </row>
    <row r="347" spans="1:14" x14ac:dyDescent="0.3">
      <c r="A347" s="104"/>
      <c r="B347" s="108"/>
      <c r="C347" s="109"/>
      <c r="D347" s="110"/>
      <c r="E347" s="114"/>
      <c r="F347" s="116"/>
      <c r="G347" s="58">
        <f t="shared" si="31"/>
        <v>-88.9</v>
      </c>
      <c r="H347" s="119"/>
      <c r="I347" s="58" t="s">
        <v>145</v>
      </c>
      <c r="J347" s="25" t="s">
        <v>178</v>
      </c>
      <c r="K347" s="27"/>
      <c r="L347" s="118"/>
      <c r="M347" s="27" t="str">
        <f t="shared" si="32"/>
        <v/>
      </c>
      <c r="N347" s="27" t="str">
        <f t="shared" si="30"/>
        <v>CHUADO</v>
      </c>
    </row>
    <row r="348" spans="1:14" x14ac:dyDescent="0.3">
      <c r="A348" s="104"/>
      <c r="B348" s="108"/>
      <c r="C348" s="109"/>
      <c r="D348" s="110"/>
      <c r="E348" s="114"/>
      <c r="F348" s="116"/>
      <c r="G348" s="58">
        <f t="shared" si="31"/>
        <v>-88.9</v>
      </c>
      <c r="H348" s="119"/>
      <c r="I348" s="58" t="s">
        <v>145</v>
      </c>
      <c r="J348" s="25" t="s">
        <v>179</v>
      </c>
      <c r="K348" s="27"/>
      <c r="L348" s="118"/>
      <c r="M348" s="27" t="str">
        <f t="shared" si="32"/>
        <v/>
      </c>
      <c r="N348" s="27" t="str">
        <f t="shared" si="30"/>
        <v>CHUADO</v>
      </c>
    </row>
    <row r="349" spans="1:14" x14ac:dyDescent="0.3">
      <c r="A349" s="104"/>
      <c r="B349" s="108"/>
      <c r="C349" s="109"/>
      <c r="D349" s="110"/>
      <c r="E349" s="114"/>
      <c r="F349" s="116"/>
      <c r="G349" s="58">
        <f t="shared" si="31"/>
        <v>-88.9</v>
      </c>
      <c r="H349" s="119"/>
      <c r="I349" s="58" t="s">
        <v>145</v>
      </c>
      <c r="J349" s="25" t="s">
        <v>180</v>
      </c>
      <c r="K349" s="27"/>
      <c r="L349" s="118"/>
      <c r="M349" s="27" t="str">
        <f t="shared" si="32"/>
        <v/>
      </c>
      <c r="N349" s="27" t="str">
        <f t="shared" si="30"/>
        <v>CHUADO</v>
      </c>
    </row>
    <row r="350" spans="1:14" x14ac:dyDescent="0.3">
      <c r="A350" s="104"/>
      <c r="B350" s="108"/>
      <c r="C350" s="109"/>
      <c r="D350" s="110"/>
      <c r="E350" s="114"/>
      <c r="F350" s="116"/>
      <c r="G350" s="58">
        <f t="shared" si="31"/>
        <v>-88.9</v>
      </c>
      <c r="H350" s="119"/>
      <c r="I350" s="58" t="s">
        <v>145</v>
      </c>
      <c r="J350" s="25" t="s">
        <v>181</v>
      </c>
      <c r="K350" s="27"/>
      <c r="L350" s="118"/>
      <c r="M350" s="27" t="str">
        <f t="shared" si="32"/>
        <v/>
      </c>
      <c r="N350" s="27" t="str">
        <f t="shared" si="30"/>
        <v>CHUADO</v>
      </c>
    </row>
    <row r="351" spans="1:14" x14ac:dyDescent="0.3">
      <c r="A351" s="104"/>
      <c r="B351" s="111"/>
      <c r="C351" s="112"/>
      <c r="D351" s="113"/>
      <c r="E351" s="114"/>
      <c r="F351" s="117"/>
      <c r="G351" s="58">
        <f t="shared" si="31"/>
        <v>-88.9</v>
      </c>
      <c r="H351" s="120"/>
      <c r="I351" s="58" t="s">
        <v>145</v>
      </c>
      <c r="J351" s="25" t="s">
        <v>182</v>
      </c>
      <c r="K351" s="27"/>
      <c r="L351" s="118"/>
      <c r="M351" s="27" t="str">
        <f t="shared" si="32"/>
        <v/>
      </c>
      <c r="N351" s="27" t="str">
        <f t="shared" si="30"/>
        <v>CHUADO</v>
      </c>
    </row>
    <row r="352" spans="1:14" ht="15.6" customHeight="1" x14ac:dyDescent="0.3">
      <c r="A352" s="104" t="s">
        <v>165</v>
      </c>
      <c r="B352" s="105" t="s">
        <v>166</v>
      </c>
      <c r="C352" s="106"/>
      <c r="D352" s="107"/>
      <c r="E352" s="114" t="s">
        <v>52</v>
      </c>
      <c r="F352" s="115" t="s">
        <v>220</v>
      </c>
      <c r="G352" s="58">
        <f t="shared" si="31"/>
        <v>-88.9</v>
      </c>
      <c r="H352" s="115" t="s">
        <v>218</v>
      </c>
      <c r="I352" s="58" t="s">
        <v>145</v>
      </c>
      <c r="J352" s="25" t="s">
        <v>175</v>
      </c>
      <c r="K352" s="27"/>
      <c r="L352" s="118" t="s">
        <v>167</v>
      </c>
      <c r="M352" s="27" t="str">
        <f t="shared" si="32"/>
        <v/>
      </c>
      <c r="N352" s="27" t="str">
        <f t="shared" si="30"/>
        <v>CHUADO</v>
      </c>
    </row>
    <row r="353" spans="1:14" x14ac:dyDescent="0.3">
      <c r="A353" s="104"/>
      <c r="B353" s="108"/>
      <c r="C353" s="109"/>
      <c r="D353" s="110"/>
      <c r="E353" s="114"/>
      <c r="F353" s="116"/>
      <c r="G353" s="58">
        <f t="shared" si="31"/>
        <v>-88.9</v>
      </c>
      <c r="H353" s="119"/>
      <c r="I353" s="58" t="str">
        <f>I352</f>
        <v>-52</v>
      </c>
      <c r="J353" s="25" t="s">
        <v>176</v>
      </c>
      <c r="K353" s="27"/>
      <c r="L353" s="118"/>
      <c r="M353" s="27" t="str">
        <f t="shared" si="32"/>
        <v/>
      </c>
      <c r="N353" s="27" t="str">
        <f t="shared" si="30"/>
        <v>CHUADO</v>
      </c>
    </row>
    <row r="354" spans="1:14" x14ac:dyDescent="0.3">
      <c r="A354" s="104"/>
      <c r="B354" s="108"/>
      <c r="C354" s="109"/>
      <c r="D354" s="110"/>
      <c r="E354" s="114"/>
      <c r="F354" s="116"/>
      <c r="G354" s="58">
        <f t="shared" si="31"/>
        <v>-88.9</v>
      </c>
      <c r="H354" s="119"/>
      <c r="I354" s="58" t="str">
        <f>I352</f>
        <v>-52</v>
      </c>
      <c r="J354" s="25" t="s">
        <v>177</v>
      </c>
      <c r="K354" s="27"/>
      <c r="L354" s="118"/>
      <c r="M354" s="27" t="str">
        <f t="shared" si="32"/>
        <v/>
      </c>
      <c r="N354" s="27" t="str">
        <f t="shared" si="30"/>
        <v>CHUADO</v>
      </c>
    </row>
    <row r="355" spans="1:14" x14ac:dyDescent="0.3">
      <c r="A355" s="104"/>
      <c r="B355" s="108"/>
      <c r="C355" s="109"/>
      <c r="D355" s="110"/>
      <c r="E355" s="114"/>
      <c r="F355" s="116"/>
      <c r="G355" s="58">
        <f t="shared" si="31"/>
        <v>-88.9</v>
      </c>
      <c r="H355" s="119"/>
      <c r="I355" s="58" t="str">
        <f>I352</f>
        <v>-52</v>
      </c>
      <c r="J355" s="25" t="s">
        <v>178</v>
      </c>
      <c r="K355" s="27"/>
      <c r="L355" s="118"/>
      <c r="M355" s="27" t="str">
        <f t="shared" si="32"/>
        <v/>
      </c>
      <c r="N355" s="27" t="str">
        <f t="shared" si="30"/>
        <v>CHUADO</v>
      </c>
    </row>
    <row r="356" spans="1:14" x14ac:dyDescent="0.3">
      <c r="A356" s="104"/>
      <c r="B356" s="108"/>
      <c r="C356" s="109"/>
      <c r="D356" s="110"/>
      <c r="E356" s="114"/>
      <c r="F356" s="116"/>
      <c r="G356" s="58">
        <f t="shared" si="31"/>
        <v>-88.9</v>
      </c>
      <c r="H356" s="119"/>
      <c r="I356" s="58" t="str">
        <f>I352</f>
        <v>-52</v>
      </c>
      <c r="J356" s="25" t="s">
        <v>179</v>
      </c>
      <c r="K356" s="27"/>
      <c r="L356" s="118"/>
      <c r="M356" s="27" t="str">
        <f t="shared" si="32"/>
        <v/>
      </c>
      <c r="N356" s="27" t="str">
        <f t="shared" si="30"/>
        <v>CHUADO</v>
      </c>
    </row>
    <row r="357" spans="1:14" x14ac:dyDescent="0.3">
      <c r="A357" s="104"/>
      <c r="B357" s="108"/>
      <c r="C357" s="109"/>
      <c r="D357" s="110"/>
      <c r="E357" s="114"/>
      <c r="F357" s="116"/>
      <c r="G357" s="58">
        <f t="shared" si="31"/>
        <v>-88.9</v>
      </c>
      <c r="H357" s="119"/>
      <c r="I357" s="58" t="str">
        <f>I352</f>
        <v>-52</v>
      </c>
      <c r="J357" s="25" t="s">
        <v>180</v>
      </c>
      <c r="K357" s="27"/>
      <c r="L357" s="118"/>
      <c r="M357" s="27" t="str">
        <f t="shared" si="32"/>
        <v/>
      </c>
      <c r="N357" s="27" t="str">
        <f t="shared" si="30"/>
        <v>CHUADO</v>
      </c>
    </row>
    <row r="358" spans="1:14" x14ac:dyDescent="0.3">
      <c r="A358" s="104"/>
      <c r="B358" s="108"/>
      <c r="C358" s="109"/>
      <c r="D358" s="110"/>
      <c r="E358" s="114"/>
      <c r="F358" s="116"/>
      <c r="G358" s="58">
        <f t="shared" si="31"/>
        <v>-88.9</v>
      </c>
      <c r="H358" s="119"/>
      <c r="I358" s="58" t="str">
        <f>I352</f>
        <v>-52</v>
      </c>
      <c r="J358" s="25" t="s">
        <v>181</v>
      </c>
      <c r="K358" s="27"/>
      <c r="L358" s="118"/>
      <c r="M358" s="27" t="str">
        <f t="shared" si="32"/>
        <v/>
      </c>
      <c r="N358" s="27" t="str">
        <f t="shared" si="30"/>
        <v>CHUADO</v>
      </c>
    </row>
    <row r="359" spans="1:14" x14ac:dyDescent="0.3">
      <c r="A359" s="104"/>
      <c r="B359" s="111"/>
      <c r="C359" s="112"/>
      <c r="D359" s="113"/>
      <c r="E359" s="114"/>
      <c r="F359" s="117"/>
      <c r="G359" s="58">
        <f t="shared" si="31"/>
        <v>-88.9</v>
      </c>
      <c r="H359" s="120"/>
      <c r="I359" s="58" t="str">
        <f>I352</f>
        <v>-52</v>
      </c>
      <c r="J359" s="25" t="s">
        <v>182</v>
      </c>
      <c r="K359" s="27"/>
      <c r="L359" s="118"/>
      <c r="M359" s="27" t="str">
        <f t="shared" si="32"/>
        <v/>
      </c>
      <c r="N359" s="27" t="str">
        <f t="shared" si="30"/>
        <v>CHUADO</v>
      </c>
    </row>
    <row r="360" spans="1:14" ht="15.6" customHeight="1" x14ac:dyDescent="0.3">
      <c r="A360" s="104" t="s">
        <v>168</v>
      </c>
      <c r="B360" s="105" t="s">
        <v>169</v>
      </c>
      <c r="C360" s="106"/>
      <c r="D360" s="107"/>
      <c r="E360" s="114" t="s">
        <v>52</v>
      </c>
      <c r="F360" s="115" t="s">
        <v>220</v>
      </c>
      <c r="G360" s="58" t="s">
        <v>209</v>
      </c>
      <c r="H360" s="115" t="s">
        <v>208</v>
      </c>
      <c r="I360" s="58" t="s">
        <v>170</v>
      </c>
      <c r="J360" s="25" t="s">
        <v>175</v>
      </c>
      <c r="K360" s="27"/>
      <c r="L360" s="118" t="s">
        <v>171</v>
      </c>
      <c r="M360" s="27" t="str">
        <f t="shared" si="32"/>
        <v/>
      </c>
      <c r="N360" s="27" t="str">
        <f t="shared" si="30"/>
        <v>CHUADO</v>
      </c>
    </row>
    <row r="361" spans="1:14" x14ac:dyDescent="0.3">
      <c r="A361" s="104"/>
      <c r="B361" s="108"/>
      <c r="C361" s="109"/>
      <c r="D361" s="110"/>
      <c r="E361" s="114"/>
      <c r="F361" s="116"/>
      <c r="G361" s="58" t="s">
        <v>210</v>
      </c>
      <c r="H361" s="116"/>
      <c r="I361" s="58" t="str">
        <f>I360</f>
        <v>-71.4</v>
      </c>
      <c r="J361" s="25" t="s">
        <v>176</v>
      </c>
      <c r="K361" s="27"/>
      <c r="L361" s="118"/>
      <c r="M361" s="27" t="str">
        <f t="shared" si="32"/>
        <v/>
      </c>
      <c r="N361" s="27" t="str">
        <f t="shared" si="30"/>
        <v>CHUADO</v>
      </c>
    </row>
    <row r="362" spans="1:14" x14ac:dyDescent="0.3">
      <c r="A362" s="104"/>
      <c r="B362" s="108"/>
      <c r="C362" s="109"/>
      <c r="D362" s="110"/>
      <c r="E362" s="114"/>
      <c r="F362" s="116"/>
      <c r="G362" s="58" t="s">
        <v>211</v>
      </c>
      <c r="H362" s="116"/>
      <c r="I362" s="58" t="str">
        <f>I360</f>
        <v>-71.4</v>
      </c>
      <c r="J362" s="25" t="s">
        <v>177</v>
      </c>
      <c r="K362" s="27"/>
      <c r="L362" s="118"/>
      <c r="M362" s="27" t="str">
        <f t="shared" si="32"/>
        <v/>
      </c>
      <c r="N362" s="27" t="str">
        <f t="shared" si="30"/>
        <v>CHUADO</v>
      </c>
    </row>
    <row r="363" spans="1:14" x14ac:dyDescent="0.3">
      <c r="A363" s="104"/>
      <c r="B363" s="108"/>
      <c r="C363" s="109"/>
      <c r="D363" s="110"/>
      <c r="E363" s="114"/>
      <c r="F363" s="116"/>
      <c r="G363" s="58" t="s">
        <v>212</v>
      </c>
      <c r="H363" s="116"/>
      <c r="I363" s="58" t="str">
        <f>I360</f>
        <v>-71.4</v>
      </c>
      <c r="J363" s="25" t="s">
        <v>178</v>
      </c>
      <c r="K363" s="27"/>
      <c r="L363" s="118"/>
      <c r="M363" s="27" t="str">
        <f t="shared" si="32"/>
        <v/>
      </c>
      <c r="N363" s="27" t="str">
        <f t="shared" si="30"/>
        <v>CHUADO</v>
      </c>
    </row>
    <row r="364" spans="1:14" x14ac:dyDescent="0.3">
      <c r="A364" s="104"/>
      <c r="B364" s="108"/>
      <c r="C364" s="109"/>
      <c r="D364" s="110"/>
      <c r="E364" s="114"/>
      <c r="F364" s="116"/>
      <c r="G364" s="58" t="s">
        <v>213</v>
      </c>
      <c r="H364" s="116"/>
      <c r="I364" s="58" t="str">
        <f>I360</f>
        <v>-71.4</v>
      </c>
      <c r="J364" s="25" t="s">
        <v>179</v>
      </c>
      <c r="K364" s="27"/>
      <c r="L364" s="118"/>
      <c r="M364" s="27" t="str">
        <f t="shared" si="32"/>
        <v/>
      </c>
      <c r="N364" s="27" t="str">
        <f t="shared" si="30"/>
        <v>CHUADO</v>
      </c>
    </row>
    <row r="365" spans="1:14" x14ac:dyDescent="0.3">
      <c r="A365" s="104"/>
      <c r="B365" s="108"/>
      <c r="C365" s="109"/>
      <c r="D365" s="110"/>
      <c r="E365" s="114"/>
      <c r="F365" s="116"/>
      <c r="G365" s="58" t="s">
        <v>214</v>
      </c>
      <c r="H365" s="116"/>
      <c r="I365" s="58" t="str">
        <f>I360</f>
        <v>-71.4</v>
      </c>
      <c r="J365" s="25" t="s">
        <v>180</v>
      </c>
      <c r="K365" s="27"/>
      <c r="L365" s="118"/>
      <c r="M365" s="27" t="str">
        <f t="shared" si="32"/>
        <v/>
      </c>
      <c r="N365" s="27" t="str">
        <f t="shared" si="30"/>
        <v>CHUADO</v>
      </c>
    </row>
    <row r="366" spans="1:14" x14ac:dyDescent="0.3">
      <c r="A366" s="104"/>
      <c r="B366" s="108"/>
      <c r="C366" s="109"/>
      <c r="D366" s="110"/>
      <c r="E366" s="114"/>
      <c r="F366" s="116"/>
      <c r="G366" s="58" t="s">
        <v>215</v>
      </c>
      <c r="H366" s="116"/>
      <c r="I366" s="58" t="str">
        <f>I360</f>
        <v>-71.4</v>
      </c>
      <c r="J366" s="25" t="s">
        <v>181</v>
      </c>
      <c r="K366" s="27"/>
      <c r="L366" s="118"/>
      <c r="M366" s="27" t="str">
        <f t="shared" si="32"/>
        <v/>
      </c>
      <c r="N366" s="27" t="str">
        <f t="shared" si="30"/>
        <v>CHUADO</v>
      </c>
    </row>
    <row r="367" spans="1:14" x14ac:dyDescent="0.3">
      <c r="A367" s="104"/>
      <c r="B367" s="111"/>
      <c r="C367" s="112"/>
      <c r="D367" s="113"/>
      <c r="E367" s="114"/>
      <c r="F367" s="117"/>
      <c r="G367" s="58" t="s">
        <v>216</v>
      </c>
      <c r="H367" s="117"/>
      <c r="I367" s="58" t="str">
        <f>I360</f>
        <v>-71.4</v>
      </c>
      <c r="J367" s="25" t="s">
        <v>182</v>
      </c>
      <c r="K367" s="27"/>
      <c r="L367" s="118"/>
      <c r="M367" s="27" t="str">
        <f t="shared" si="32"/>
        <v/>
      </c>
      <c r="N367" s="27" t="str">
        <f t="shared" si="30"/>
        <v>CHUADO</v>
      </c>
    </row>
    <row r="368" spans="1:14" x14ac:dyDescent="0.3">
      <c r="A368" s="45"/>
      <c r="B368" s="45"/>
      <c r="C368" s="45"/>
      <c r="D368" s="46"/>
      <c r="E368" s="47"/>
      <c r="F368" s="47"/>
      <c r="G368" s="47"/>
      <c r="H368" s="47"/>
      <c r="I368" s="47"/>
      <c r="J368" s="47"/>
      <c r="K368" s="48"/>
      <c r="L368" s="45"/>
      <c r="M368" s="48"/>
      <c r="N368" s="49"/>
    </row>
    <row r="369" spans="1:14" x14ac:dyDescent="0.3">
      <c r="A369" s="50"/>
      <c r="B369" s="50"/>
      <c r="C369" s="50"/>
      <c r="D369" s="51"/>
      <c r="E369" s="52"/>
      <c r="F369" s="52"/>
      <c r="G369" s="52"/>
      <c r="H369" s="52"/>
      <c r="I369" s="52"/>
      <c r="J369" s="52"/>
      <c r="K369" s="53"/>
      <c r="L369" s="50"/>
      <c r="M369" s="53"/>
      <c r="N369" s="54"/>
    </row>
    <row r="370" spans="1:14" ht="15.75" customHeight="1" x14ac:dyDescent="0.3">
      <c r="A370" s="122" t="s">
        <v>172</v>
      </c>
      <c r="B370" s="122"/>
      <c r="C370" s="122"/>
      <c r="D370" s="122"/>
      <c r="E370" s="122"/>
      <c r="F370" s="122"/>
      <c r="G370" s="55"/>
      <c r="H370" s="55"/>
      <c r="I370" s="55"/>
      <c r="J370" s="55"/>
      <c r="K370" s="122" t="s">
        <v>172</v>
      </c>
      <c r="L370" s="122"/>
      <c r="M370" s="122"/>
      <c r="N370" s="122"/>
    </row>
    <row r="371" spans="1:14" ht="15.75" customHeight="1" x14ac:dyDescent="0.3">
      <c r="A371" s="121" t="s">
        <v>173</v>
      </c>
      <c r="B371" s="121"/>
      <c r="C371" s="121"/>
      <c r="D371" s="121"/>
      <c r="E371" s="121"/>
      <c r="F371" s="121"/>
      <c r="G371" s="55"/>
      <c r="H371" s="55"/>
      <c r="I371" s="55"/>
      <c r="J371" s="55"/>
      <c r="K371" s="121" t="s">
        <v>174</v>
      </c>
      <c r="L371" s="121"/>
      <c r="M371" s="121"/>
      <c r="N371" s="121"/>
    </row>
    <row r="372" spans="1:14" x14ac:dyDescent="0.3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4"/>
      <c r="L372" s="52"/>
      <c r="M372" s="54"/>
      <c r="N372" s="54"/>
    </row>
    <row r="373" spans="1:14" x14ac:dyDescent="0.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4"/>
      <c r="L373" s="52"/>
      <c r="M373" s="54"/>
      <c r="N373" s="54"/>
    </row>
    <row r="374" spans="1:14" x14ac:dyDescent="0.3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4"/>
      <c r="L374" s="52"/>
      <c r="M374" s="54"/>
      <c r="N374" s="54"/>
    </row>
    <row r="375" spans="1:14" x14ac:dyDescent="0.3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4"/>
      <c r="L375" s="52"/>
      <c r="M375" s="54"/>
      <c r="N375" s="54"/>
    </row>
    <row r="376" spans="1:14" x14ac:dyDescent="0.3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4"/>
      <c r="L376" s="52"/>
      <c r="M376" s="54"/>
      <c r="N376" s="54"/>
    </row>
    <row r="377" spans="1:14" x14ac:dyDescent="0.3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4"/>
      <c r="L377" s="52"/>
      <c r="M377" s="54"/>
      <c r="N377" s="54"/>
    </row>
  </sheetData>
  <mergeCells count="236">
    <mergeCell ref="A1:D4"/>
    <mergeCell ref="E1:L1"/>
    <mergeCell ref="E2:L3"/>
    <mergeCell ref="E4:L4"/>
    <mergeCell ref="A5:D9"/>
    <mergeCell ref="F5:H5"/>
    <mergeCell ref="J5:K5"/>
    <mergeCell ref="F6:H6"/>
    <mergeCell ref="J6:K6"/>
    <mergeCell ref="F7:H7"/>
    <mergeCell ref="J7:K7"/>
    <mergeCell ref="F8:H8"/>
    <mergeCell ref="J8:K8"/>
    <mergeCell ref="F9:H9"/>
    <mergeCell ref="J9:K9"/>
    <mergeCell ref="A10:D12"/>
    <mergeCell ref="F10:N10"/>
    <mergeCell ref="F11:H11"/>
    <mergeCell ref="I11:K11"/>
    <mergeCell ref="F12:H12"/>
    <mergeCell ref="L13:L14"/>
    <mergeCell ref="M13:M14"/>
    <mergeCell ref="N13:N14"/>
    <mergeCell ref="A16:A23"/>
    <mergeCell ref="B16:D23"/>
    <mergeCell ref="E16:E23"/>
    <mergeCell ref="F16:F23"/>
    <mergeCell ref="L16:L23"/>
    <mergeCell ref="I12:K12"/>
    <mergeCell ref="A13:A14"/>
    <mergeCell ref="B13:D14"/>
    <mergeCell ref="E13:E14"/>
    <mergeCell ref="F13:I13"/>
    <mergeCell ref="J13:K14"/>
    <mergeCell ref="A25:A32"/>
    <mergeCell ref="B25:D32"/>
    <mergeCell ref="E25:E32"/>
    <mergeCell ref="F25:F32"/>
    <mergeCell ref="L25:L32"/>
    <mergeCell ref="A34:A41"/>
    <mergeCell ref="B34:D41"/>
    <mergeCell ref="E34:E41"/>
    <mergeCell ref="F34:F41"/>
    <mergeCell ref="L34:L41"/>
    <mergeCell ref="A42:A49"/>
    <mergeCell ref="B42:D49"/>
    <mergeCell ref="E42:E49"/>
    <mergeCell ref="F42:F49"/>
    <mergeCell ref="L42:L49"/>
    <mergeCell ref="A51:A58"/>
    <mergeCell ref="B51:D58"/>
    <mergeCell ref="E51:E58"/>
    <mergeCell ref="F51:F58"/>
    <mergeCell ref="L51:L58"/>
    <mergeCell ref="A59:A98"/>
    <mergeCell ref="B59:B66"/>
    <mergeCell ref="E59:E66"/>
    <mergeCell ref="F59:F66"/>
    <mergeCell ref="L59:L106"/>
    <mergeCell ref="B67:B74"/>
    <mergeCell ref="E67:E74"/>
    <mergeCell ref="F67:F74"/>
    <mergeCell ref="B91:B106"/>
    <mergeCell ref="E91:E98"/>
    <mergeCell ref="F91:F98"/>
    <mergeCell ref="E99:E106"/>
    <mergeCell ref="F99:F106"/>
    <mergeCell ref="B75:B90"/>
    <mergeCell ref="E75:E82"/>
    <mergeCell ref="F75:F82"/>
    <mergeCell ref="E83:E90"/>
    <mergeCell ref="F83:F90"/>
    <mergeCell ref="C59:D106"/>
    <mergeCell ref="A107:A114"/>
    <mergeCell ref="B107:D114"/>
    <mergeCell ref="E107:E114"/>
    <mergeCell ref="F107:F114"/>
    <mergeCell ref="L107:L114"/>
    <mergeCell ref="A116:A123"/>
    <mergeCell ref="B116:D123"/>
    <mergeCell ref="E116:E123"/>
    <mergeCell ref="F116:F123"/>
    <mergeCell ref="L116:L123"/>
    <mergeCell ref="L132:L139"/>
    <mergeCell ref="E140:E147"/>
    <mergeCell ref="G140:I147"/>
    <mergeCell ref="L140:L147"/>
    <mergeCell ref="E148:E155"/>
    <mergeCell ref="G148:I155"/>
    <mergeCell ref="L148:L155"/>
    <mergeCell ref="A124:A131"/>
    <mergeCell ref="B124:D131"/>
    <mergeCell ref="E124:E131"/>
    <mergeCell ref="F124:F131"/>
    <mergeCell ref="L124:L131"/>
    <mergeCell ref="A132:A155"/>
    <mergeCell ref="B132:D155"/>
    <mergeCell ref="E132:E139"/>
    <mergeCell ref="F132:F155"/>
    <mergeCell ref="G132:I139"/>
    <mergeCell ref="E172:E179"/>
    <mergeCell ref="F172:F179"/>
    <mergeCell ref="G172:I179"/>
    <mergeCell ref="L172:L179"/>
    <mergeCell ref="E180:E187"/>
    <mergeCell ref="F180:F187"/>
    <mergeCell ref="G180:I187"/>
    <mergeCell ref="L180:L187"/>
    <mergeCell ref="A156:A195"/>
    <mergeCell ref="B156:D195"/>
    <mergeCell ref="E156:E163"/>
    <mergeCell ref="F156:F163"/>
    <mergeCell ref="G156:I163"/>
    <mergeCell ref="L156:L163"/>
    <mergeCell ref="E164:E171"/>
    <mergeCell ref="F164:F171"/>
    <mergeCell ref="G164:I171"/>
    <mergeCell ref="L164:L171"/>
    <mergeCell ref="E188:E195"/>
    <mergeCell ref="F188:F195"/>
    <mergeCell ref="G188:I195"/>
    <mergeCell ref="L188:L195"/>
    <mergeCell ref="A196:A267"/>
    <mergeCell ref="B196:C267"/>
    <mergeCell ref="D196:D203"/>
    <mergeCell ref="E196:E203"/>
    <mergeCell ref="F196:F203"/>
    <mergeCell ref="L196:L267"/>
    <mergeCell ref="D204:D227"/>
    <mergeCell ref="E204:E211"/>
    <mergeCell ref="F204:F211"/>
    <mergeCell ref="G204:I211"/>
    <mergeCell ref="E212:E219"/>
    <mergeCell ref="F212:F219"/>
    <mergeCell ref="G212:I219"/>
    <mergeCell ref="E220:E227"/>
    <mergeCell ref="F220:F227"/>
    <mergeCell ref="G220:I227"/>
    <mergeCell ref="E252:E259"/>
    <mergeCell ref="F252:F259"/>
    <mergeCell ref="G252:I259"/>
    <mergeCell ref="E260:E267"/>
    <mergeCell ref="F260:F267"/>
    <mergeCell ref="G260:I267"/>
    <mergeCell ref="D228:D267"/>
    <mergeCell ref="E228:E235"/>
    <mergeCell ref="F228:F235"/>
    <mergeCell ref="G228:I235"/>
    <mergeCell ref="E236:E243"/>
    <mergeCell ref="F236:F243"/>
    <mergeCell ref="G236:I243"/>
    <mergeCell ref="E244:E251"/>
    <mergeCell ref="F244:F251"/>
    <mergeCell ref="G244:I251"/>
    <mergeCell ref="M268:M270"/>
    <mergeCell ref="N268:N270"/>
    <mergeCell ref="A272:A279"/>
    <mergeCell ref="B272:D279"/>
    <mergeCell ref="E272:E279"/>
    <mergeCell ref="F272:F279"/>
    <mergeCell ref="L272:L279"/>
    <mergeCell ref="A268:A270"/>
    <mergeCell ref="B268:D270"/>
    <mergeCell ref="E268:E270"/>
    <mergeCell ref="F268:I268"/>
    <mergeCell ref="J268:K270"/>
    <mergeCell ref="L268:L270"/>
    <mergeCell ref="H272:H279"/>
    <mergeCell ref="F269:G269"/>
    <mergeCell ref="H269:I269"/>
    <mergeCell ref="A280:A287"/>
    <mergeCell ref="B280:D287"/>
    <mergeCell ref="E280:E287"/>
    <mergeCell ref="F280:F287"/>
    <mergeCell ref="L280:L287"/>
    <mergeCell ref="A288:A295"/>
    <mergeCell ref="B288:D295"/>
    <mergeCell ref="E288:E295"/>
    <mergeCell ref="F288:F295"/>
    <mergeCell ref="L288:L295"/>
    <mergeCell ref="H280:H287"/>
    <mergeCell ref="H288:H295"/>
    <mergeCell ref="A296:A303"/>
    <mergeCell ref="B296:D303"/>
    <mergeCell ref="E296:E303"/>
    <mergeCell ref="F296:F303"/>
    <mergeCell ref="L296:L303"/>
    <mergeCell ref="A304:A311"/>
    <mergeCell ref="B304:D311"/>
    <mergeCell ref="E304:E311"/>
    <mergeCell ref="F304:F311"/>
    <mergeCell ref="L304:L311"/>
    <mergeCell ref="H296:H303"/>
    <mergeCell ref="H304:H311"/>
    <mergeCell ref="B312:D319"/>
    <mergeCell ref="E312:E319"/>
    <mergeCell ref="F312:F319"/>
    <mergeCell ref="L312:L319"/>
    <mergeCell ref="A320:A343"/>
    <mergeCell ref="B320:D343"/>
    <mergeCell ref="E320:E327"/>
    <mergeCell ref="F320:F327"/>
    <mergeCell ref="G320:I327"/>
    <mergeCell ref="H312:H319"/>
    <mergeCell ref="L320:L327"/>
    <mergeCell ref="E328:E335"/>
    <mergeCell ref="F328:F335"/>
    <mergeCell ref="G328:I335"/>
    <mergeCell ref="L328:L335"/>
    <mergeCell ref="E336:E343"/>
    <mergeCell ref="F336:F343"/>
    <mergeCell ref="G336:I343"/>
    <mergeCell ref="L336:L343"/>
    <mergeCell ref="A312:A319"/>
    <mergeCell ref="A371:F371"/>
    <mergeCell ref="K371:N371"/>
    <mergeCell ref="A360:A367"/>
    <mergeCell ref="B360:D367"/>
    <mergeCell ref="E360:E367"/>
    <mergeCell ref="F360:F367"/>
    <mergeCell ref="L360:L367"/>
    <mergeCell ref="A370:F370"/>
    <mergeCell ref="K370:N370"/>
    <mergeCell ref="H360:H367"/>
    <mergeCell ref="A344:A351"/>
    <mergeCell ref="B344:D351"/>
    <mergeCell ref="E344:E351"/>
    <mergeCell ref="F344:F351"/>
    <mergeCell ref="L344:L351"/>
    <mergeCell ref="A352:A359"/>
    <mergeCell ref="B352:D359"/>
    <mergeCell ref="E352:E359"/>
    <mergeCell ref="F352:F359"/>
    <mergeCell ref="L352:L359"/>
    <mergeCell ref="H344:H351"/>
    <mergeCell ref="H352:H359"/>
  </mergeCells>
  <phoneticPr fontId="12" type="noConversion"/>
  <conditionalFormatting sqref="E24 M16:M267 M271 N272:N367">
    <cfRule type="containsText" dxfId="23" priority="7" operator="containsText" text="PASS">
      <formula>NOT(ISERROR(SEARCH("PASS",E16)))</formula>
    </cfRule>
    <cfRule type="containsText" dxfId="22" priority="8" operator="containsText" text="FAIL">
      <formula>NOT(ISERROR(SEARCH("FAIL",E16)))</formula>
    </cfRule>
  </conditionalFormatting>
  <conditionalFormatting sqref="M272:M279">
    <cfRule type="containsText" dxfId="21" priority="5" operator="containsText" text="PASS">
      <formula>NOT(ISERROR(SEARCH("PASS",M272)))</formula>
    </cfRule>
    <cfRule type="containsText" dxfId="20" priority="6" operator="containsText" text="FAIL">
      <formula>NOT(ISERROR(SEARCH("FAIL",M272)))</formula>
    </cfRule>
  </conditionalFormatting>
  <conditionalFormatting sqref="M280:M343">
    <cfRule type="containsText" dxfId="19" priority="3" operator="containsText" text="PASS">
      <formula>NOT(ISERROR(SEARCH("PASS",M280)))</formula>
    </cfRule>
    <cfRule type="containsText" dxfId="18" priority="4" operator="containsText" text="FAIL">
      <formula>NOT(ISERROR(SEARCH("FAIL",M280)))</formula>
    </cfRule>
  </conditionalFormatting>
  <conditionalFormatting sqref="M344:M367">
    <cfRule type="containsText" dxfId="17" priority="1" operator="containsText" text="PASS">
      <formula>NOT(ISERROR(SEARCH("PASS",M344)))</formula>
    </cfRule>
    <cfRule type="containsText" dxfId="16" priority="2" operator="containsText" text="FAIL">
      <formula>NOT(ISERROR(SEARCH("FAIL",M344)))</formula>
    </cfRule>
  </conditionalFormatting>
  <dataValidations disablePrompts="1" count="6">
    <dataValidation type="list" allowBlank="1" showInputMessage="1" showErrorMessage="1" sqref="F9:H9">
      <formula1>"2550,2600,2640,3650,3700,3750"</formula1>
    </dataValidation>
    <dataValidation type="list" allowBlank="1" showInputMessage="1" showErrorMessage="1" sqref="J9:K9">
      <formula1>"20,30,40,50,60,70,80,90,100"</formula1>
    </dataValidation>
    <dataValidation type="list" allowBlank="1" showInputMessage="1" showErrorMessage="1" sqref="F8:H8">
      <formula1>"8T8R,32T32R"</formula1>
    </dataValidation>
    <dataValidation type="list" allowBlank="1" showInputMessage="1" showErrorMessage="1" sqref="F5:H5">
      <formula1>"N9020A,FSW26,FSV3030,M9010A"</formula1>
    </dataValidation>
    <dataValidation type="list" allowBlank="1" showInputMessage="1" showErrorMessage="1" sqref="F6:H6">
      <formula1>"N5182B,SMW200A,M9010A"</formula1>
    </dataValidation>
    <dataValidation type="list" allowBlank="1" showInputMessage="1" showErrorMessage="1" sqref="F7:H7">
      <formula1>"DELL188,DELL180,SUPERMICRO192,SUPERMICRO195,SUPERMICRO190"</formula1>
    </dataValidation>
  </dataValidations>
  <pageMargins left="0.7" right="0.7" top="0.75" bottom="0.75" header="0.3" footer="0.3"/>
  <pageSetup scale="5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7"/>
  <sheetViews>
    <sheetView view="pageBreakPreview" topLeftCell="A193" zoomScaleNormal="100" zoomScaleSheetLayoutView="100" workbookViewId="0">
      <selection activeCell="K228" sqref="K228:K267"/>
    </sheetView>
  </sheetViews>
  <sheetFormatPr defaultColWidth="9.109375" defaultRowHeight="15.6" x14ac:dyDescent="0.3"/>
  <cols>
    <col min="1" max="1" width="8.88671875" style="56" customWidth="1"/>
    <col min="2" max="2" width="7.5546875" style="56" customWidth="1"/>
    <col min="3" max="3" width="9.33203125" style="56" customWidth="1"/>
    <col min="4" max="4" width="21" style="56" customWidth="1"/>
    <col min="5" max="5" width="13" style="56" customWidth="1"/>
    <col min="6" max="6" width="9" style="56" customWidth="1"/>
    <col min="7" max="8" width="13.6640625" style="56" customWidth="1"/>
    <col min="9" max="9" width="11.5546875" style="56" customWidth="1"/>
    <col min="10" max="10" width="10.33203125" style="56" customWidth="1"/>
    <col min="11" max="11" width="10.44140625" style="3" customWidth="1"/>
    <col min="12" max="12" width="24.44140625" style="56" customWidth="1"/>
    <col min="13" max="13" width="12.44140625" style="3" customWidth="1"/>
    <col min="14" max="14" width="12.33203125" style="57" customWidth="1"/>
    <col min="15" max="15" width="9.109375" style="3"/>
    <col min="16" max="16" width="10.88671875" style="3" bestFit="1" customWidth="1"/>
    <col min="17" max="16384" width="9.109375" style="3"/>
  </cols>
  <sheetData>
    <row r="1" spans="1:14" x14ac:dyDescent="0.3">
      <c r="A1" s="204"/>
      <c r="B1" s="205"/>
      <c r="C1" s="205"/>
      <c r="D1" s="206"/>
      <c r="E1" s="213" t="s">
        <v>0</v>
      </c>
      <c r="F1" s="214"/>
      <c r="G1" s="214"/>
      <c r="H1" s="214"/>
      <c r="I1" s="214"/>
      <c r="J1" s="214"/>
      <c r="K1" s="214"/>
      <c r="L1" s="215"/>
      <c r="M1" s="1" t="s">
        <v>1</v>
      </c>
      <c r="N1" s="2"/>
    </row>
    <row r="2" spans="1:14" ht="31.2" x14ac:dyDescent="0.3">
      <c r="A2" s="207"/>
      <c r="B2" s="208"/>
      <c r="C2" s="208"/>
      <c r="D2" s="209"/>
      <c r="E2" s="216" t="s">
        <v>2</v>
      </c>
      <c r="F2" s="217"/>
      <c r="G2" s="217"/>
      <c r="H2" s="217"/>
      <c r="I2" s="217"/>
      <c r="J2" s="217"/>
      <c r="K2" s="217"/>
      <c r="L2" s="218"/>
      <c r="M2" s="1" t="s">
        <v>3</v>
      </c>
      <c r="N2" s="4"/>
    </row>
    <row r="3" spans="1:14" ht="31.2" x14ac:dyDescent="0.3">
      <c r="A3" s="207"/>
      <c r="B3" s="208"/>
      <c r="C3" s="208"/>
      <c r="D3" s="209"/>
      <c r="E3" s="216"/>
      <c r="F3" s="217"/>
      <c r="G3" s="217"/>
      <c r="H3" s="217"/>
      <c r="I3" s="217"/>
      <c r="J3" s="217"/>
      <c r="K3" s="217"/>
      <c r="L3" s="218"/>
      <c r="M3" s="1" t="s">
        <v>4</v>
      </c>
      <c r="N3" s="4"/>
    </row>
    <row r="4" spans="1:14" ht="22.5" customHeight="1" x14ac:dyDescent="0.3">
      <c r="A4" s="210"/>
      <c r="B4" s="211"/>
      <c r="C4" s="211"/>
      <c r="D4" s="212"/>
      <c r="E4" s="216" t="s">
        <v>5</v>
      </c>
      <c r="F4" s="217"/>
      <c r="G4" s="217"/>
      <c r="H4" s="217"/>
      <c r="I4" s="217"/>
      <c r="J4" s="217"/>
      <c r="K4" s="217"/>
      <c r="L4" s="218"/>
      <c r="M4" s="1" t="s">
        <v>6</v>
      </c>
      <c r="N4" s="5" t="s">
        <v>7</v>
      </c>
    </row>
    <row r="5" spans="1:14" x14ac:dyDescent="0.3">
      <c r="A5" s="193" t="s">
        <v>8</v>
      </c>
      <c r="B5" s="193"/>
      <c r="C5" s="193"/>
      <c r="D5" s="193"/>
      <c r="E5" s="6" t="s">
        <v>9</v>
      </c>
      <c r="F5" s="219" t="s">
        <v>10</v>
      </c>
      <c r="G5" s="219"/>
      <c r="H5" s="219"/>
      <c r="I5" s="6" t="s">
        <v>11</v>
      </c>
      <c r="J5" s="219"/>
      <c r="K5" s="219"/>
      <c r="L5" s="6" t="s">
        <v>12</v>
      </c>
      <c r="M5" s="7">
        <v>2023</v>
      </c>
      <c r="N5" s="2"/>
    </row>
    <row r="6" spans="1:14" x14ac:dyDescent="0.3">
      <c r="A6" s="193"/>
      <c r="B6" s="193"/>
      <c r="C6" s="193"/>
      <c r="D6" s="193"/>
      <c r="E6" s="6" t="s">
        <v>13</v>
      </c>
      <c r="F6" s="219" t="s">
        <v>14</v>
      </c>
      <c r="G6" s="219"/>
      <c r="H6" s="219"/>
      <c r="I6" s="6" t="s">
        <v>11</v>
      </c>
      <c r="J6" s="219" t="s">
        <v>15</v>
      </c>
      <c r="K6" s="219"/>
      <c r="L6" s="6" t="s">
        <v>12</v>
      </c>
      <c r="M6" s="7">
        <v>2023</v>
      </c>
      <c r="N6" s="2"/>
    </row>
    <row r="7" spans="1:14" ht="15.6" customHeight="1" x14ac:dyDescent="0.3">
      <c r="A7" s="193"/>
      <c r="B7" s="193"/>
      <c r="C7" s="193"/>
      <c r="D7" s="193"/>
      <c r="E7" s="6" t="s">
        <v>16</v>
      </c>
      <c r="F7" s="220" t="s">
        <v>226</v>
      </c>
      <c r="G7" s="220"/>
      <c r="H7" s="220"/>
      <c r="I7" s="6" t="s">
        <v>17</v>
      </c>
      <c r="J7" s="219" t="s">
        <v>18</v>
      </c>
      <c r="K7" s="219"/>
      <c r="L7" s="6" t="s">
        <v>19</v>
      </c>
      <c r="M7" s="7"/>
      <c r="N7" s="2"/>
    </row>
    <row r="8" spans="1:14" x14ac:dyDescent="0.3">
      <c r="A8" s="193"/>
      <c r="B8" s="193"/>
      <c r="C8" s="193"/>
      <c r="D8" s="193"/>
      <c r="E8" s="6" t="s">
        <v>20</v>
      </c>
      <c r="F8" s="219" t="s">
        <v>7</v>
      </c>
      <c r="G8" s="219"/>
      <c r="H8" s="219"/>
      <c r="I8" s="6" t="s">
        <v>21</v>
      </c>
      <c r="J8" s="219" t="str">
        <f>'CH1-CH8'!$J$8</f>
        <v>31</v>
      </c>
      <c r="K8" s="221"/>
      <c r="L8" s="6" t="s">
        <v>19</v>
      </c>
      <c r="M8" s="7" t="s">
        <v>22</v>
      </c>
      <c r="N8" s="2"/>
    </row>
    <row r="9" spans="1:14" x14ac:dyDescent="0.3">
      <c r="A9" s="193"/>
      <c r="B9" s="193"/>
      <c r="C9" s="193"/>
      <c r="D9" s="193"/>
      <c r="E9" s="60" t="s">
        <v>23</v>
      </c>
      <c r="F9" s="219" t="s">
        <v>24</v>
      </c>
      <c r="G9" s="219"/>
      <c r="H9" s="219"/>
      <c r="I9" s="60" t="s">
        <v>219</v>
      </c>
      <c r="J9" s="219" t="s">
        <v>25</v>
      </c>
      <c r="K9" s="219"/>
      <c r="L9" s="6" t="s">
        <v>26</v>
      </c>
      <c r="M9" s="7" t="str">
        <f>'CH1-CH8'!M8</f>
        <v>3.4.10</v>
      </c>
      <c r="N9" s="2"/>
    </row>
    <row r="10" spans="1:14" x14ac:dyDescent="0.3">
      <c r="A10" s="193" t="s">
        <v>27</v>
      </c>
      <c r="B10" s="193"/>
      <c r="C10" s="193"/>
      <c r="D10" s="193"/>
      <c r="E10" s="8" t="s">
        <v>28</v>
      </c>
      <c r="F10" s="194" t="s">
        <v>29</v>
      </c>
      <c r="G10" s="194"/>
      <c r="H10" s="194"/>
      <c r="I10" s="194"/>
      <c r="J10" s="194"/>
      <c r="K10" s="194"/>
      <c r="L10" s="194"/>
      <c r="M10" s="194"/>
      <c r="N10" s="194"/>
    </row>
    <row r="11" spans="1:14" x14ac:dyDescent="0.3">
      <c r="A11" s="193"/>
      <c r="B11" s="193"/>
      <c r="C11" s="193"/>
      <c r="D11" s="193"/>
      <c r="E11" s="8" t="s">
        <v>30</v>
      </c>
      <c r="F11" s="194" t="s">
        <v>31</v>
      </c>
      <c r="G11" s="194"/>
      <c r="H11" s="194"/>
      <c r="I11" s="195" t="s">
        <v>32</v>
      </c>
      <c r="J11" s="196"/>
      <c r="K11" s="197"/>
      <c r="L11" s="6" t="s">
        <v>33</v>
      </c>
      <c r="M11" s="9"/>
      <c r="N11" s="2"/>
    </row>
    <row r="12" spans="1:14" x14ac:dyDescent="0.3">
      <c r="A12" s="193"/>
      <c r="B12" s="193"/>
      <c r="C12" s="193"/>
      <c r="D12" s="193"/>
      <c r="E12" s="10" t="s">
        <v>34</v>
      </c>
      <c r="F12" s="198" t="s">
        <v>35</v>
      </c>
      <c r="G12" s="199"/>
      <c r="H12" s="200"/>
      <c r="I12" s="201" t="s">
        <v>36</v>
      </c>
      <c r="J12" s="202"/>
      <c r="K12" s="203"/>
      <c r="L12" s="11" t="s">
        <v>37</v>
      </c>
      <c r="M12" s="12"/>
      <c r="N12" s="13"/>
    </row>
    <row r="13" spans="1:14" x14ac:dyDescent="0.3">
      <c r="A13" s="148" t="s">
        <v>38</v>
      </c>
      <c r="B13" s="151" t="s">
        <v>39</v>
      </c>
      <c r="C13" s="152"/>
      <c r="D13" s="153"/>
      <c r="E13" s="148" t="s">
        <v>40</v>
      </c>
      <c r="F13" s="160" t="s">
        <v>41</v>
      </c>
      <c r="G13" s="161"/>
      <c r="H13" s="161"/>
      <c r="I13" s="162"/>
      <c r="J13" s="151" t="s">
        <v>42</v>
      </c>
      <c r="K13" s="153"/>
      <c r="L13" s="148" t="s">
        <v>43</v>
      </c>
      <c r="M13" s="133" t="s">
        <v>44</v>
      </c>
      <c r="N13" s="133" t="s">
        <v>45</v>
      </c>
    </row>
    <row r="14" spans="1:14" x14ac:dyDescent="0.3">
      <c r="A14" s="150"/>
      <c r="B14" s="157"/>
      <c r="C14" s="158"/>
      <c r="D14" s="159"/>
      <c r="E14" s="150"/>
      <c r="F14" s="14" t="s">
        <v>46</v>
      </c>
      <c r="G14" s="14" t="s">
        <v>47</v>
      </c>
      <c r="H14" s="14" t="s">
        <v>48</v>
      </c>
      <c r="I14" s="14" t="s">
        <v>49</v>
      </c>
      <c r="J14" s="157"/>
      <c r="K14" s="159"/>
      <c r="L14" s="150"/>
      <c r="M14" s="135"/>
      <c r="N14" s="135"/>
    </row>
    <row r="15" spans="1:14" ht="16.2" x14ac:dyDescent="0.3">
      <c r="A15" s="14" t="s">
        <v>50</v>
      </c>
      <c r="B15" s="15" t="s">
        <v>51</v>
      </c>
      <c r="C15" s="16"/>
      <c r="D15" s="16"/>
      <c r="E15" s="16"/>
      <c r="F15" s="16"/>
      <c r="G15" s="17"/>
      <c r="H15" s="18"/>
      <c r="I15" s="19"/>
      <c r="J15" s="20"/>
      <c r="K15" s="21"/>
      <c r="L15" s="22"/>
      <c r="M15" s="23"/>
      <c r="N15" s="24"/>
    </row>
    <row r="16" spans="1:14" ht="15.6" customHeight="1" x14ac:dyDescent="0.3">
      <c r="A16" s="115">
        <v>1.1000000000000001</v>
      </c>
      <c r="B16" s="174" t="s">
        <v>227</v>
      </c>
      <c r="C16" s="175"/>
      <c r="D16" s="176"/>
      <c r="E16" s="132" t="s">
        <v>52</v>
      </c>
      <c r="F16" s="164" t="s">
        <v>53</v>
      </c>
      <c r="G16" s="25" t="s">
        <v>54</v>
      </c>
      <c r="H16" s="25" t="s">
        <v>55</v>
      </c>
      <c r="I16" s="25" t="s">
        <v>56</v>
      </c>
      <c r="J16" s="25" t="s">
        <v>183</v>
      </c>
      <c r="K16" s="26">
        <f>VLOOKUP($B$16&amp;J16&amp;$F$16,TXRESULT!$A$1:$J$1004,6,FALSE)</f>
        <v>39.799999999999997</v>
      </c>
      <c r="L16" s="145" t="s">
        <v>58</v>
      </c>
      <c r="M16" s="27" t="str">
        <f>IF(ISBLANK(K16),"",IF(AND(K16*1&gt;H16*1,K16*1&lt;I16*1),"PASS","FAIL"))</f>
        <v>PASS</v>
      </c>
      <c r="N16" s="27" t="str">
        <f>IF(ISBLANK(K16),"CHUADO","")</f>
        <v/>
      </c>
    </row>
    <row r="17" spans="1:14" x14ac:dyDescent="0.3">
      <c r="A17" s="116"/>
      <c r="B17" s="177"/>
      <c r="C17" s="178"/>
      <c r="D17" s="179"/>
      <c r="E17" s="119"/>
      <c r="F17" s="165"/>
      <c r="G17" s="25" t="s">
        <v>54</v>
      </c>
      <c r="H17" s="25" t="s">
        <v>55</v>
      </c>
      <c r="I17" s="25" t="s">
        <v>56</v>
      </c>
      <c r="J17" s="25" t="s">
        <v>184</v>
      </c>
      <c r="K17" s="26">
        <f>VLOOKUP($B$16&amp;J17&amp;$F$16,TXRESULT!$A$1:$J$1004,6,FALSE)</f>
        <v>39.700000000000003</v>
      </c>
      <c r="L17" s="146"/>
      <c r="M17" s="27" t="str">
        <f t="shared" ref="M17:M23" si="0">IF(ISBLANK(K17),"",IF(AND(K17*1&gt;H17*1,K17*1&lt;I17*1),"PASS","FAIL"))</f>
        <v>PASS</v>
      </c>
      <c r="N17" s="27" t="str">
        <f t="shared" ref="N17:N80" si="1">IF(ISBLANK(K17),"CHUADO","")</f>
        <v/>
      </c>
    </row>
    <row r="18" spans="1:14" x14ac:dyDescent="0.3">
      <c r="A18" s="116"/>
      <c r="B18" s="177"/>
      <c r="C18" s="178"/>
      <c r="D18" s="179"/>
      <c r="E18" s="119"/>
      <c r="F18" s="165"/>
      <c r="G18" s="25" t="s">
        <v>54</v>
      </c>
      <c r="H18" s="25" t="s">
        <v>55</v>
      </c>
      <c r="I18" s="25" t="s">
        <v>56</v>
      </c>
      <c r="J18" s="25" t="s">
        <v>185</v>
      </c>
      <c r="K18" s="26">
        <f>VLOOKUP($B$16&amp;J18&amp;$F$16,TXRESULT!$A$1:$J$1004,6,FALSE)</f>
        <v>39.799999999999997</v>
      </c>
      <c r="L18" s="146"/>
      <c r="M18" s="27" t="str">
        <f t="shared" si="0"/>
        <v>PASS</v>
      </c>
      <c r="N18" s="27" t="str">
        <f t="shared" si="1"/>
        <v/>
      </c>
    </row>
    <row r="19" spans="1:14" x14ac:dyDescent="0.3">
      <c r="A19" s="116"/>
      <c r="B19" s="177"/>
      <c r="C19" s="178"/>
      <c r="D19" s="179"/>
      <c r="E19" s="119"/>
      <c r="F19" s="165"/>
      <c r="G19" s="25" t="s">
        <v>54</v>
      </c>
      <c r="H19" s="25" t="s">
        <v>55</v>
      </c>
      <c r="I19" s="25" t="s">
        <v>56</v>
      </c>
      <c r="J19" s="25" t="s">
        <v>186</v>
      </c>
      <c r="K19" s="26">
        <f>VLOOKUP($B$16&amp;J19&amp;$F$16,TXRESULT!$A$1:$J$1004,6,FALSE)</f>
        <v>39.6</v>
      </c>
      <c r="L19" s="146"/>
      <c r="M19" s="27" t="str">
        <f t="shared" si="0"/>
        <v>PASS</v>
      </c>
      <c r="N19" s="27" t="str">
        <f t="shared" si="1"/>
        <v/>
      </c>
    </row>
    <row r="20" spans="1:14" x14ac:dyDescent="0.3">
      <c r="A20" s="116"/>
      <c r="B20" s="177"/>
      <c r="C20" s="178"/>
      <c r="D20" s="179"/>
      <c r="E20" s="119"/>
      <c r="F20" s="165"/>
      <c r="G20" s="25" t="s">
        <v>54</v>
      </c>
      <c r="H20" s="25" t="s">
        <v>55</v>
      </c>
      <c r="I20" s="25" t="s">
        <v>56</v>
      </c>
      <c r="J20" s="25" t="s">
        <v>187</v>
      </c>
      <c r="K20" s="26">
        <f>VLOOKUP($B$16&amp;J20&amp;$F$16,TXRESULT!$A$1:$J$1004,6,FALSE)</f>
        <v>40</v>
      </c>
      <c r="L20" s="146"/>
      <c r="M20" s="27" t="str">
        <f t="shared" si="0"/>
        <v>PASS</v>
      </c>
      <c r="N20" s="27" t="str">
        <f t="shared" si="1"/>
        <v/>
      </c>
    </row>
    <row r="21" spans="1:14" x14ac:dyDescent="0.3">
      <c r="A21" s="116"/>
      <c r="B21" s="177"/>
      <c r="C21" s="178"/>
      <c r="D21" s="179"/>
      <c r="E21" s="119"/>
      <c r="F21" s="165"/>
      <c r="G21" s="25" t="s">
        <v>54</v>
      </c>
      <c r="H21" s="25" t="s">
        <v>55</v>
      </c>
      <c r="I21" s="25" t="s">
        <v>56</v>
      </c>
      <c r="J21" s="25" t="s">
        <v>188</v>
      </c>
      <c r="K21" s="26">
        <f>VLOOKUP($B$16&amp;J21&amp;$F$16,TXRESULT!$A$1:$J$1004,6,FALSE)</f>
        <v>39.5</v>
      </c>
      <c r="L21" s="146"/>
      <c r="M21" s="27" t="str">
        <f t="shared" si="0"/>
        <v>PASS</v>
      </c>
      <c r="N21" s="27" t="str">
        <f t="shared" si="1"/>
        <v/>
      </c>
    </row>
    <row r="22" spans="1:14" x14ac:dyDescent="0.3">
      <c r="A22" s="116"/>
      <c r="B22" s="177"/>
      <c r="C22" s="178"/>
      <c r="D22" s="179"/>
      <c r="E22" s="119"/>
      <c r="F22" s="165"/>
      <c r="G22" s="25" t="s">
        <v>54</v>
      </c>
      <c r="H22" s="25" t="s">
        <v>55</v>
      </c>
      <c r="I22" s="25" t="s">
        <v>56</v>
      </c>
      <c r="J22" s="25" t="s">
        <v>189</v>
      </c>
      <c r="K22" s="26">
        <f>VLOOKUP($B$16&amp;J22&amp;$F$16,TXRESULT!$A$1:$J$1004,6,FALSE)</f>
        <v>39.700000000000003</v>
      </c>
      <c r="L22" s="146"/>
      <c r="M22" s="27" t="str">
        <f t="shared" si="0"/>
        <v>PASS</v>
      </c>
      <c r="N22" s="27" t="str">
        <f t="shared" si="1"/>
        <v/>
      </c>
    </row>
    <row r="23" spans="1:14" x14ac:dyDescent="0.3">
      <c r="A23" s="117"/>
      <c r="B23" s="180"/>
      <c r="C23" s="181"/>
      <c r="D23" s="182"/>
      <c r="E23" s="120"/>
      <c r="F23" s="166"/>
      <c r="G23" s="25" t="s">
        <v>54</v>
      </c>
      <c r="H23" s="25" t="s">
        <v>55</v>
      </c>
      <c r="I23" s="25" t="s">
        <v>56</v>
      </c>
      <c r="J23" s="25" t="s">
        <v>190</v>
      </c>
      <c r="K23" s="26">
        <f>VLOOKUP($B$16&amp;J23&amp;$F$16,TXRESULT!$A$1:$J$1004,6,FALSE)</f>
        <v>39.4</v>
      </c>
      <c r="L23" s="147"/>
      <c r="M23" s="27" t="str">
        <f t="shared" si="0"/>
        <v>PASS</v>
      </c>
      <c r="N23" s="27" t="str">
        <f t="shared" si="1"/>
        <v/>
      </c>
    </row>
    <row r="24" spans="1:14" x14ac:dyDescent="0.3">
      <c r="A24" s="28"/>
      <c r="B24" s="29" t="s">
        <v>66</v>
      </c>
      <c r="C24" s="30"/>
      <c r="D24" s="31"/>
      <c r="E24" s="32" t="str">
        <f>IF(OR(K24="",AND(H24="",I24="")),"",IF(OR(AND(K24&lt;&gt;"",I24&lt;&gt;"",K24&gt;I24),AND(K24&lt;&gt;"",H24&lt;&gt;"",K24&lt;H24)),"FAIL","PASS"))</f>
        <v/>
      </c>
      <c r="F24" s="32"/>
      <c r="G24" s="32"/>
      <c r="H24" s="32"/>
      <c r="I24" s="32"/>
      <c r="J24" s="32"/>
      <c r="K24" s="33"/>
      <c r="L24" s="32"/>
      <c r="M24" s="27"/>
      <c r="N24" s="27"/>
    </row>
    <row r="25" spans="1:14" ht="15.6" customHeight="1" x14ac:dyDescent="0.3">
      <c r="A25" s="115" t="s">
        <v>67</v>
      </c>
      <c r="B25" s="174" t="s">
        <v>228</v>
      </c>
      <c r="C25" s="175"/>
      <c r="D25" s="176"/>
      <c r="E25" s="132" t="s">
        <v>68</v>
      </c>
      <c r="F25" s="164" t="s">
        <v>269</v>
      </c>
      <c r="G25" s="25" t="s">
        <v>69</v>
      </c>
      <c r="H25" s="25" t="str">
        <f>G25</f>
        <v>23.9</v>
      </c>
      <c r="I25" s="25" t="str">
        <f>IF(ISBLANK('[1]CH1-CH8'!G11),"",('[1]CH1-CH8'!G11))</f>
        <v/>
      </c>
      <c r="J25" s="25" t="s">
        <v>183</v>
      </c>
      <c r="K25" s="26">
        <f>VLOOKUP($B$25&amp;J25&amp;$F$25,TXRESULT!$A$1:$J$1004,6,FALSE)</f>
        <v>26.1</v>
      </c>
      <c r="L25" s="145" t="s">
        <v>70</v>
      </c>
      <c r="M25" s="27" t="str">
        <f>IF(ISBLANK(K25),"",IF(AND(K25*1&gt;H25*1),"PASS","FAIL"))</f>
        <v>PASS</v>
      </c>
      <c r="N25" s="27" t="str">
        <f t="shared" si="1"/>
        <v/>
      </c>
    </row>
    <row r="26" spans="1:14" x14ac:dyDescent="0.3">
      <c r="A26" s="116"/>
      <c r="B26" s="177"/>
      <c r="C26" s="178"/>
      <c r="D26" s="179"/>
      <c r="E26" s="119"/>
      <c r="F26" s="165"/>
      <c r="G26" s="25" t="str">
        <f>G25</f>
        <v>23.9</v>
      </c>
      <c r="H26" s="25" t="str">
        <f>H25</f>
        <v>23.9</v>
      </c>
      <c r="I26" s="25" t="str">
        <f>I25</f>
        <v/>
      </c>
      <c r="J26" s="25" t="s">
        <v>184</v>
      </c>
      <c r="K26" s="26">
        <f>VLOOKUP($B$25&amp;J26&amp;$F$25,TXRESULT!$A$1:$J$1004,6,FALSE)</f>
        <v>26.2</v>
      </c>
      <c r="L26" s="146"/>
      <c r="M26" s="27" t="str">
        <f t="shared" ref="M26:M33" si="2">IF(ISBLANK(K26),"",IF(AND(K26*1&gt;H26*1),"PASS","FAIL"))</f>
        <v>PASS</v>
      </c>
      <c r="N26" s="27" t="str">
        <f t="shared" si="1"/>
        <v/>
      </c>
    </row>
    <row r="27" spans="1:14" x14ac:dyDescent="0.3">
      <c r="A27" s="116"/>
      <c r="B27" s="177"/>
      <c r="C27" s="178"/>
      <c r="D27" s="179"/>
      <c r="E27" s="119"/>
      <c r="F27" s="165"/>
      <c r="G27" s="25" t="str">
        <f>G25</f>
        <v>23.9</v>
      </c>
      <c r="H27" s="25" t="str">
        <f>H25</f>
        <v>23.9</v>
      </c>
      <c r="I27" s="25" t="str">
        <f>I25</f>
        <v/>
      </c>
      <c r="J27" s="25" t="s">
        <v>185</v>
      </c>
      <c r="K27" s="26">
        <f>VLOOKUP($B$25&amp;J27&amp;$F$25,TXRESULT!$A$1:$J$1004,6,FALSE)</f>
        <v>26.5</v>
      </c>
      <c r="L27" s="146"/>
      <c r="M27" s="27" t="str">
        <f t="shared" si="2"/>
        <v>PASS</v>
      </c>
      <c r="N27" s="27" t="str">
        <f t="shared" si="1"/>
        <v/>
      </c>
    </row>
    <row r="28" spans="1:14" x14ac:dyDescent="0.3">
      <c r="A28" s="116"/>
      <c r="B28" s="177"/>
      <c r="C28" s="178"/>
      <c r="D28" s="179"/>
      <c r="E28" s="119"/>
      <c r="F28" s="165"/>
      <c r="G28" s="25" t="str">
        <f>G25</f>
        <v>23.9</v>
      </c>
      <c r="H28" s="25" t="str">
        <f>H25</f>
        <v>23.9</v>
      </c>
      <c r="I28" s="25" t="str">
        <f>I25</f>
        <v/>
      </c>
      <c r="J28" s="25" t="s">
        <v>186</v>
      </c>
      <c r="K28" s="26">
        <f>VLOOKUP($B$25&amp;J28&amp;$F$25,TXRESULT!$A$1:$J$1004,6,FALSE)</f>
        <v>26</v>
      </c>
      <c r="L28" s="146"/>
      <c r="M28" s="27" t="str">
        <f t="shared" si="2"/>
        <v>PASS</v>
      </c>
      <c r="N28" s="27" t="str">
        <f t="shared" si="1"/>
        <v/>
      </c>
    </row>
    <row r="29" spans="1:14" x14ac:dyDescent="0.3">
      <c r="A29" s="116"/>
      <c r="B29" s="177"/>
      <c r="C29" s="178"/>
      <c r="D29" s="179"/>
      <c r="E29" s="119"/>
      <c r="F29" s="165"/>
      <c r="G29" s="25" t="str">
        <f>G25</f>
        <v>23.9</v>
      </c>
      <c r="H29" s="25" t="str">
        <f>H25</f>
        <v>23.9</v>
      </c>
      <c r="I29" s="25" t="str">
        <f>I25</f>
        <v/>
      </c>
      <c r="J29" s="25" t="s">
        <v>187</v>
      </c>
      <c r="K29" s="26">
        <f>VLOOKUP($B$25&amp;J29&amp;$F$25,TXRESULT!$A$1:$J$1004,6,FALSE)</f>
        <v>26.3</v>
      </c>
      <c r="L29" s="146"/>
      <c r="M29" s="27" t="str">
        <f t="shared" si="2"/>
        <v>PASS</v>
      </c>
      <c r="N29" s="27" t="str">
        <f t="shared" si="1"/>
        <v/>
      </c>
    </row>
    <row r="30" spans="1:14" x14ac:dyDescent="0.3">
      <c r="A30" s="116"/>
      <c r="B30" s="177"/>
      <c r="C30" s="178"/>
      <c r="D30" s="179"/>
      <c r="E30" s="119"/>
      <c r="F30" s="165"/>
      <c r="G30" s="25" t="str">
        <f>G25</f>
        <v>23.9</v>
      </c>
      <c r="H30" s="25" t="str">
        <f>H25</f>
        <v>23.9</v>
      </c>
      <c r="I30" s="25" t="str">
        <f>I25</f>
        <v/>
      </c>
      <c r="J30" s="25" t="s">
        <v>188</v>
      </c>
      <c r="K30" s="26">
        <f>VLOOKUP($B$25&amp;J30&amp;$F$25,TXRESULT!$A$1:$J$1004,6,FALSE)</f>
        <v>26.9</v>
      </c>
      <c r="L30" s="146"/>
      <c r="M30" s="27" t="str">
        <f t="shared" si="2"/>
        <v>PASS</v>
      </c>
      <c r="N30" s="27" t="str">
        <f t="shared" si="1"/>
        <v/>
      </c>
    </row>
    <row r="31" spans="1:14" x14ac:dyDescent="0.3">
      <c r="A31" s="116"/>
      <c r="B31" s="177"/>
      <c r="C31" s="178"/>
      <c r="D31" s="179"/>
      <c r="E31" s="119"/>
      <c r="F31" s="165"/>
      <c r="G31" s="25" t="str">
        <f>G25</f>
        <v>23.9</v>
      </c>
      <c r="H31" s="25" t="str">
        <f>H25</f>
        <v>23.9</v>
      </c>
      <c r="I31" s="25" t="str">
        <f>I25</f>
        <v/>
      </c>
      <c r="J31" s="25" t="s">
        <v>189</v>
      </c>
      <c r="K31" s="26">
        <f>VLOOKUP($B$25&amp;J31&amp;$F$25,TXRESULT!$A$1:$J$1004,6,FALSE)</f>
        <v>25.9</v>
      </c>
      <c r="L31" s="146"/>
      <c r="M31" s="27" t="str">
        <f t="shared" si="2"/>
        <v>PASS</v>
      </c>
      <c r="N31" s="27" t="str">
        <f t="shared" si="1"/>
        <v/>
      </c>
    </row>
    <row r="32" spans="1:14" x14ac:dyDescent="0.3">
      <c r="A32" s="117"/>
      <c r="B32" s="180"/>
      <c r="C32" s="181"/>
      <c r="D32" s="182"/>
      <c r="E32" s="120"/>
      <c r="F32" s="166"/>
      <c r="G32" s="25" t="str">
        <f>G25</f>
        <v>23.9</v>
      </c>
      <c r="H32" s="25" t="str">
        <f>H25</f>
        <v>23.9</v>
      </c>
      <c r="I32" s="25" t="str">
        <f>I25</f>
        <v/>
      </c>
      <c r="J32" s="25" t="s">
        <v>190</v>
      </c>
      <c r="K32" s="26">
        <f>VLOOKUP($B$25&amp;J32&amp;$F$25,TXRESULT!$A$1:$J$1004,6,FALSE)</f>
        <v>26.1</v>
      </c>
      <c r="L32" s="146"/>
      <c r="M32" s="27" t="str">
        <f t="shared" si="2"/>
        <v>PASS</v>
      </c>
      <c r="N32" s="27" t="str">
        <f t="shared" si="1"/>
        <v/>
      </c>
    </row>
    <row r="33" spans="1:14" x14ac:dyDescent="0.3">
      <c r="A33" s="28"/>
      <c r="B33" s="29" t="s">
        <v>71</v>
      </c>
      <c r="C33" s="30"/>
      <c r="D33" s="31"/>
      <c r="E33" s="31"/>
      <c r="F33" s="31"/>
      <c r="G33" s="31"/>
      <c r="H33" s="31"/>
      <c r="I33" s="31"/>
      <c r="J33" s="31"/>
      <c r="K33" s="34"/>
      <c r="L33" s="31"/>
      <c r="M33" s="27" t="str">
        <f t="shared" si="2"/>
        <v/>
      </c>
      <c r="N33" s="27"/>
    </row>
    <row r="34" spans="1:14" ht="15.6" customHeight="1" x14ac:dyDescent="0.3">
      <c r="A34" s="115" t="s">
        <v>72</v>
      </c>
      <c r="B34" s="174" t="s">
        <v>253</v>
      </c>
      <c r="C34" s="175"/>
      <c r="D34" s="176"/>
      <c r="E34" s="115" t="s">
        <v>73</v>
      </c>
      <c r="F34" s="164" t="s">
        <v>53</v>
      </c>
      <c r="G34" s="25" t="s">
        <v>74</v>
      </c>
      <c r="H34" s="25" t="str">
        <f>IF(ISBLANK('[1]CH1-CH8'!F17),"",('[1]CH1-CH8'!F17))</f>
        <v/>
      </c>
      <c r="I34" s="25" t="s">
        <v>74</v>
      </c>
      <c r="J34" s="25" t="s">
        <v>183</v>
      </c>
      <c r="K34" s="26" t="e">
        <f>VLOOKUP($B$34&amp;J34&amp;$F$34,TXRESULT!$A$1:$J$1004,6,FALSE)</f>
        <v>#N/A</v>
      </c>
      <c r="L34" s="145" t="s">
        <v>75</v>
      </c>
      <c r="M34" s="27" t="e">
        <f>IF(ISBLANK(K34),"",IF(AND(K34*1&lt;I34*1),"PASS","FAIL"))</f>
        <v>#N/A</v>
      </c>
      <c r="N34" s="27" t="str">
        <f t="shared" si="1"/>
        <v/>
      </c>
    </row>
    <row r="35" spans="1:14" x14ac:dyDescent="0.3">
      <c r="A35" s="116"/>
      <c r="B35" s="177"/>
      <c r="C35" s="178"/>
      <c r="D35" s="179"/>
      <c r="E35" s="116"/>
      <c r="F35" s="165"/>
      <c r="G35" s="25" t="str">
        <f>G34</f>
        <v>-82.5</v>
      </c>
      <c r="H35" s="25" t="str">
        <f>H34</f>
        <v/>
      </c>
      <c r="I35" s="25" t="str">
        <f>I34</f>
        <v>-82.5</v>
      </c>
      <c r="J35" s="25" t="s">
        <v>184</v>
      </c>
      <c r="K35" s="26" t="e">
        <f>VLOOKUP($B$34&amp;J35&amp;$F$34,TXRESULT!$A$1:$J$1004,6,FALSE)</f>
        <v>#N/A</v>
      </c>
      <c r="L35" s="146"/>
      <c r="M35" s="27" t="e">
        <f t="shared" ref="M35:M41" si="3">IF(ISBLANK(K35),"",IF(AND(K35*1&lt;I35*1),"PASS","FAIL"))</f>
        <v>#N/A</v>
      </c>
      <c r="N35" s="27" t="str">
        <f t="shared" si="1"/>
        <v/>
      </c>
    </row>
    <row r="36" spans="1:14" x14ac:dyDescent="0.3">
      <c r="A36" s="116"/>
      <c r="B36" s="177"/>
      <c r="C36" s="178"/>
      <c r="D36" s="179"/>
      <c r="E36" s="116"/>
      <c r="F36" s="165"/>
      <c r="G36" s="25" t="str">
        <f>G34</f>
        <v>-82.5</v>
      </c>
      <c r="H36" s="25" t="str">
        <f>H34</f>
        <v/>
      </c>
      <c r="I36" s="25" t="str">
        <f>I34</f>
        <v>-82.5</v>
      </c>
      <c r="J36" s="25" t="s">
        <v>185</v>
      </c>
      <c r="K36" s="26" t="e">
        <f>VLOOKUP($B$34&amp;J36&amp;$F$34,TXRESULT!$A$1:$J$1004,6,FALSE)</f>
        <v>#N/A</v>
      </c>
      <c r="L36" s="146"/>
      <c r="M36" s="27" t="e">
        <f t="shared" si="3"/>
        <v>#N/A</v>
      </c>
      <c r="N36" s="27" t="str">
        <f t="shared" si="1"/>
        <v/>
      </c>
    </row>
    <row r="37" spans="1:14" x14ac:dyDescent="0.3">
      <c r="A37" s="116"/>
      <c r="B37" s="177"/>
      <c r="C37" s="178"/>
      <c r="D37" s="179"/>
      <c r="E37" s="116"/>
      <c r="F37" s="165"/>
      <c r="G37" s="25" t="str">
        <f>G34</f>
        <v>-82.5</v>
      </c>
      <c r="H37" s="25" t="str">
        <f>H34</f>
        <v/>
      </c>
      <c r="I37" s="25" t="str">
        <f>I34</f>
        <v>-82.5</v>
      </c>
      <c r="J37" s="25" t="s">
        <v>186</v>
      </c>
      <c r="K37" s="26" t="e">
        <f>VLOOKUP($B$34&amp;J37&amp;$F$34,TXRESULT!$A$1:$J$1004,6,FALSE)</f>
        <v>#N/A</v>
      </c>
      <c r="L37" s="146"/>
      <c r="M37" s="27" t="e">
        <f t="shared" si="3"/>
        <v>#N/A</v>
      </c>
      <c r="N37" s="27" t="str">
        <f t="shared" si="1"/>
        <v/>
      </c>
    </row>
    <row r="38" spans="1:14" x14ac:dyDescent="0.3">
      <c r="A38" s="116"/>
      <c r="B38" s="177"/>
      <c r="C38" s="178"/>
      <c r="D38" s="179"/>
      <c r="E38" s="116"/>
      <c r="F38" s="165"/>
      <c r="G38" s="25" t="str">
        <f>G34</f>
        <v>-82.5</v>
      </c>
      <c r="H38" s="25" t="str">
        <f>H34</f>
        <v/>
      </c>
      <c r="I38" s="25" t="str">
        <f>I34</f>
        <v>-82.5</v>
      </c>
      <c r="J38" s="25" t="s">
        <v>187</v>
      </c>
      <c r="K38" s="26" t="e">
        <f>VLOOKUP($B$34&amp;J38&amp;$F$34,TXRESULT!$A$1:$J$1004,6,FALSE)</f>
        <v>#N/A</v>
      </c>
      <c r="L38" s="146"/>
      <c r="M38" s="27" t="e">
        <f t="shared" si="3"/>
        <v>#N/A</v>
      </c>
      <c r="N38" s="27" t="str">
        <f t="shared" si="1"/>
        <v/>
      </c>
    </row>
    <row r="39" spans="1:14" x14ac:dyDescent="0.3">
      <c r="A39" s="116"/>
      <c r="B39" s="177"/>
      <c r="C39" s="178"/>
      <c r="D39" s="179"/>
      <c r="E39" s="116"/>
      <c r="F39" s="165"/>
      <c r="G39" s="25" t="str">
        <f>G34</f>
        <v>-82.5</v>
      </c>
      <c r="H39" s="25" t="str">
        <f>H34</f>
        <v/>
      </c>
      <c r="I39" s="25" t="str">
        <f>I34</f>
        <v>-82.5</v>
      </c>
      <c r="J39" s="25" t="s">
        <v>188</v>
      </c>
      <c r="K39" s="26" t="e">
        <f>VLOOKUP($B$34&amp;J39&amp;$F$34,TXRESULT!$A$1:$J$1004,6,FALSE)</f>
        <v>#N/A</v>
      </c>
      <c r="L39" s="146"/>
      <c r="M39" s="27" t="e">
        <f t="shared" si="3"/>
        <v>#N/A</v>
      </c>
      <c r="N39" s="27" t="str">
        <f t="shared" si="1"/>
        <v/>
      </c>
    </row>
    <row r="40" spans="1:14" x14ac:dyDescent="0.3">
      <c r="A40" s="116"/>
      <c r="B40" s="177"/>
      <c r="C40" s="178"/>
      <c r="D40" s="179"/>
      <c r="E40" s="116"/>
      <c r="F40" s="165"/>
      <c r="G40" s="25" t="str">
        <f>G34</f>
        <v>-82.5</v>
      </c>
      <c r="H40" s="25" t="str">
        <f>H34</f>
        <v/>
      </c>
      <c r="I40" s="25" t="str">
        <f>I34</f>
        <v>-82.5</v>
      </c>
      <c r="J40" s="25" t="s">
        <v>189</v>
      </c>
      <c r="K40" s="26" t="e">
        <f>VLOOKUP($B$34&amp;J40&amp;$F$34,TXRESULT!$A$1:$J$1004,6,FALSE)</f>
        <v>#N/A</v>
      </c>
      <c r="L40" s="146"/>
      <c r="M40" s="27" t="e">
        <f t="shared" si="3"/>
        <v>#N/A</v>
      </c>
      <c r="N40" s="27" t="str">
        <f t="shared" si="1"/>
        <v/>
      </c>
    </row>
    <row r="41" spans="1:14" x14ac:dyDescent="0.3">
      <c r="A41" s="117"/>
      <c r="B41" s="180"/>
      <c r="C41" s="181"/>
      <c r="D41" s="182"/>
      <c r="E41" s="117"/>
      <c r="F41" s="166"/>
      <c r="G41" s="25" t="str">
        <f>G34</f>
        <v>-82.5</v>
      </c>
      <c r="H41" s="25" t="str">
        <f>H34</f>
        <v/>
      </c>
      <c r="I41" s="25" t="str">
        <f>I34</f>
        <v>-82.5</v>
      </c>
      <c r="J41" s="25" t="s">
        <v>190</v>
      </c>
      <c r="K41" s="26" t="e">
        <f>VLOOKUP($B$34&amp;J41&amp;$F$34,TXRESULT!$A$1:$J$1004,6,FALSE)</f>
        <v>#N/A</v>
      </c>
      <c r="L41" s="147"/>
      <c r="M41" s="27" t="e">
        <f t="shared" si="3"/>
        <v>#N/A</v>
      </c>
      <c r="N41" s="27" t="str">
        <f t="shared" si="1"/>
        <v/>
      </c>
    </row>
    <row r="42" spans="1:14" ht="15.6" customHeight="1" x14ac:dyDescent="0.3">
      <c r="A42" s="115" t="s">
        <v>76</v>
      </c>
      <c r="B42" s="174" t="s">
        <v>77</v>
      </c>
      <c r="C42" s="175"/>
      <c r="D42" s="176"/>
      <c r="E42" s="132" t="s">
        <v>78</v>
      </c>
      <c r="F42" s="164" t="s">
        <v>53</v>
      </c>
      <c r="G42" s="25" t="s">
        <v>79</v>
      </c>
      <c r="H42" s="25" t="s">
        <v>80</v>
      </c>
      <c r="I42" s="25" t="s">
        <v>79</v>
      </c>
      <c r="J42" s="25" t="s">
        <v>183</v>
      </c>
      <c r="K42" s="26" t="e">
        <f>VLOOKUP($B$42&amp;J42&amp;$F$42,TXRESULT!$A$1:$J$1004,6,FALSE)</f>
        <v>#N/A</v>
      </c>
      <c r="L42" s="145" t="s">
        <v>81</v>
      </c>
      <c r="M42" s="27" t="e">
        <f>IF(ISBLANK(K42),"",IF(AND(K42*1&gt;H42*1,K42*1&lt;I42*1),"PASS","FAIL"))</f>
        <v>#N/A</v>
      </c>
      <c r="N42" s="27" t="str">
        <f t="shared" si="1"/>
        <v/>
      </c>
    </row>
    <row r="43" spans="1:14" x14ac:dyDescent="0.3">
      <c r="A43" s="116"/>
      <c r="B43" s="177"/>
      <c r="C43" s="178"/>
      <c r="D43" s="179"/>
      <c r="E43" s="119"/>
      <c r="F43" s="165"/>
      <c r="G43" s="25" t="s">
        <v>79</v>
      </c>
      <c r="H43" s="25" t="s">
        <v>80</v>
      </c>
      <c r="I43" s="25" t="s">
        <v>79</v>
      </c>
      <c r="J43" s="25" t="s">
        <v>184</v>
      </c>
      <c r="K43" s="26" t="e">
        <f>VLOOKUP($B$42&amp;J43&amp;$F$42,TXRESULT!$A$1:$J$1004,6,FALSE)</f>
        <v>#N/A</v>
      </c>
      <c r="L43" s="146"/>
      <c r="M43" s="27" t="e">
        <f t="shared" ref="M43:M49" si="4">IF(ISBLANK(K43),"",IF(AND(K43*1&gt;H43*1,K43*1&lt;I43*1),"PASS","FAIL"))</f>
        <v>#N/A</v>
      </c>
      <c r="N43" s="27" t="str">
        <f t="shared" si="1"/>
        <v/>
      </c>
    </row>
    <row r="44" spans="1:14" x14ac:dyDescent="0.3">
      <c r="A44" s="116"/>
      <c r="B44" s="177"/>
      <c r="C44" s="178"/>
      <c r="D44" s="179"/>
      <c r="E44" s="119"/>
      <c r="F44" s="165"/>
      <c r="G44" s="25" t="s">
        <v>79</v>
      </c>
      <c r="H44" s="25" t="s">
        <v>80</v>
      </c>
      <c r="I44" s="25" t="s">
        <v>79</v>
      </c>
      <c r="J44" s="25" t="s">
        <v>185</v>
      </c>
      <c r="K44" s="26" t="e">
        <f>VLOOKUP($B$42&amp;J44&amp;$F$42,TXRESULT!$A$1:$J$1004,6,FALSE)</f>
        <v>#N/A</v>
      </c>
      <c r="L44" s="146"/>
      <c r="M44" s="27" t="e">
        <f t="shared" si="4"/>
        <v>#N/A</v>
      </c>
      <c r="N44" s="27" t="str">
        <f t="shared" si="1"/>
        <v/>
      </c>
    </row>
    <row r="45" spans="1:14" x14ac:dyDescent="0.3">
      <c r="A45" s="116"/>
      <c r="B45" s="177"/>
      <c r="C45" s="178"/>
      <c r="D45" s="179"/>
      <c r="E45" s="119"/>
      <c r="F45" s="165"/>
      <c r="G45" s="25" t="s">
        <v>79</v>
      </c>
      <c r="H45" s="25" t="s">
        <v>80</v>
      </c>
      <c r="I45" s="25" t="s">
        <v>79</v>
      </c>
      <c r="J45" s="25" t="s">
        <v>186</v>
      </c>
      <c r="K45" s="26" t="e">
        <f>VLOOKUP($B$42&amp;J45&amp;$F$42,TXRESULT!$A$1:$J$1004,6,FALSE)</f>
        <v>#N/A</v>
      </c>
      <c r="L45" s="146"/>
      <c r="M45" s="27" t="e">
        <f t="shared" si="4"/>
        <v>#N/A</v>
      </c>
      <c r="N45" s="27" t="str">
        <f t="shared" si="1"/>
        <v/>
      </c>
    </row>
    <row r="46" spans="1:14" x14ac:dyDescent="0.3">
      <c r="A46" s="116"/>
      <c r="B46" s="177"/>
      <c r="C46" s="178"/>
      <c r="D46" s="179"/>
      <c r="E46" s="119"/>
      <c r="F46" s="165"/>
      <c r="G46" s="25" t="s">
        <v>79</v>
      </c>
      <c r="H46" s="25" t="s">
        <v>80</v>
      </c>
      <c r="I46" s="25" t="s">
        <v>79</v>
      </c>
      <c r="J46" s="25" t="s">
        <v>187</v>
      </c>
      <c r="K46" s="26" t="e">
        <f>VLOOKUP($B$42&amp;J46&amp;$F$42,TXRESULT!$A$1:$J$1004,6,FALSE)</f>
        <v>#N/A</v>
      </c>
      <c r="L46" s="146"/>
      <c r="M46" s="27" t="e">
        <f t="shared" si="4"/>
        <v>#N/A</v>
      </c>
      <c r="N46" s="27" t="str">
        <f t="shared" si="1"/>
        <v/>
      </c>
    </row>
    <row r="47" spans="1:14" x14ac:dyDescent="0.3">
      <c r="A47" s="116"/>
      <c r="B47" s="177"/>
      <c r="C47" s="178"/>
      <c r="D47" s="179"/>
      <c r="E47" s="119"/>
      <c r="F47" s="165"/>
      <c r="G47" s="25" t="s">
        <v>79</v>
      </c>
      <c r="H47" s="25" t="s">
        <v>80</v>
      </c>
      <c r="I47" s="25" t="s">
        <v>79</v>
      </c>
      <c r="J47" s="25" t="s">
        <v>188</v>
      </c>
      <c r="K47" s="26" t="e">
        <f>VLOOKUP($B$42&amp;J47&amp;$F$42,TXRESULT!$A$1:$J$1004,6,FALSE)</f>
        <v>#N/A</v>
      </c>
      <c r="L47" s="146"/>
      <c r="M47" s="27" t="e">
        <f t="shared" si="4"/>
        <v>#N/A</v>
      </c>
      <c r="N47" s="27" t="str">
        <f t="shared" si="1"/>
        <v/>
      </c>
    </row>
    <row r="48" spans="1:14" x14ac:dyDescent="0.3">
      <c r="A48" s="116"/>
      <c r="B48" s="177"/>
      <c r="C48" s="178"/>
      <c r="D48" s="179"/>
      <c r="E48" s="119"/>
      <c r="F48" s="165"/>
      <c r="G48" s="25" t="s">
        <v>79</v>
      </c>
      <c r="H48" s="25" t="s">
        <v>80</v>
      </c>
      <c r="I48" s="25" t="s">
        <v>79</v>
      </c>
      <c r="J48" s="25" t="s">
        <v>189</v>
      </c>
      <c r="K48" s="26" t="e">
        <f>VLOOKUP($B$42&amp;J48&amp;$F$42,TXRESULT!$A$1:$J$1004,6,FALSE)</f>
        <v>#N/A</v>
      </c>
      <c r="L48" s="146"/>
      <c r="M48" s="27" t="e">
        <f t="shared" si="4"/>
        <v>#N/A</v>
      </c>
      <c r="N48" s="27" t="str">
        <f t="shared" si="1"/>
        <v/>
      </c>
    </row>
    <row r="49" spans="1:14" x14ac:dyDescent="0.3">
      <c r="A49" s="117"/>
      <c r="B49" s="180"/>
      <c r="C49" s="181"/>
      <c r="D49" s="182"/>
      <c r="E49" s="120"/>
      <c r="F49" s="166"/>
      <c r="G49" s="25" t="s">
        <v>79</v>
      </c>
      <c r="H49" s="25" t="s">
        <v>80</v>
      </c>
      <c r="I49" s="25" t="s">
        <v>79</v>
      </c>
      <c r="J49" s="25" t="s">
        <v>190</v>
      </c>
      <c r="K49" s="26" t="e">
        <f>VLOOKUP($B$42&amp;J49&amp;$F$42,TXRESULT!$A$1:$J$1004,6,FALSE)</f>
        <v>#N/A</v>
      </c>
      <c r="L49" s="147"/>
      <c r="M49" s="27" t="e">
        <f t="shared" si="4"/>
        <v>#N/A</v>
      </c>
      <c r="N49" s="27" t="str">
        <f t="shared" si="1"/>
        <v/>
      </c>
    </row>
    <row r="50" spans="1:14" x14ac:dyDescent="0.3">
      <c r="A50" s="28"/>
      <c r="B50" s="29" t="s">
        <v>82</v>
      </c>
      <c r="C50" s="30"/>
      <c r="D50" s="30"/>
      <c r="E50" s="30"/>
      <c r="F50" s="30"/>
      <c r="G50" s="30"/>
      <c r="H50" s="30"/>
      <c r="I50" s="30"/>
      <c r="J50" s="30"/>
      <c r="K50" s="26"/>
      <c r="L50" s="30"/>
      <c r="M50" s="35"/>
      <c r="N50" s="27"/>
    </row>
    <row r="51" spans="1:14" ht="15.6" customHeight="1" x14ac:dyDescent="0.3">
      <c r="A51" s="115" t="s">
        <v>83</v>
      </c>
      <c r="B51" s="174" t="s">
        <v>84</v>
      </c>
      <c r="C51" s="175"/>
      <c r="D51" s="176"/>
      <c r="E51" s="132" t="s">
        <v>85</v>
      </c>
      <c r="F51" s="164" t="s">
        <v>86</v>
      </c>
      <c r="G51" s="25" t="s">
        <v>80</v>
      </c>
      <c r="H51" s="36">
        <f>-$F$9*1*0.05-12</f>
        <v>-139.5</v>
      </c>
      <c r="I51" s="25">
        <f>$F$9*0.05+12</f>
        <v>139.5</v>
      </c>
      <c r="J51" s="25" t="s">
        <v>183</v>
      </c>
      <c r="K51" s="26">
        <f t="array" ref="K51">MAX(IF((LEFT(TXRESULT!$C$1:$C$1004,15)='CH17-CH24'!$B$51)*(TXRESULT!$B$1:$B$1004='CH17-CH24'!J51),TXRESULT!$F$1:$F$1004,""))</f>
        <v>3.5</v>
      </c>
      <c r="L51" s="145" t="s">
        <v>87</v>
      </c>
      <c r="M51" s="27" t="str">
        <f>IF(ISBLANK(K51),"",IF(AND(K51*1&gt;H51*1,K51*1&lt;I51*1),"PASS","FAIL"))</f>
        <v>PASS</v>
      </c>
      <c r="N51" s="27" t="str">
        <f t="shared" si="1"/>
        <v/>
      </c>
    </row>
    <row r="52" spans="1:14" x14ac:dyDescent="0.3">
      <c r="A52" s="116"/>
      <c r="B52" s="177"/>
      <c r="C52" s="178"/>
      <c r="D52" s="179"/>
      <c r="E52" s="119"/>
      <c r="F52" s="165"/>
      <c r="G52" s="25" t="s">
        <v>80</v>
      </c>
      <c r="H52" s="36">
        <f>H51</f>
        <v>-139.5</v>
      </c>
      <c r="I52" s="36">
        <f>I51</f>
        <v>139.5</v>
      </c>
      <c r="J52" s="25" t="s">
        <v>184</v>
      </c>
      <c r="K52" s="26">
        <f t="array" ref="K52">MAX(IF((LEFT(TXRESULT!$C$1:$C$1004,15)='CH17-CH24'!$B$51)*(TXRESULT!$B$1:$B$1004='CH17-CH24'!J52),TXRESULT!$F$1:$F$1004,""))</f>
        <v>3</v>
      </c>
      <c r="L52" s="146"/>
      <c r="M52" s="27" t="str">
        <f t="shared" ref="M52:M58" si="5">IF(ISBLANK(K52),"",IF(AND(K52*1&gt;H52*1,K52*1&lt;I52*1),"PASS","FAIL"))</f>
        <v>PASS</v>
      </c>
      <c r="N52" s="27" t="str">
        <f t="shared" si="1"/>
        <v/>
      </c>
    </row>
    <row r="53" spans="1:14" x14ac:dyDescent="0.3">
      <c r="A53" s="116"/>
      <c r="B53" s="177"/>
      <c r="C53" s="178"/>
      <c r="D53" s="179"/>
      <c r="E53" s="119"/>
      <c r="F53" s="165"/>
      <c r="G53" s="25" t="s">
        <v>80</v>
      </c>
      <c r="H53" s="36">
        <f>H51</f>
        <v>-139.5</v>
      </c>
      <c r="I53" s="36">
        <f>I51</f>
        <v>139.5</v>
      </c>
      <c r="J53" s="25" t="s">
        <v>185</v>
      </c>
      <c r="K53" s="26">
        <f t="array" ref="K53">MAX(IF((LEFT(TXRESULT!$C$1:$C$1004,15)='CH17-CH24'!$B$51)*(TXRESULT!$B$1:$B$1004='CH17-CH24'!J53),TXRESULT!$F$1:$F$1004,""))</f>
        <v>3.2</v>
      </c>
      <c r="L53" s="146"/>
      <c r="M53" s="27" t="str">
        <f t="shared" si="5"/>
        <v>PASS</v>
      </c>
      <c r="N53" s="27" t="str">
        <f t="shared" si="1"/>
        <v/>
      </c>
    </row>
    <row r="54" spans="1:14" x14ac:dyDescent="0.3">
      <c r="A54" s="116"/>
      <c r="B54" s="177"/>
      <c r="C54" s="178"/>
      <c r="D54" s="179"/>
      <c r="E54" s="119"/>
      <c r="F54" s="165"/>
      <c r="G54" s="25" t="s">
        <v>80</v>
      </c>
      <c r="H54" s="36">
        <f>H51</f>
        <v>-139.5</v>
      </c>
      <c r="I54" s="36">
        <f>I51</f>
        <v>139.5</v>
      </c>
      <c r="J54" s="25" t="s">
        <v>186</v>
      </c>
      <c r="K54" s="26">
        <f t="array" ref="K54">MAX(IF((LEFT(TXRESULT!$C$1:$C$1004,15)='CH17-CH24'!$B$51)*(TXRESULT!$B$1:$B$1004='CH17-CH24'!J54),TXRESULT!$F$1:$F$1004,""))</f>
        <v>3.3</v>
      </c>
      <c r="L54" s="146"/>
      <c r="M54" s="27" t="str">
        <f t="shared" si="5"/>
        <v>PASS</v>
      </c>
      <c r="N54" s="27" t="str">
        <f t="shared" si="1"/>
        <v/>
      </c>
    </row>
    <row r="55" spans="1:14" x14ac:dyDescent="0.3">
      <c r="A55" s="116"/>
      <c r="B55" s="177"/>
      <c r="C55" s="178"/>
      <c r="D55" s="179"/>
      <c r="E55" s="119"/>
      <c r="F55" s="165"/>
      <c r="G55" s="25" t="s">
        <v>80</v>
      </c>
      <c r="H55" s="36">
        <f>H51</f>
        <v>-139.5</v>
      </c>
      <c r="I55" s="36">
        <f>I51</f>
        <v>139.5</v>
      </c>
      <c r="J55" s="25" t="s">
        <v>187</v>
      </c>
      <c r="K55" s="26">
        <f t="array" ref="K55">MAX(IF((LEFT(TXRESULT!$C$1:$C$1004,15)='CH17-CH24'!$B$51)*(TXRESULT!$B$1:$B$1004='CH17-CH24'!J55),TXRESULT!$F$1:$F$1004,""))</f>
        <v>3.2</v>
      </c>
      <c r="L55" s="146"/>
      <c r="M55" s="27" t="str">
        <f t="shared" si="5"/>
        <v>PASS</v>
      </c>
      <c r="N55" s="27" t="str">
        <f t="shared" si="1"/>
        <v/>
      </c>
    </row>
    <row r="56" spans="1:14" x14ac:dyDescent="0.3">
      <c r="A56" s="116"/>
      <c r="B56" s="177"/>
      <c r="C56" s="178"/>
      <c r="D56" s="179"/>
      <c r="E56" s="119"/>
      <c r="F56" s="165"/>
      <c r="G56" s="25" t="s">
        <v>80</v>
      </c>
      <c r="H56" s="36">
        <f>H51</f>
        <v>-139.5</v>
      </c>
      <c r="I56" s="36">
        <f>I51</f>
        <v>139.5</v>
      </c>
      <c r="J56" s="25" t="s">
        <v>188</v>
      </c>
      <c r="K56" s="26">
        <f t="array" ref="K56">MAX(IF((LEFT(TXRESULT!$C$1:$C$1004,15)='CH17-CH24'!$B$51)*(TXRESULT!$B$1:$B$1004='CH17-CH24'!J56),TXRESULT!$F$1:$F$1004,""))</f>
        <v>2</v>
      </c>
      <c r="L56" s="146"/>
      <c r="M56" s="27" t="str">
        <f t="shared" si="5"/>
        <v>PASS</v>
      </c>
      <c r="N56" s="27" t="str">
        <f t="shared" si="1"/>
        <v/>
      </c>
    </row>
    <row r="57" spans="1:14" x14ac:dyDescent="0.3">
      <c r="A57" s="116"/>
      <c r="B57" s="177"/>
      <c r="C57" s="178"/>
      <c r="D57" s="179"/>
      <c r="E57" s="119"/>
      <c r="F57" s="165"/>
      <c r="G57" s="25" t="s">
        <v>80</v>
      </c>
      <c r="H57" s="36">
        <f>H51</f>
        <v>-139.5</v>
      </c>
      <c r="I57" s="36">
        <f>I51</f>
        <v>139.5</v>
      </c>
      <c r="J57" s="25" t="s">
        <v>189</v>
      </c>
      <c r="K57" s="26">
        <f t="array" ref="K57">MAX(IF((LEFT(TXRESULT!$C$1:$C$1004,15)='CH17-CH24'!$B$51)*(TXRESULT!$B$1:$B$1004='CH17-CH24'!J57),TXRESULT!$F$1:$F$1004,""))</f>
        <v>8.1</v>
      </c>
      <c r="L57" s="146"/>
      <c r="M57" s="27" t="str">
        <f t="shared" si="5"/>
        <v>PASS</v>
      </c>
      <c r="N57" s="27" t="str">
        <f t="shared" si="1"/>
        <v/>
      </c>
    </row>
    <row r="58" spans="1:14" x14ac:dyDescent="0.3">
      <c r="A58" s="117"/>
      <c r="B58" s="180"/>
      <c r="C58" s="181"/>
      <c r="D58" s="182"/>
      <c r="E58" s="120"/>
      <c r="F58" s="166"/>
      <c r="G58" s="25" t="s">
        <v>80</v>
      </c>
      <c r="H58" s="36">
        <f>H51</f>
        <v>-139.5</v>
      </c>
      <c r="I58" s="36">
        <f>I51</f>
        <v>139.5</v>
      </c>
      <c r="J58" s="25" t="s">
        <v>190</v>
      </c>
      <c r="K58" s="26">
        <f t="array" ref="K58">MAX(IF((LEFT(TXRESULT!$C$1:$C$1004,15)='CH17-CH24'!$B$51)*(TXRESULT!$B$1:$B$1004='CH17-CH24'!J58),TXRESULT!$F$1:$F$1004,""))</f>
        <v>3.3</v>
      </c>
      <c r="L58" s="146"/>
      <c r="M58" s="27" t="str">
        <f t="shared" si="5"/>
        <v>PASS</v>
      </c>
      <c r="N58" s="27" t="str">
        <f t="shared" si="1"/>
        <v/>
      </c>
    </row>
    <row r="59" spans="1:14" ht="17.25" customHeight="1" x14ac:dyDescent="0.3">
      <c r="A59" s="115" t="s">
        <v>88</v>
      </c>
      <c r="B59" s="115" t="s">
        <v>89</v>
      </c>
      <c r="C59" s="174" t="s">
        <v>229</v>
      </c>
      <c r="D59" s="176"/>
      <c r="E59" s="132" t="s">
        <v>90</v>
      </c>
      <c r="F59" s="164" t="s">
        <v>91</v>
      </c>
      <c r="G59" s="25" t="s">
        <v>92</v>
      </c>
      <c r="H59" s="25" t="s">
        <v>80</v>
      </c>
      <c r="I59" s="25" t="s">
        <v>92</v>
      </c>
      <c r="J59" s="25" t="s">
        <v>183</v>
      </c>
      <c r="K59" s="26">
        <f>VLOOKUP($C$59&amp;" "&amp;$F$59&amp;J59&amp;$F$59,TXRESULT!$A$1:$I$1004,6,FALSE)</f>
        <v>3.2</v>
      </c>
      <c r="L59" s="145" t="s">
        <v>93</v>
      </c>
      <c r="M59" s="27" t="str">
        <f>IF(ISBLANK(K59),"",IF(AND(K59*1&gt;H59*1,K59*1&lt;I59*1),"PASS","FAIL"))</f>
        <v>PASS</v>
      </c>
      <c r="N59" s="27" t="str">
        <f t="shared" si="1"/>
        <v/>
      </c>
    </row>
    <row r="60" spans="1:14" x14ac:dyDescent="0.3">
      <c r="A60" s="116"/>
      <c r="B60" s="116"/>
      <c r="C60" s="177"/>
      <c r="D60" s="179"/>
      <c r="E60" s="119"/>
      <c r="F60" s="165"/>
      <c r="G60" s="25" t="str">
        <f>G59</f>
        <v>18.5</v>
      </c>
      <c r="H60" s="25" t="str">
        <f>H59</f>
        <v>0</v>
      </c>
      <c r="I60" s="25" t="str">
        <f>I59</f>
        <v>18.5</v>
      </c>
      <c r="J60" s="25" t="s">
        <v>184</v>
      </c>
      <c r="K60" s="26">
        <f>VLOOKUP($C$59&amp;" "&amp;$F$59&amp;J60&amp;$F$59,TXRESULT!$A$1:$I$1004,6,FALSE)</f>
        <v>3.2</v>
      </c>
      <c r="L60" s="146"/>
      <c r="M60" s="27" t="str">
        <f t="shared" ref="M60:M73" si="6">IF(ISBLANK(K60),"",IF(AND(K60*1&gt;H60*1,K60*1&lt;I60*1),"PASS","FAIL"))</f>
        <v>PASS</v>
      </c>
      <c r="N60" s="27" t="str">
        <f t="shared" si="1"/>
        <v/>
      </c>
    </row>
    <row r="61" spans="1:14" x14ac:dyDescent="0.3">
      <c r="A61" s="116"/>
      <c r="B61" s="116"/>
      <c r="C61" s="177"/>
      <c r="D61" s="179"/>
      <c r="E61" s="119"/>
      <c r="F61" s="165"/>
      <c r="G61" s="25" t="str">
        <f>G59</f>
        <v>18.5</v>
      </c>
      <c r="H61" s="25" t="str">
        <f>H59</f>
        <v>0</v>
      </c>
      <c r="I61" s="25" t="str">
        <f>I59</f>
        <v>18.5</v>
      </c>
      <c r="J61" s="25" t="s">
        <v>185</v>
      </c>
      <c r="K61" s="26">
        <f>VLOOKUP($C$59&amp;" "&amp;$F$59&amp;J61&amp;$F$59,TXRESULT!$A$1:$I$1004,6,FALSE)</f>
        <v>3.3</v>
      </c>
      <c r="L61" s="146"/>
      <c r="M61" s="27" t="str">
        <f t="shared" si="6"/>
        <v>PASS</v>
      </c>
      <c r="N61" s="27" t="str">
        <f t="shared" si="1"/>
        <v/>
      </c>
    </row>
    <row r="62" spans="1:14" x14ac:dyDescent="0.3">
      <c r="A62" s="116"/>
      <c r="B62" s="116"/>
      <c r="C62" s="177"/>
      <c r="D62" s="179"/>
      <c r="E62" s="119"/>
      <c r="F62" s="165"/>
      <c r="G62" s="25" t="str">
        <f>G59</f>
        <v>18.5</v>
      </c>
      <c r="H62" s="25" t="str">
        <f>H59</f>
        <v>0</v>
      </c>
      <c r="I62" s="25" t="str">
        <f>I59</f>
        <v>18.5</v>
      </c>
      <c r="J62" s="25" t="s">
        <v>186</v>
      </c>
      <c r="K62" s="26">
        <f>VLOOKUP($C$59&amp;" "&amp;$F$59&amp;J62&amp;$F$59,TXRESULT!$A$1:$I$1004,6,FALSE)</f>
        <v>3.2</v>
      </c>
      <c r="L62" s="146"/>
      <c r="M62" s="27" t="str">
        <f t="shared" si="6"/>
        <v>PASS</v>
      </c>
      <c r="N62" s="27" t="str">
        <f t="shared" si="1"/>
        <v/>
      </c>
    </row>
    <row r="63" spans="1:14" x14ac:dyDescent="0.3">
      <c r="A63" s="116"/>
      <c r="B63" s="116"/>
      <c r="C63" s="177"/>
      <c r="D63" s="179"/>
      <c r="E63" s="119"/>
      <c r="F63" s="165"/>
      <c r="G63" s="25" t="str">
        <f>G59</f>
        <v>18.5</v>
      </c>
      <c r="H63" s="25" t="str">
        <f>H59</f>
        <v>0</v>
      </c>
      <c r="I63" s="25" t="str">
        <f>I59</f>
        <v>18.5</v>
      </c>
      <c r="J63" s="25" t="s">
        <v>187</v>
      </c>
      <c r="K63" s="26">
        <f>VLOOKUP($C$59&amp;" "&amp;$F$59&amp;J63&amp;$F$59,TXRESULT!$A$1:$I$1004,6,FALSE)</f>
        <v>3.3</v>
      </c>
      <c r="L63" s="146"/>
      <c r="M63" s="27" t="str">
        <f t="shared" si="6"/>
        <v>PASS</v>
      </c>
      <c r="N63" s="27" t="str">
        <f t="shared" si="1"/>
        <v/>
      </c>
    </row>
    <row r="64" spans="1:14" x14ac:dyDescent="0.3">
      <c r="A64" s="116"/>
      <c r="B64" s="116"/>
      <c r="C64" s="177"/>
      <c r="D64" s="179"/>
      <c r="E64" s="119"/>
      <c r="F64" s="165"/>
      <c r="G64" s="25" t="str">
        <f>G59</f>
        <v>18.5</v>
      </c>
      <c r="H64" s="25" t="str">
        <f>H59</f>
        <v>0</v>
      </c>
      <c r="I64" s="25" t="str">
        <f>I59</f>
        <v>18.5</v>
      </c>
      <c r="J64" s="25" t="s">
        <v>188</v>
      </c>
      <c r="K64" s="26">
        <f>VLOOKUP($C$59&amp;" "&amp;$F$59&amp;J64&amp;$F$59,TXRESULT!$A$1:$I$1004,6,FALSE)</f>
        <v>3.2</v>
      </c>
      <c r="L64" s="146"/>
      <c r="M64" s="27" t="str">
        <f t="shared" si="6"/>
        <v>PASS</v>
      </c>
      <c r="N64" s="27" t="str">
        <f t="shared" si="1"/>
        <v/>
      </c>
    </row>
    <row r="65" spans="1:14" x14ac:dyDescent="0.3">
      <c r="A65" s="116"/>
      <c r="B65" s="116"/>
      <c r="C65" s="177"/>
      <c r="D65" s="179"/>
      <c r="E65" s="119"/>
      <c r="F65" s="165"/>
      <c r="G65" s="25" t="str">
        <f>G59</f>
        <v>18.5</v>
      </c>
      <c r="H65" s="25" t="str">
        <f>H59</f>
        <v>0</v>
      </c>
      <c r="I65" s="25" t="str">
        <f>I59</f>
        <v>18.5</v>
      </c>
      <c r="J65" s="25" t="s">
        <v>189</v>
      </c>
      <c r="K65" s="26">
        <f>VLOOKUP($C$59&amp;" "&amp;$F$59&amp;J65&amp;$F$59,TXRESULT!$A$1:$I$1004,6,FALSE)</f>
        <v>3.2</v>
      </c>
      <c r="L65" s="146"/>
      <c r="M65" s="27" t="str">
        <f t="shared" si="6"/>
        <v>PASS</v>
      </c>
      <c r="N65" s="27" t="str">
        <f t="shared" si="1"/>
        <v/>
      </c>
    </row>
    <row r="66" spans="1:14" x14ac:dyDescent="0.3">
      <c r="A66" s="116"/>
      <c r="B66" s="117"/>
      <c r="C66" s="177"/>
      <c r="D66" s="179"/>
      <c r="E66" s="120"/>
      <c r="F66" s="166"/>
      <c r="G66" s="25" t="str">
        <f>G59</f>
        <v>18.5</v>
      </c>
      <c r="H66" s="25" t="str">
        <f>H59</f>
        <v>0</v>
      </c>
      <c r="I66" s="25" t="str">
        <f>I59</f>
        <v>18.5</v>
      </c>
      <c r="J66" s="25" t="s">
        <v>190</v>
      </c>
      <c r="K66" s="26">
        <f>VLOOKUP($C$59&amp;" "&amp;$F$59&amp;J66&amp;$F$59,TXRESULT!$A$1:$I$1004,6,FALSE)</f>
        <v>3.2</v>
      </c>
      <c r="L66" s="146"/>
      <c r="M66" s="27" t="str">
        <f t="shared" si="6"/>
        <v>PASS</v>
      </c>
      <c r="N66" s="27" t="str">
        <f t="shared" si="1"/>
        <v/>
      </c>
    </row>
    <row r="67" spans="1:14" ht="15.6" customHeight="1" x14ac:dyDescent="0.3">
      <c r="A67" s="116"/>
      <c r="B67" s="115" t="s">
        <v>94</v>
      </c>
      <c r="C67" s="177"/>
      <c r="D67" s="179"/>
      <c r="E67" s="132" t="s">
        <v>90</v>
      </c>
      <c r="F67" s="164" t="s">
        <v>95</v>
      </c>
      <c r="G67" s="25" t="s">
        <v>96</v>
      </c>
      <c r="H67" s="25" t="s">
        <v>80</v>
      </c>
      <c r="I67" s="25" t="s">
        <v>96</v>
      </c>
      <c r="J67" s="25" t="s">
        <v>183</v>
      </c>
      <c r="K67" s="26">
        <f>VLOOKUP($C$59&amp;" "&amp;$F$67&amp;J67&amp;$F$67,TXRESULT!$A$1:$I$1004,6,FALSE)</f>
        <v>2.2999999999999998</v>
      </c>
      <c r="L67" s="146"/>
      <c r="M67" s="27" t="str">
        <f t="shared" si="6"/>
        <v>PASS</v>
      </c>
      <c r="N67" s="27" t="str">
        <f t="shared" si="1"/>
        <v/>
      </c>
    </row>
    <row r="68" spans="1:14" x14ac:dyDescent="0.3">
      <c r="A68" s="116"/>
      <c r="B68" s="116"/>
      <c r="C68" s="177"/>
      <c r="D68" s="179"/>
      <c r="E68" s="119"/>
      <c r="F68" s="165"/>
      <c r="G68" s="25" t="str">
        <f>G67</f>
        <v>13.5</v>
      </c>
      <c r="H68" s="25" t="str">
        <f>H67</f>
        <v>0</v>
      </c>
      <c r="I68" s="25" t="str">
        <f>I67</f>
        <v>13.5</v>
      </c>
      <c r="J68" s="25" t="s">
        <v>184</v>
      </c>
      <c r="K68" s="26">
        <f>VLOOKUP($C$59&amp;" "&amp;$F$67&amp;J68&amp;$F$67,TXRESULT!$A$1:$I$1004,6,FALSE)</f>
        <v>2.2999999999999998</v>
      </c>
      <c r="L68" s="146"/>
      <c r="M68" s="27" t="str">
        <f t="shared" si="6"/>
        <v>PASS</v>
      </c>
      <c r="N68" s="27" t="str">
        <f t="shared" si="1"/>
        <v/>
      </c>
    </row>
    <row r="69" spans="1:14" x14ac:dyDescent="0.3">
      <c r="A69" s="116"/>
      <c r="B69" s="116"/>
      <c r="C69" s="177"/>
      <c r="D69" s="179"/>
      <c r="E69" s="119"/>
      <c r="F69" s="165"/>
      <c r="G69" s="25" t="str">
        <f>G67</f>
        <v>13.5</v>
      </c>
      <c r="H69" s="25" t="str">
        <f>H67</f>
        <v>0</v>
      </c>
      <c r="I69" s="25" t="str">
        <f>I67</f>
        <v>13.5</v>
      </c>
      <c r="J69" s="25" t="s">
        <v>185</v>
      </c>
      <c r="K69" s="26">
        <f>VLOOKUP($C$59&amp;" "&amp;$F$67&amp;J69&amp;$F$67,TXRESULT!$A$1:$I$1004,6,FALSE)</f>
        <v>2.4</v>
      </c>
      <c r="L69" s="146"/>
      <c r="M69" s="27" t="str">
        <f t="shared" si="6"/>
        <v>PASS</v>
      </c>
      <c r="N69" s="27" t="str">
        <f t="shared" si="1"/>
        <v/>
      </c>
    </row>
    <row r="70" spans="1:14" x14ac:dyDescent="0.3">
      <c r="A70" s="116"/>
      <c r="B70" s="116"/>
      <c r="C70" s="177"/>
      <c r="D70" s="179"/>
      <c r="E70" s="119"/>
      <c r="F70" s="165"/>
      <c r="G70" s="25" t="str">
        <f>G67</f>
        <v>13.5</v>
      </c>
      <c r="H70" s="25" t="str">
        <f>H67</f>
        <v>0</v>
      </c>
      <c r="I70" s="25" t="str">
        <f>I67</f>
        <v>13.5</v>
      </c>
      <c r="J70" s="25" t="s">
        <v>186</v>
      </c>
      <c r="K70" s="26">
        <f>VLOOKUP($C$59&amp;" "&amp;$F$67&amp;J70&amp;$F$67,TXRESULT!$A$1:$I$1004,6,FALSE)</f>
        <v>2.4</v>
      </c>
      <c r="L70" s="146"/>
      <c r="M70" s="27" t="str">
        <f t="shared" si="6"/>
        <v>PASS</v>
      </c>
      <c r="N70" s="27" t="str">
        <f t="shared" si="1"/>
        <v/>
      </c>
    </row>
    <row r="71" spans="1:14" x14ac:dyDescent="0.3">
      <c r="A71" s="116"/>
      <c r="B71" s="116"/>
      <c r="C71" s="177"/>
      <c r="D71" s="179"/>
      <c r="E71" s="119"/>
      <c r="F71" s="165"/>
      <c r="G71" s="25" t="str">
        <f>G67</f>
        <v>13.5</v>
      </c>
      <c r="H71" s="25" t="str">
        <f>H67</f>
        <v>0</v>
      </c>
      <c r="I71" s="25" t="str">
        <f>I67</f>
        <v>13.5</v>
      </c>
      <c r="J71" s="25" t="s">
        <v>187</v>
      </c>
      <c r="K71" s="26">
        <f>VLOOKUP($C$59&amp;" "&amp;$F$67&amp;J71&amp;$F$67,TXRESULT!$A$1:$I$1004,6,FALSE)</f>
        <v>2.4</v>
      </c>
      <c r="L71" s="146"/>
      <c r="M71" s="27" t="str">
        <f t="shared" si="6"/>
        <v>PASS</v>
      </c>
      <c r="N71" s="27" t="str">
        <f t="shared" si="1"/>
        <v/>
      </c>
    </row>
    <row r="72" spans="1:14" x14ac:dyDescent="0.3">
      <c r="A72" s="116"/>
      <c r="B72" s="116"/>
      <c r="C72" s="177"/>
      <c r="D72" s="179"/>
      <c r="E72" s="119"/>
      <c r="F72" s="165"/>
      <c r="G72" s="25" t="str">
        <f>G67</f>
        <v>13.5</v>
      </c>
      <c r="H72" s="25" t="str">
        <f>H67</f>
        <v>0</v>
      </c>
      <c r="I72" s="25" t="str">
        <f>I67</f>
        <v>13.5</v>
      </c>
      <c r="J72" s="25" t="s">
        <v>188</v>
      </c>
      <c r="K72" s="26">
        <f>VLOOKUP($C$59&amp;" "&amp;$F$67&amp;J72&amp;$F$67,TXRESULT!$A$1:$I$1004,6,FALSE)</f>
        <v>2.4</v>
      </c>
      <c r="L72" s="146"/>
      <c r="M72" s="27" t="str">
        <f t="shared" si="6"/>
        <v>PASS</v>
      </c>
      <c r="N72" s="27" t="str">
        <f t="shared" si="1"/>
        <v/>
      </c>
    </row>
    <row r="73" spans="1:14" x14ac:dyDescent="0.3">
      <c r="A73" s="116"/>
      <c r="B73" s="116"/>
      <c r="C73" s="177"/>
      <c r="D73" s="179"/>
      <c r="E73" s="119"/>
      <c r="F73" s="165"/>
      <c r="G73" s="25" t="str">
        <f>G67</f>
        <v>13.5</v>
      </c>
      <c r="H73" s="25" t="str">
        <f>H67</f>
        <v>0</v>
      </c>
      <c r="I73" s="25" t="str">
        <f>I67</f>
        <v>13.5</v>
      </c>
      <c r="J73" s="25" t="s">
        <v>189</v>
      </c>
      <c r="K73" s="26">
        <f>VLOOKUP($C$59&amp;" "&amp;$F$67&amp;J73&amp;$F$67,TXRESULT!$A$1:$I$1004,6,FALSE)</f>
        <v>2.2999999999999998</v>
      </c>
      <c r="L73" s="146"/>
      <c r="M73" s="27" t="str">
        <f t="shared" si="6"/>
        <v>PASS</v>
      </c>
      <c r="N73" s="27" t="str">
        <f t="shared" si="1"/>
        <v/>
      </c>
    </row>
    <row r="74" spans="1:14" x14ac:dyDescent="0.3">
      <c r="A74" s="116"/>
      <c r="B74" s="117"/>
      <c r="C74" s="177"/>
      <c r="D74" s="179"/>
      <c r="E74" s="120"/>
      <c r="F74" s="166"/>
      <c r="G74" s="25" t="str">
        <f>G67</f>
        <v>13.5</v>
      </c>
      <c r="H74" s="25" t="str">
        <f>H67</f>
        <v>0</v>
      </c>
      <c r="I74" s="25" t="str">
        <f>I67</f>
        <v>13.5</v>
      </c>
      <c r="J74" s="25" t="s">
        <v>190</v>
      </c>
      <c r="K74" s="26">
        <f>VLOOKUP($C$59&amp;" "&amp;$F$67&amp;J74&amp;$F$67,TXRESULT!$A$1:$I$1004,6,FALSE)</f>
        <v>2.2999999999999998</v>
      </c>
      <c r="L74" s="146"/>
      <c r="M74" s="27" t="str">
        <f>IF(ISBLANK(K74),"",IF(AND(K74*1&gt;H74*1,K74*1&lt;I74*1),"PASS","FAIL"))</f>
        <v>PASS</v>
      </c>
      <c r="N74" s="27" t="str">
        <f t="shared" si="1"/>
        <v/>
      </c>
    </row>
    <row r="75" spans="1:14" ht="15.6" customHeight="1" x14ac:dyDescent="0.3">
      <c r="A75" s="116"/>
      <c r="B75" s="115" t="s">
        <v>97</v>
      </c>
      <c r="C75" s="177"/>
      <c r="D75" s="179"/>
      <c r="E75" s="132" t="s">
        <v>90</v>
      </c>
      <c r="F75" s="164" t="s">
        <v>98</v>
      </c>
      <c r="G75" s="25" t="s">
        <v>99</v>
      </c>
      <c r="H75" s="25" t="s">
        <v>80</v>
      </c>
      <c r="I75" s="25" t="s">
        <v>99</v>
      </c>
      <c r="J75" s="25" t="s">
        <v>183</v>
      </c>
      <c r="K75" s="26">
        <f>VLOOKUP($C$59&amp;" "&amp;$F$75&amp;J75&amp;$F$75,TXRESULT!$A$1:$I$1004,6,FALSE)</f>
        <v>0.7</v>
      </c>
      <c r="L75" s="146"/>
      <c r="M75" s="27" t="str">
        <f t="shared" ref="M75:M131" si="7">IF(ISBLANK(K75),"",IF(AND(K75*1&gt;H75*1,K75*1&lt;I75*1),"PASS","FAIL"))</f>
        <v>PASS</v>
      </c>
      <c r="N75" s="27" t="str">
        <f t="shared" si="1"/>
        <v/>
      </c>
    </row>
    <row r="76" spans="1:14" x14ac:dyDescent="0.3">
      <c r="A76" s="116"/>
      <c r="B76" s="116"/>
      <c r="C76" s="177"/>
      <c r="D76" s="179"/>
      <c r="E76" s="119"/>
      <c r="F76" s="165"/>
      <c r="G76" s="25" t="str">
        <f>G75</f>
        <v>9</v>
      </c>
      <c r="H76" s="25" t="str">
        <f>H75</f>
        <v>0</v>
      </c>
      <c r="I76" s="25" t="str">
        <f>I75</f>
        <v>9</v>
      </c>
      <c r="J76" s="25" t="s">
        <v>184</v>
      </c>
      <c r="K76" s="26">
        <f>VLOOKUP($C$59&amp;" "&amp;$F$75&amp;J76&amp;$F$75,TXRESULT!$A$1:$I$1004,6,FALSE)</f>
        <v>0.5</v>
      </c>
      <c r="L76" s="146"/>
      <c r="M76" s="27" t="str">
        <f t="shared" si="7"/>
        <v>PASS</v>
      </c>
      <c r="N76" s="27" t="str">
        <f t="shared" si="1"/>
        <v/>
      </c>
    </row>
    <row r="77" spans="1:14" x14ac:dyDescent="0.3">
      <c r="A77" s="116"/>
      <c r="B77" s="116"/>
      <c r="C77" s="177"/>
      <c r="D77" s="179"/>
      <c r="E77" s="119"/>
      <c r="F77" s="165"/>
      <c r="G77" s="25" t="str">
        <f>G75</f>
        <v>9</v>
      </c>
      <c r="H77" s="25" t="str">
        <f>H75</f>
        <v>0</v>
      </c>
      <c r="I77" s="25" t="str">
        <f>I75</f>
        <v>9</v>
      </c>
      <c r="J77" s="25" t="s">
        <v>185</v>
      </c>
      <c r="K77" s="26">
        <f>VLOOKUP($C$59&amp;" "&amp;$F$75&amp;J77&amp;$F$75,TXRESULT!$A$1:$I$1004,6,FALSE)</f>
        <v>0.5</v>
      </c>
      <c r="L77" s="146"/>
      <c r="M77" s="27" t="str">
        <f t="shared" si="7"/>
        <v>PASS</v>
      </c>
      <c r="N77" s="27" t="str">
        <f t="shared" si="1"/>
        <v/>
      </c>
    </row>
    <row r="78" spans="1:14" x14ac:dyDescent="0.3">
      <c r="A78" s="116"/>
      <c r="B78" s="116"/>
      <c r="C78" s="177"/>
      <c r="D78" s="179"/>
      <c r="E78" s="119"/>
      <c r="F78" s="165"/>
      <c r="G78" s="25" t="str">
        <f>G75</f>
        <v>9</v>
      </c>
      <c r="H78" s="25" t="str">
        <f>H75</f>
        <v>0</v>
      </c>
      <c r="I78" s="25" t="str">
        <f>I75</f>
        <v>9</v>
      </c>
      <c r="J78" s="25" t="s">
        <v>186</v>
      </c>
      <c r="K78" s="26">
        <f>VLOOKUP($C$59&amp;" "&amp;$F$75&amp;J78&amp;$F$75,TXRESULT!$A$1:$I$1004,6,FALSE)</f>
        <v>0.5</v>
      </c>
      <c r="L78" s="146"/>
      <c r="M78" s="27" t="str">
        <f t="shared" si="7"/>
        <v>PASS</v>
      </c>
      <c r="N78" s="27" t="str">
        <f t="shared" si="1"/>
        <v/>
      </c>
    </row>
    <row r="79" spans="1:14" x14ac:dyDescent="0.3">
      <c r="A79" s="116"/>
      <c r="B79" s="116"/>
      <c r="C79" s="177"/>
      <c r="D79" s="179"/>
      <c r="E79" s="119"/>
      <c r="F79" s="165"/>
      <c r="G79" s="25" t="str">
        <f>G75</f>
        <v>9</v>
      </c>
      <c r="H79" s="25" t="str">
        <f>H75</f>
        <v>0</v>
      </c>
      <c r="I79" s="25" t="str">
        <f>I75</f>
        <v>9</v>
      </c>
      <c r="J79" s="25" t="s">
        <v>187</v>
      </c>
      <c r="K79" s="26">
        <f>VLOOKUP($C$59&amp;" "&amp;$F$75&amp;J79&amp;$F$75,TXRESULT!$A$1:$I$1004,6,FALSE)</f>
        <v>0.7</v>
      </c>
      <c r="L79" s="146"/>
      <c r="M79" s="27" t="str">
        <f t="shared" si="7"/>
        <v>PASS</v>
      </c>
      <c r="N79" s="27" t="str">
        <f t="shared" si="1"/>
        <v/>
      </c>
    </row>
    <row r="80" spans="1:14" x14ac:dyDescent="0.3">
      <c r="A80" s="116"/>
      <c r="B80" s="116"/>
      <c r="C80" s="177"/>
      <c r="D80" s="179"/>
      <c r="E80" s="119"/>
      <c r="F80" s="165"/>
      <c r="G80" s="25" t="str">
        <f>G75</f>
        <v>9</v>
      </c>
      <c r="H80" s="25" t="str">
        <f>H75</f>
        <v>0</v>
      </c>
      <c r="I80" s="25" t="str">
        <f>I75</f>
        <v>9</v>
      </c>
      <c r="J80" s="25" t="s">
        <v>188</v>
      </c>
      <c r="K80" s="26">
        <f>VLOOKUP($C$59&amp;" "&amp;$F$75&amp;J80&amp;$F$75,TXRESULT!$A$1:$I$1004,6,FALSE)</f>
        <v>0.5</v>
      </c>
      <c r="L80" s="146"/>
      <c r="M80" s="27" t="str">
        <f t="shared" si="7"/>
        <v>PASS</v>
      </c>
      <c r="N80" s="27" t="str">
        <f t="shared" si="1"/>
        <v/>
      </c>
    </row>
    <row r="81" spans="1:14" x14ac:dyDescent="0.3">
      <c r="A81" s="116"/>
      <c r="B81" s="116"/>
      <c r="C81" s="177"/>
      <c r="D81" s="179"/>
      <c r="E81" s="119"/>
      <c r="F81" s="165"/>
      <c r="G81" s="25" t="str">
        <f>G75</f>
        <v>9</v>
      </c>
      <c r="H81" s="25" t="str">
        <f>H75</f>
        <v>0</v>
      </c>
      <c r="I81" s="25" t="str">
        <f>I75</f>
        <v>9</v>
      </c>
      <c r="J81" s="25" t="s">
        <v>189</v>
      </c>
      <c r="K81" s="26">
        <f>VLOOKUP($C$59&amp;" "&amp;$F$75&amp;J81&amp;$F$75,TXRESULT!$A$1:$I$1004,6,FALSE)</f>
        <v>0.7</v>
      </c>
      <c r="L81" s="146"/>
      <c r="M81" s="27" t="str">
        <f t="shared" si="7"/>
        <v>PASS</v>
      </c>
      <c r="N81" s="27" t="str">
        <f t="shared" ref="N81:N160" si="8">IF(ISBLANK(K81),"CHUADO","")</f>
        <v/>
      </c>
    </row>
    <row r="82" spans="1:14" x14ac:dyDescent="0.3">
      <c r="A82" s="116"/>
      <c r="B82" s="116"/>
      <c r="C82" s="177"/>
      <c r="D82" s="179"/>
      <c r="E82" s="120"/>
      <c r="F82" s="166"/>
      <c r="G82" s="25" t="str">
        <f>G75</f>
        <v>9</v>
      </c>
      <c r="H82" s="25" t="str">
        <f>H75</f>
        <v>0</v>
      </c>
      <c r="I82" s="25" t="str">
        <f>I75</f>
        <v>9</v>
      </c>
      <c r="J82" s="25" t="s">
        <v>190</v>
      </c>
      <c r="K82" s="26">
        <f>VLOOKUP($C$59&amp;" "&amp;$F$75&amp;J82&amp;$F$75,TXRESULT!$A$1:$I$1004,6,FALSE)</f>
        <v>0.5</v>
      </c>
      <c r="L82" s="146"/>
      <c r="M82" s="27" t="str">
        <f t="shared" si="7"/>
        <v>PASS</v>
      </c>
      <c r="N82" s="27" t="str">
        <f t="shared" si="8"/>
        <v/>
      </c>
    </row>
    <row r="83" spans="1:14" ht="15.6" customHeight="1" x14ac:dyDescent="0.3">
      <c r="A83" s="116"/>
      <c r="B83" s="116"/>
      <c r="C83" s="177"/>
      <c r="D83" s="179"/>
      <c r="E83" s="132" t="s">
        <v>90</v>
      </c>
      <c r="F83" s="164" t="s">
        <v>100</v>
      </c>
      <c r="G83" s="25" t="s">
        <v>99</v>
      </c>
      <c r="H83" s="25" t="s">
        <v>80</v>
      </c>
      <c r="I83" s="25" t="s">
        <v>99</v>
      </c>
      <c r="J83" s="25" t="s">
        <v>183</v>
      </c>
      <c r="K83" s="26">
        <f>VLOOKUP($C$59&amp;" "&amp;$F$83&amp;J83&amp;$F$83,TXRESULT!$A$1:$I$1004,6,FALSE)</f>
        <v>1.7</v>
      </c>
      <c r="L83" s="146"/>
      <c r="M83" s="27" t="str">
        <f t="shared" si="7"/>
        <v>PASS</v>
      </c>
      <c r="N83" s="27" t="str">
        <f t="shared" si="8"/>
        <v/>
      </c>
    </row>
    <row r="84" spans="1:14" x14ac:dyDescent="0.3">
      <c r="A84" s="116"/>
      <c r="B84" s="116"/>
      <c r="C84" s="177"/>
      <c r="D84" s="179"/>
      <c r="E84" s="119"/>
      <c r="F84" s="165"/>
      <c r="G84" s="25" t="str">
        <f>G83</f>
        <v>9</v>
      </c>
      <c r="H84" s="25" t="str">
        <f>H83</f>
        <v>0</v>
      </c>
      <c r="I84" s="25" t="str">
        <f>I83</f>
        <v>9</v>
      </c>
      <c r="J84" s="25" t="s">
        <v>184</v>
      </c>
      <c r="K84" s="26">
        <f>VLOOKUP($C$59&amp;" "&amp;$F$83&amp;J84&amp;$F$83,TXRESULT!$A$1:$I$1004,6,FALSE)</f>
        <v>1.7</v>
      </c>
      <c r="L84" s="146"/>
      <c r="M84" s="27" t="str">
        <f t="shared" si="7"/>
        <v>PASS</v>
      </c>
      <c r="N84" s="27" t="str">
        <f t="shared" si="8"/>
        <v/>
      </c>
    </row>
    <row r="85" spans="1:14" x14ac:dyDescent="0.3">
      <c r="A85" s="116"/>
      <c r="B85" s="116"/>
      <c r="C85" s="177"/>
      <c r="D85" s="179"/>
      <c r="E85" s="119"/>
      <c r="F85" s="165"/>
      <c r="G85" s="25" t="str">
        <f>G83</f>
        <v>9</v>
      </c>
      <c r="H85" s="25" t="str">
        <f>H83</f>
        <v>0</v>
      </c>
      <c r="I85" s="25" t="str">
        <f>I83</f>
        <v>9</v>
      </c>
      <c r="J85" s="25" t="s">
        <v>185</v>
      </c>
      <c r="K85" s="26">
        <f>VLOOKUP($C$59&amp;" "&amp;$F$83&amp;J85&amp;$F$83,TXRESULT!$A$1:$I$1004,6,FALSE)</f>
        <v>1.6</v>
      </c>
      <c r="L85" s="146"/>
      <c r="M85" s="27" t="str">
        <f t="shared" si="7"/>
        <v>PASS</v>
      </c>
      <c r="N85" s="27" t="str">
        <f t="shared" si="8"/>
        <v/>
      </c>
    </row>
    <row r="86" spans="1:14" x14ac:dyDescent="0.3">
      <c r="A86" s="116"/>
      <c r="B86" s="116"/>
      <c r="C86" s="177"/>
      <c r="D86" s="179"/>
      <c r="E86" s="119"/>
      <c r="F86" s="165"/>
      <c r="G86" s="25" t="str">
        <f>G83</f>
        <v>9</v>
      </c>
      <c r="H86" s="25" t="str">
        <f>H83</f>
        <v>0</v>
      </c>
      <c r="I86" s="25" t="str">
        <f>I83</f>
        <v>9</v>
      </c>
      <c r="J86" s="25" t="s">
        <v>186</v>
      </c>
      <c r="K86" s="26">
        <f>VLOOKUP($C$59&amp;" "&amp;$F$83&amp;J86&amp;$F$83,TXRESULT!$A$1:$I$1004,6,FALSE)</f>
        <v>1.7</v>
      </c>
      <c r="L86" s="146"/>
      <c r="M86" s="27" t="str">
        <f t="shared" si="7"/>
        <v>PASS</v>
      </c>
      <c r="N86" s="27" t="str">
        <f t="shared" si="8"/>
        <v/>
      </c>
    </row>
    <row r="87" spans="1:14" x14ac:dyDescent="0.3">
      <c r="A87" s="116"/>
      <c r="B87" s="116"/>
      <c r="C87" s="177"/>
      <c r="D87" s="179"/>
      <c r="E87" s="119"/>
      <c r="F87" s="165"/>
      <c r="G87" s="25" t="str">
        <f>G83</f>
        <v>9</v>
      </c>
      <c r="H87" s="25" t="str">
        <f>H83</f>
        <v>0</v>
      </c>
      <c r="I87" s="25" t="str">
        <f>I83</f>
        <v>9</v>
      </c>
      <c r="J87" s="25" t="s">
        <v>187</v>
      </c>
      <c r="K87" s="26">
        <f>VLOOKUP($C$59&amp;" "&amp;$F$83&amp;J87&amp;$F$83,TXRESULT!$A$1:$I$1004,6,FALSE)</f>
        <v>1.7</v>
      </c>
      <c r="L87" s="146"/>
      <c r="M87" s="27" t="str">
        <f t="shared" si="7"/>
        <v>PASS</v>
      </c>
      <c r="N87" s="27" t="str">
        <f t="shared" si="8"/>
        <v/>
      </c>
    </row>
    <row r="88" spans="1:14" x14ac:dyDescent="0.3">
      <c r="A88" s="116"/>
      <c r="B88" s="116"/>
      <c r="C88" s="177"/>
      <c r="D88" s="179"/>
      <c r="E88" s="119"/>
      <c r="F88" s="165"/>
      <c r="G88" s="25" t="str">
        <f>G83</f>
        <v>9</v>
      </c>
      <c r="H88" s="25" t="str">
        <f>H83</f>
        <v>0</v>
      </c>
      <c r="I88" s="25" t="str">
        <f>I83</f>
        <v>9</v>
      </c>
      <c r="J88" s="25" t="s">
        <v>188</v>
      </c>
      <c r="K88" s="26">
        <f>VLOOKUP($C$59&amp;" "&amp;$F$83&amp;J88&amp;$F$83,TXRESULT!$A$1:$I$1004,6,FALSE)</f>
        <v>1.7</v>
      </c>
      <c r="L88" s="146"/>
      <c r="M88" s="27" t="str">
        <f t="shared" si="7"/>
        <v>PASS</v>
      </c>
      <c r="N88" s="27" t="str">
        <f t="shared" si="8"/>
        <v/>
      </c>
    </row>
    <row r="89" spans="1:14" x14ac:dyDescent="0.3">
      <c r="A89" s="116"/>
      <c r="B89" s="116"/>
      <c r="C89" s="177"/>
      <c r="D89" s="179"/>
      <c r="E89" s="119"/>
      <c r="F89" s="165"/>
      <c r="G89" s="25" t="str">
        <f>G83</f>
        <v>9</v>
      </c>
      <c r="H89" s="25" t="str">
        <f>H83</f>
        <v>0</v>
      </c>
      <c r="I89" s="25" t="str">
        <f>I83</f>
        <v>9</v>
      </c>
      <c r="J89" s="25" t="s">
        <v>189</v>
      </c>
      <c r="K89" s="26">
        <f>VLOOKUP($C$59&amp;" "&amp;$F$83&amp;J89&amp;$F$83,TXRESULT!$A$1:$I$1004,6,FALSE)</f>
        <v>1.7</v>
      </c>
      <c r="L89" s="146"/>
      <c r="M89" s="27" t="str">
        <f t="shared" si="7"/>
        <v>PASS</v>
      </c>
      <c r="N89" s="27" t="str">
        <f t="shared" si="8"/>
        <v/>
      </c>
    </row>
    <row r="90" spans="1:14" x14ac:dyDescent="0.3">
      <c r="A90" s="116"/>
      <c r="B90" s="117"/>
      <c r="C90" s="177"/>
      <c r="D90" s="179"/>
      <c r="E90" s="120"/>
      <c r="F90" s="166"/>
      <c r="G90" s="25" t="str">
        <f>G83</f>
        <v>9</v>
      </c>
      <c r="H90" s="25" t="str">
        <f>H83</f>
        <v>0</v>
      </c>
      <c r="I90" s="25" t="str">
        <f>I83</f>
        <v>9</v>
      </c>
      <c r="J90" s="25" t="s">
        <v>190</v>
      </c>
      <c r="K90" s="26">
        <f>VLOOKUP($C$59&amp;" "&amp;$F$83&amp;J90&amp;$F$83,TXRESULT!$A$1:$I$1004,6,FALSE)</f>
        <v>1.7</v>
      </c>
      <c r="L90" s="146"/>
      <c r="M90" s="27" t="str">
        <f t="shared" si="7"/>
        <v>PASS</v>
      </c>
      <c r="N90" s="27" t="str">
        <f t="shared" si="8"/>
        <v/>
      </c>
    </row>
    <row r="91" spans="1:14" ht="15.6" customHeight="1" x14ac:dyDescent="0.3">
      <c r="A91" s="116"/>
      <c r="B91" s="115" t="s">
        <v>101</v>
      </c>
      <c r="C91" s="177"/>
      <c r="D91" s="179"/>
      <c r="E91" s="132" t="s">
        <v>90</v>
      </c>
      <c r="F91" s="164" t="s">
        <v>102</v>
      </c>
      <c r="G91" s="25" t="s">
        <v>103</v>
      </c>
      <c r="H91" s="25" t="s">
        <v>80</v>
      </c>
      <c r="I91" s="25" t="s">
        <v>103</v>
      </c>
      <c r="J91" s="25" t="s">
        <v>183</v>
      </c>
      <c r="K91" s="26">
        <f>VLOOKUP($C$59&amp;" "&amp;$F$91&amp;J91&amp;$F$91,TXRESULT!$A$1:$I$1004,6,FALSE)</f>
        <v>1.4</v>
      </c>
      <c r="L91" s="146"/>
      <c r="M91" s="27" t="str">
        <f t="shared" si="7"/>
        <v>PASS</v>
      </c>
      <c r="N91" s="27" t="str">
        <f t="shared" si="8"/>
        <v/>
      </c>
    </row>
    <row r="92" spans="1:14" x14ac:dyDescent="0.3">
      <c r="A92" s="116"/>
      <c r="B92" s="116"/>
      <c r="C92" s="177"/>
      <c r="D92" s="179"/>
      <c r="E92" s="119"/>
      <c r="F92" s="165"/>
      <c r="G92" s="25" t="str">
        <f>G91</f>
        <v>4.5</v>
      </c>
      <c r="H92" s="25" t="str">
        <f>H91</f>
        <v>0</v>
      </c>
      <c r="I92" s="25" t="str">
        <f>I91</f>
        <v>4.5</v>
      </c>
      <c r="J92" s="25" t="s">
        <v>184</v>
      </c>
      <c r="K92" s="26">
        <f>VLOOKUP($C$59&amp;" "&amp;$F$91&amp;J92&amp;$F$91,TXRESULT!$A$1:$I$1004,6,FALSE)</f>
        <v>1.2</v>
      </c>
      <c r="L92" s="146"/>
      <c r="M92" s="27" t="str">
        <f t="shared" si="7"/>
        <v>PASS</v>
      </c>
      <c r="N92" s="27" t="str">
        <f t="shared" si="8"/>
        <v/>
      </c>
    </row>
    <row r="93" spans="1:14" x14ac:dyDescent="0.3">
      <c r="A93" s="116"/>
      <c r="B93" s="116"/>
      <c r="C93" s="177"/>
      <c r="D93" s="179"/>
      <c r="E93" s="119"/>
      <c r="F93" s="165"/>
      <c r="G93" s="25" t="str">
        <f>G91</f>
        <v>4.5</v>
      </c>
      <c r="H93" s="25" t="str">
        <f>H91</f>
        <v>0</v>
      </c>
      <c r="I93" s="25" t="str">
        <f>I91</f>
        <v>4.5</v>
      </c>
      <c r="J93" s="25" t="s">
        <v>185</v>
      </c>
      <c r="K93" s="26">
        <f>VLOOKUP($C$59&amp;" "&amp;$F$91&amp;J93&amp;$F$91,TXRESULT!$A$1:$I$1004,6,FALSE)</f>
        <v>1.1000000000000001</v>
      </c>
      <c r="L93" s="146"/>
      <c r="M93" s="27" t="str">
        <f t="shared" si="7"/>
        <v>PASS</v>
      </c>
      <c r="N93" s="27" t="str">
        <f t="shared" si="8"/>
        <v/>
      </c>
    </row>
    <row r="94" spans="1:14" x14ac:dyDescent="0.3">
      <c r="A94" s="116"/>
      <c r="B94" s="116"/>
      <c r="C94" s="177"/>
      <c r="D94" s="179"/>
      <c r="E94" s="119"/>
      <c r="F94" s="165"/>
      <c r="G94" s="25" t="str">
        <f>G91</f>
        <v>4.5</v>
      </c>
      <c r="H94" s="25" t="str">
        <f>H91</f>
        <v>0</v>
      </c>
      <c r="I94" s="25" t="str">
        <f>I91</f>
        <v>4.5</v>
      </c>
      <c r="J94" s="25" t="s">
        <v>186</v>
      </c>
      <c r="K94" s="26">
        <f>VLOOKUP($C$59&amp;" "&amp;$F$91&amp;J94&amp;$F$91,TXRESULT!$A$1:$I$1004,6,FALSE)</f>
        <v>1.1000000000000001</v>
      </c>
      <c r="L94" s="146"/>
      <c r="M94" s="27" t="str">
        <f t="shared" si="7"/>
        <v>PASS</v>
      </c>
      <c r="N94" s="27" t="str">
        <f t="shared" si="8"/>
        <v/>
      </c>
    </row>
    <row r="95" spans="1:14" x14ac:dyDescent="0.3">
      <c r="A95" s="116"/>
      <c r="B95" s="116"/>
      <c r="C95" s="177"/>
      <c r="D95" s="179"/>
      <c r="E95" s="119"/>
      <c r="F95" s="165"/>
      <c r="G95" s="25" t="str">
        <f>G91</f>
        <v>4.5</v>
      </c>
      <c r="H95" s="25" t="str">
        <f>H91</f>
        <v>0</v>
      </c>
      <c r="I95" s="25" t="str">
        <f>I91</f>
        <v>4.5</v>
      </c>
      <c r="J95" s="25" t="s">
        <v>187</v>
      </c>
      <c r="K95" s="26">
        <f>VLOOKUP($C$59&amp;" "&amp;$F$91&amp;J95&amp;$F$91,TXRESULT!$A$1:$I$1004,6,FALSE)</f>
        <v>1.2</v>
      </c>
      <c r="L95" s="146"/>
      <c r="M95" s="27" t="str">
        <f t="shared" si="7"/>
        <v>PASS</v>
      </c>
      <c r="N95" s="27" t="str">
        <f t="shared" si="8"/>
        <v/>
      </c>
    </row>
    <row r="96" spans="1:14" x14ac:dyDescent="0.3">
      <c r="A96" s="116"/>
      <c r="B96" s="116"/>
      <c r="C96" s="177"/>
      <c r="D96" s="179"/>
      <c r="E96" s="119"/>
      <c r="F96" s="165"/>
      <c r="G96" s="25" t="str">
        <f>G91</f>
        <v>4.5</v>
      </c>
      <c r="H96" s="25" t="str">
        <f>H91</f>
        <v>0</v>
      </c>
      <c r="I96" s="25" t="str">
        <f>I91</f>
        <v>4.5</v>
      </c>
      <c r="J96" s="25" t="s">
        <v>188</v>
      </c>
      <c r="K96" s="26">
        <f>VLOOKUP($C$59&amp;" "&amp;$F$91&amp;J96&amp;$F$91,TXRESULT!$A$1:$I$1004,6,FALSE)</f>
        <v>1</v>
      </c>
      <c r="L96" s="146"/>
      <c r="M96" s="27" t="str">
        <f t="shared" si="7"/>
        <v>PASS</v>
      </c>
      <c r="N96" s="27" t="str">
        <f t="shared" si="8"/>
        <v/>
      </c>
    </row>
    <row r="97" spans="1:14" x14ac:dyDescent="0.3">
      <c r="A97" s="116"/>
      <c r="B97" s="116"/>
      <c r="C97" s="177"/>
      <c r="D97" s="179"/>
      <c r="E97" s="119"/>
      <c r="F97" s="165"/>
      <c r="G97" s="25" t="str">
        <f>G91</f>
        <v>4.5</v>
      </c>
      <c r="H97" s="25" t="str">
        <f>H91</f>
        <v>0</v>
      </c>
      <c r="I97" s="25" t="str">
        <f>I91</f>
        <v>4.5</v>
      </c>
      <c r="J97" s="25" t="s">
        <v>189</v>
      </c>
      <c r="K97" s="26">
        <f>VLOOKUP($C$59&amp;" "&amp;$F$91&amp;J97&amp;$F$91,TXRESULT!$A$1:$I$1004,6,FALSE)</f>
        <v>1.3</v>
      </c>
      <c r="L97" s="146"/>
      <c r="M97" s="27" t="str">
        <f t="shared" si="7"/>
        <v>PASS</v>
      </c>
      <c r="N97" s="27" t="str">
        <f t="shared" si="8"/>
        <v/>
      </c>
    </row>
    <row r="98" spans="1:14" x14ac:dyDescent="0.3">
      <c r="A98" s="116"/>
      <c r="B98" s="116"/>
      <c r="C98" s="177"/>
      <c r="D98" s="179"/>
      <c r="E98" s="120"/>
      <c r="F98" s="166"/>
      <c r="G98" s="25" t="str">
        <f>G91</f>
        <v>4.5</v>
      </c>
      <c r="H98" s="25" t="str">
        <f>H91</f>
        <v>0</v>
      </c>
      <c r="I98" s="25" t="str">
        <f>I91</f>
        <v>4.5</v>
      </c>
      <c r="J98" s="25" t="s">
        <v>190</v>
      </c>
      <c r="K98" s="26">
        <f>VLOOKUP($C$59&amp;" "&amp;$F$91&amp;J98&amp;$F$91,TXRESULT!$A$1:$I$1004,6,FALSE)</f>
        <v>1.1000000000000001</v>
      </c>
      <c r="L98" s="146"/>
      <c r="M98" s="27" t="str">
        <f t="shared" si="7"/>
        <v>PASS</v>
      </c>
      <c r="N98" s="27" t="str">
        <f t="shared" si="8"/>
        <v/>
      </c>
    </row>
    <row r="99" spans="1:14" ht="15.6" customHeight="1" x14ac:dyDescent="0.3">
      <c r="A99" s="37"/>
      <c r="B99" s="116"/>
      <c r="C99" s="177"/>
      <c r="D99" s="179"/>
      <c r="E99" s="132" t="s">
        <v>90</v>
      </c>
      <c r="F99" s="164" t="s">
        <v>246</v>
      </c>
      <c r="G99" s="25" t="s">
        <v>103</v>
      </c>
      <c r="H99" s="25" t="s">
        <v>80</v>
      </c>
      <c r="I99" s="25" t="s">
        <v>103</v>
      </c>
      <c r="J99" s="25" t="s">
        <v>183</v>
      </c>
      <c r="K99" s="26">
        <f>VLOOKUP($C$59&amp;" "&amp;$F$99&amp;J99&amp;$F$99,TXRESULT!$A$1:$I$1004,6,FALSE)</f>
        <v>1.7</v>
      </c>
      <c r="L99" s="146"/>
      <c r="M99" s="27" t="str">
        <f t="shared" si="7"/>
        <v>PASS</v>
      </c>
      <c r="N99" s="27" t="str">
        <f t="shared" si="8"/>
        <v/>
      </c>
    </row>
    <row r="100" spans="1:14" x14ac:dyDescent="0.3">
      <c r="A100" s="37"/>
      <c r="B100" s="116"/>
      <c r="C100" s="177"/>
      <c r="D100" s="179"/>
      <c r="E100" s="119"/>
      <c r="F100" s="165"/>
      <c r="G100" s="25" t="str">
        <f>G99</f>
        <v>4.5</v>
      </c>
      <c r="H100" s="25" t="str">
        <f>H99</f>
        <v>0</v>
      </c>
      <c r="I100" s="25" t="str">
        <f>I99</f>
        <v>4.5</v>
      </c>
      <c r="J100" s="25" t="s">
        <v>184</v>
      </c>
      <c r="K100" s="26">
        <f>VLOOKUP($C$59&amp;" "&amp;$F$99&amp;J100&amp;$F$99,TXRESULT!$A$1:$I$1004,6,FALSE)</f>
        <v>1.7</v>
      </c>
      <c r="L100" s="146"/>
      <c r="M100" s="27" t="str">
        <f t="shared" si="7"/>
        <v>PASS</v>
      </c>
      <c r="N100" s="27" t="str">
        <f t="shared" si="8"/>
        <v/>
      </c>
    </row>
    <row r="101" spans="1:14" x14ac:dyDescent="0.3">
      <c r="A101" s="37"/>
      <c r="B101" s="116"/>
      <c r="C101" s="177"/>
      <c r="D101" s="179"/>
      <c r="E101" s="119"/>
      <c r="F101" s="165"/>
      <c r="G101" s="25" t="str">
        <f>G99</f>
        <v>4.5</v>
      </c>
      <c r="H101" s="25" t="str">
        <f>H99</f>
        <v>0</v>
      </c>
      <c r="I101" s="25" t="str">
        <f>I99</f>
        <v>4.5</v>
      </c>
      <c r="J101" s="25" t="s">
        <v>185</v>
      </c>
      <c r="K101" s="26">
        <f>VLOOKUP($C$59&amp;" "&amp;$F$99&amp;J101&amp;$F$99,TXRESULT!$A$1:$I$1004,6,FALSE)</f>
        <v>1.7</v>
      </c>
      <c r="L101" s="146"/>
      <c r="M101" s="27" t="str">
        <f t="shared" si="7"/>
        <v>PASS</v>
      </c>
      <c r="N101" s="27" t="str">
        <f t="shared" si="8"/>
        <v/>
      </c>
    </row>
    <row r="102" spans="1:14" x14ac:dyDescent="0.3">
      <c r="A102" s="37"/>
      <c r="B102" s="116"/>
      <c r="C102" s="177"/>
      <c r="D102" s="179"/>
      <c r="E102" s="119"/>
      <c r="F102" s="165"/>
      <c r="G102" s="25" t="str">
        <f>G99</f>
        <v>4.5</v>
      </c>
      <c r="H102" s="25" t="str">
        <f>H99</f>
        <v>0</v>
      </c>
      <c r="I102" s="25" t="str">
        <f>I99</f>
        <v>4.5</v>
      </c>
      <c r="J102" s="25" t="s">
        <v>186</v>
      </c>
      <c r="K102" s="26">
        <f>VLOOKUP($C$59&amp;" "&amp;$F$99&amp;J102&amp;$F$99,TXRESULT!$A$1:$I$1004,6,FALSE)</f>
        <v>1.7</v>
      </c>
      <c r="L102" s="146"/>
      <c r="M102" s="27" t="str">
        <f t="shared" si="7"/>
        <v>PASS</v>
      </c>
      <c r="N102" s="27" t="str">
        <f t="shared" si="8"/>
        <v/>
      </c>
    </row>
    <row r="103" spans="1:14" x14ac:dyDescent="0.3">
      <c r="A103" s="37"/>
      <c r="B103" s="116"/>
      <c r="C103" s="177"/>
      <c r="D103" s="179"/>
      <c r="E103" s="119"/>
      <c r="F103" s="165"/>
      <c r="G103" s="25" t="str">
        <f>G99</f>
        <v>4.5</v>
      </c>
      <c r="H103" s="25" t="str">
        <f>H99</f>
        <v>0</v>
      </c>
      <c r="I103" s="25" t="str">
        <f>I99</f>
        <v>4.5</v>
      </c>
      <c r="J103" s="25" t="s">
        <v>187</v>
      </c>
      <c r="K103" s="26">
        <f>VLOOKUP($C$59&amp;" "&amp;$F$99&amp;J103&amp;$F$99,TXRESULT!$A$1:$I$1004,6,FALSE)</f>
        <v>1.7</v>
      </c>
      <c r="L103" s="146"/>
      <c r="M103" s="27" t="str">
        <f t="shared" si="7"/>
        <v>PASS</v>
      </c>
      <c r="N103" s="27" t="str">
        <f t="shared" si="8"/>
        <v/>
      </c>
    </row>
    <row r="104" spans="1:14" x14ac:dyDescent="0.3">
      <c r="A104" s="37"/>
      <c r="B104" s="116"/>
      <c r="C104" s="177"/>
      <c r="D104" s="179"/>
      <c r="E104" s="119"/>
      <c r="F104" s="165"/>
      <c r="G104" s="25" t="str">
        <f>G99</f>
        <v>4.5</v>
      </c>
      <c r="H104" s="25" t="str">
        <f>H99</f>
        <v>0</v>
      </c>
      <c r="I104" s="25" t="str">
        <f>I99</f>
        <v>4.5</v>
      </c>
      <c r="J104" s="25" t="s">
        <v>188</v>
      </c>
      <c r="K104" s="26">
        <f>VLOOKUP($C$59&amp;" "&amp;$F$99&amp;J104&amp;$F$99,TXRESULT!$A$1:$I$1004,6,FALSE)</f>
        <v>1.7</v>
      </c>
      <c r="L104" s="146"/>
      <c r="M104" s="27" t="str">
        <f t="shared" si="7"/>
        <v>PASS</v>
      </c>
      <c r="N104" s="27" t="str">
        <f t="shared" si="8"/>
        <v/>
      </c>
    </row>
    <row r="105" spans="1:14" x14ac:dyDescent="0.3">
      <c r="A105" s="37"/>
      <c r="B105" s="116"/>
      <c r="C105" s="177"/>
      <c r="D105" s="179"/>
      <c r="E105" s="119"/>
      <c r="F105" s="165"/>
      <c r="G105" s="25" t="str">
        <f>G99</f>
        <v>4.5</v>
      </c>
      <c r="H105" s="25" t="str">
        <f>H99</f>
        <v>0</v>
      </c>
      <c r="I105" s="25" t="str">
        <f>I99</f>
        <v>4.5</v>
      </c>
      <c r="J105" s="25" t="s">
        <v>189</v>
      </c>
      <c r="K105" s="26">
        <f>VLOOKUP($C$59&amp;" "&amp;$F$99&amp;J105&amp;$F$99,TXRESULT!$A$1:$I$1004,6,FALSE)</f>
        <v>1.6</v>
      </c>
      <c r="L105" s="146"/>
      <c r="M105" s="27" t="str">
        <f t="shared" si="7"/>
        <v>PASS</v>
      </c>
      <c r="N105" s="27" t="str">
        <f t="shared" si="8"/>
        <v/>
      </c>
    </row>
    <row r="106" spans="1:14" x14ac:dyDescent="0.3">
      <c r="A106" s="37"/>
      <c r="B106" s="117"/>
      <c r="C106" s="180"/>
      <c r="D106" s="182"/>
      <c r="E106" s="120"/>
      <c r="F106" s="166"/>
      <c r="G106" s="25" t="str">
        <f>G99</f>
        <v>4.5</v>
      </c>
      <c r="H106" s="25" t="str">
        <f>H99</f>
        <v>0</v>
      </c>
      <c r="I106" s="25" t="str">
        <f>I99</f>
        <v>4.5</v>
      </c>
      <c r="J106" s="25" t="s">
        <v>190</v>
      </c>
      <c r="K106" s="26">
        <f>VLOOKUP($C$59&amp;" "&amp;$F$99&amp;J106&amp;$F$99,TXRESULT!$A$1:$I$1004,6,FALSE)</f>
        <v>1.6</v>
      </c>
      <c r="L106" s="147"/>
      <c r="M106" s="27" t="str">
        <f t="shared" si="7"/>
        <v>PASS</v>
      </c>
      <c r="N106" s="27" t="str">
        <f t="shared" si="8"/>
        <v/>
      </c>
    </row>
    <row r="107" spans="1:14" ht="15.6" customHeight="1" x14ac:dyDescent="0.3">
      <c r="A107" s="115" t="s">
        <v>104</v>
      </c>
      <c r="B107" s="174" t="s">
        <v>254</v>
      </c>
      <c r="C107" s="175"/>
      <c r="D107" s="176"/>
      <c r="E107" s="132" t="s">
        <v>105</v>
      </c>
      <c r="F107" s="164" t="s">
        <v>53</v>
      </c>
      <c r="G107" s="25" t="s">
        <v>106</v>
      </c>
      <c r="H107" s="25" t="s">
        <v>80</v>
      </c>
      <c r="I107" s="25" t="s">
        <v>106</v>
      </c>
      <c r="J107" s="25" t="s">
        <v>183</v>
      </c>
      <c r="K107" s="26" t="e">
        <f>VLOOKUP($B$107&amp;J107&amp;$F$107,TXRESULT!$A$1:$H$1004,6,FALSE)</f>
        <v>#N/A</v>
      </c>
      <c r="L107" s="145" t="s">
        <v>107</v>
      </c>
      <c r="M107" s="27" t="e">
        <f t="shared" si="7"/>
        <v>#N/A</v>
      </c>
      <c r="N107" s="27" t="str">
        <f t="shared" si="8"/>
        <v/>
      </c>
    </row>
    <row r="108" spans="1:14" x14ac:dyDescent="0.3">
      <c r="A108" s="116"/>
      <c r="B108" s="177"/>
      <c r="C108" s="178"/>
      <c r="D108" s="179"/>
      <c r="E108" s="119"/>
      <c r="F108" s="165"/>
      <c r="G108" s="25" t="str">
        <f>G107</f>
        <v>90</v>
      </c>
      <c r="H108" s="25" t="s">
        <v>80</v>
      </c>
      <c r="I108" s="25" t="str">
        <f>I107</f>
        <v>90</v>
      </c>
      <c r="J108" s="25" t="s">
        <v>184</v>
      </c>
      <c r="K108" s="26" t="e">
        <f>VLOOKUP($B$107&amp;J108&amp;$F$107,TXRESULT!$A$1:$H$1004,6,FALSE)</f>
        <v>#N/A</v>
      </c>
      <c r="L108" s="146"/>
      <c r="M108" s="27" t="e">
        <f t="shared" si="7"/>
        <v>#N/A</v>
      </c>
      <c r="N108" s="27" t="str">
        <f t="shared" si="8"/>
        <v/>
      </c>
    </row>
    <row r="109" spans="1:14" x14ac:dyDescent="0.3">
      <c r="A109" s="116"/>
      <c r="B109" s="177"/>
      <c r="C109" s="178"/>
      <c r="D109" s="179"/>
      <c r="E109" s="119"/>
      <c r="F109" s="165"/>
      <c r="G109" s="25" t="str">
        <f>G107</f>
        <v>90</v>
      </c>
      <c r="H109" s="25" t="s">
        <v>80</v>
      </c>
      <c r="I109" s="25" t="str">
        <f>I107</f>
        <v>90</v>
      </c>
      <c r="J109" s="25" t="s">
        <v>185</v>
      </c>
      <c r="K109" s="26" t="e">
        <f>VLOOKUP($B$107&amp;J109&amp;$F$107,TXRESULT!$A$1:$H$1004,6,FALSE)</f>
        <v>#N/A</v>
      </c>
      <c r="L109" s="146"/>
      <c r="M109" s="27" t="e">
        <f t="shared" si="7"/>
        <v>#N/A</v>
      </c>
      <c r="N109" s="27" t="str">
        <f t="shared" si="8"/>
        <v/>
      </c>
    </row>
    <row r="110" spans="1:14" x14ac:dyDescent="0.3">
      <c r="A110" s="116"/>
      <c r="B110" s="177"/>
      <c r="C110" s="178"/>
      <c r="D110" s="179"/>
      <c r="E110" s="119"/>
      <c r="F110" s="165"/>
      <c r="G110" s="25" t="str">
        <f>G107</f>
        <v>90</v>
      </c>
      <c r="H110" s="25" t="s">
        <v>80</v>
      </c>
      <c r="I110" s="25" t="str">
        <f>I107</f>
        <v>90</v>
      </c>
      <c r="J110" s="25" t="s">
        <v>186</v>
      </c>
      <c r="K110" s="26" t="e">
        <f>VLOOKUP($B$107&amp;J110&amp;$F$107,TXRESULT!$A$1:$H$1004,6,FALSE)</f>
        <v>#N/A</v>
      </c>
      <c r="L110" s="146"/>
      <c r="M110" s="27" t="e">
        <f t="shared" si="7"/>
        <v>#N/A</v>
      </c>
      <c r="N110" s="27" t="str">
        <f t="shared" si="8"/>
        <v/>
      </c>
    </row>
    <row r="111" spans="1:14" x14ac:dyDescent="0.3">
      <c r="A111" s="116"/>
      <c r="B111" s="177"/>
      <c r="C111" s="178"/>
      <c r="D111" s="179"/>
      <c r="E111" s="119"/>
      <c r="F111" s="165"/>
      <c r="G111" s="25" t="str">
        <f>G107</f>
        <v>90</v>
      </c>
      <c r="H111" s="25" t="s">
        <v>80</v>
      </c>
      <c r="I111" s="25" t="str">
        <f>I107</f>
        <v>90</v>
      </c>
      <c r="J111" s="25" t="s">
        <v>187</v>
      </c>
      <c r="K111" s="26" t="e">
        <f>VLOOKUP($B$107&amp;J111&amp;$F$107,TXRESULT!$A$1:$H$1004,6,FALSE)</f>
        <v>#N/A</v>
      </c>
      <c r="L111" s="146"/>
      <c r="M111" s="27" t="e">
        <f t="shared" si="7"/>
        <v>#N/A</v>
      </c>
      <c r="N111" s="27" t="str">
        <f t="shared" si="8"/>
        <v/>
      </c>
    </row>
    <row r="112" spans="1:14" x14ac:dyDescent="0.3">
      <c r="A112" s="116"/>
      <c r="B112" s="177"/>
      <c r="C112" s="178"/>
      <c r="D112" s="179"/>
      <c r="E112" s="119"/>
      <c r="F112" s="165"/>
      <c r="G112" s="25" t="str">
        <f>G107</f>
        <v>90</v>
      </c>
      <c r="H112" s="25" t="s">
        <v>80</v>
      </c>
      <c r="I112" s="25" t="str">
        <f>I107</f>
        <v>90</v>
      </c>
      <c r="J112" s="25" t="s">
        <v>188</v>
      </c>
      <c r="K112" s="26" t="e">
        <f>VLOOKUP($B$107&amp;J112&amp;$F$107,TXRESULT!$A$1:$H$1004,6,FALSE)</f>
        <v>#N/A</v>
      </c>
      <c r="L112" s="146"/>
      <c r="M112" s="27" t="e">
        <f t="shared" si="7"/>
        <v>#N/A</v>
      </c>
      <c r="N112" s="27" t="str">
        <f t="shared" si="8"/>
        <v/>
      </c>
    </row>
    <row r="113" spans="1:14" x14ac:dyDescent="0.3">
      <c r="A113" s="116"/>
      <c r="B113" s="177"/>
      <c r="C113" s="178"/>
      <c r="D113" s="179"/>
      <c r="E113" s="119"/>
      <c r="F113" s="165"/>
      <c r="G113" s="25" t="str">
        <f>G107</f>
        <v>90</v>
      </c>
      <c r="H113" s="25" t="s">
        <v>80</v>
      </c>
      <c r="I113" s="25" t="str">
        <f>I107</f>
        <v>90</v>
      </c>
      <c r="J113" s="25" t="s">
        <v>189</v>
      </c>
      <c r="K113" s="26" t="e">
        <f>VLOOKUP($B$107&amp;J113&amp;$F$107,TXRESULT!$A$1:$H$1004,6,FALSE)</f>
        <v>#N/A</v>
      </c>
      <c r="L113" s="146"/>
      <c r="M113" s="27" t="e">
        <f t="shared" si="7"/>
        <v>#N/A</v>
      </c>
      <c r="N113" s="27" t="str">
        <f t="shared" si="8"/>
        <v/>
      </c>
    </row>
    <row r="114" spans="1:14" x14ac:dyDescent="0.3">
      <c r="A114" s="117"/>
      <c r="B114" s="180"/>
      <c r="C114" s="181"/>
      <c r="D114" s="182"/>
      <c r="E114" s="120"/>
      <c r="F114" s="166"/>
      <c r="G114" s="25" t="str">
        <f>G107</f>
        <v>90</v>
      </c>
      <c r="H114" s="25" t="s">
        <v>80</v>
      </c>
      <c r="I114" s="25" t="str">
        <f>I107</f>
        <v>90</v>
      </c>
      <c r="J114" s="25" t="s">
        <v>190</v>
      </c>
      <c r="K114" s="26" t="e">
        <f>VLOOKUP($B$107&amp;J114&amp;$F$107,TXRESULT!$A$1:$H$1004,6,FALSE)</f>
        <v>#N/A</v>
      </c>
      <c r="L114" s="147"/>
      <c r="M114" s="27" t="e">
        <f t="shared" si="7"/>
        <v>#N/A</v>
      </c>
      <c r="N114" s="27" t="str">
        <f t="shared" si="8"/>
        <v/>
      </c>
    </row>
    <row r="115" spans="1:14" x14ac:dyDescent="0.3">
      <c r="A115" s="28"/>
      <c r="B115" s="38" t="s">
        <v>108</v>
      </c>
      <c r="C115" s="39"/>
      <c r="D115" s="30"/>
      <c r="E115" s="30"/>
      <c r="F115" s="30"/>
      <c r="G115" s="30"/>
      <c r="H115" s="30"/>
      <c r="I115" s="30"/>
      <c r="J115" s="30"/>
      <c r="K115" s="26"/>
      <c r="L115" s="30"/>
      <c r="M115" s="27"/>
      <c r="N115" s="27"/>
    </row>
    <row r="116" spans="1:14" ht="15.6" customHeight="1" x14ac:dyDescent="0.3">
      <c r="A116" s="115" t="s">
        <v>109</v>
      </c>
      <c r="B116" s="174" t="s">
        <v>242</v>
      </c>
      <c r="C116" s="175"/>
      <c r="D116" s="176"/>
      <c r="E116" s="132" t="s">
        <v>110</v>
      </c>
      <c r="F116" s="164" t="s">
        <v>53</v>
      </c>
      <c r="G116" s="25" t="s">
        <v>112</v>
      </c>
      <c r="H116" s="25" t="s">
        <v>113</v>
      </c>
      <c r="I116" s="25" t="s">
        <v>112</v>
      </c>
      <c r="J116" s="25" t="s">
        <v>183</v>
      </c>
      <c r="K116" s="26">
        <f>VLOOKUP($B$116&amp;J116&amp;$F$116,TXRESULT!$A$1:$I$1004,6,FALSE)</f>
        <v>0</v>
      </c>
      <c r="L116" s="145" t="s">
        <v>114</v>
      </c>
      <c r="M116" s="27" t="str">
        <f t="shared" si="7"/>
        <v>FAIL</v>
      </c>
      <c r="N116" s="27" t="str">
        <f t="shared" si="8"/>
        <v/>
      </c>
    </row>
    <row r="117" spans="1:14" x14ac:dyDescent="0.3">
      <c r="A117" s="116"/>
      <c r="B117" s="177"/>
      <c r="C117" s="178"/>
      <c r="D117" s="179"/>
      <c r="E117" s="119"/>
      <c r="F117" s="165"/>
      <c r="G117" s="25" t="s">
        <v>112</v>
      </c>
      <c r="H117" s="25" t="s">
        <v>113</v>
      </c>
      <c r="I117" s="25" t="s">
        <v>112</v>
      </c>
      <c r="J117" s="25" t="s">
        <v>184</v>
      </c>
      <c r="K117" s="26">
        <f>VLOOKUP($B$116&amp;J117&amp;$F$116,TXRESULT!$A$1:$I$1004,6,FALSE)</f>
        <v>0</v>
      </c>
      <c r="L117" s="146"/>
      <c r="M117" s="27" t="str">
        <f t="shared" si="7"/>
        <v>FAIL</v>
      </c>
      <c r="N117" s="27" t="str">
        <f t="shared" si="8"/>
        <v/>
      </c>
    </row>
    <row r="118" spans="1:14" x14ac:dyDescent="0.3">
      <c r="A118" s="116"/>
      <c r="B118" s="177"/>
      <c r="C118" s="178"/>
      <c r="D118" s="179"/>
      <c r="E118" s="119"/>
      <c r="F118" s="165"/>
      <c r="G118" s="25" t="s">
        <v>112</v>
      </c>
      <c r="H118" s="25" t="s">
        <v>113</v>
      </c>
      <c r="I118" s="25" t="s">
        <v>112</v>
      </c>
      <c r="J118" s="25" t="s">
        <v>185</v>
      </c>
      <c r="K118" s="26">
        <f>VLOOKUP($B$116&amp;J118&amp;$F$116,TXRESULT!$A$1:$I$1004,6,FALSE)</f>
        <v>0</v>
      </c>
      <c r="L118" s="146"/>
      <c r="M118" s="27" t="str">
        <f t="shared" si="7"/>
        <v>FAIL</v>
      </c>
      <c r="N118" s="27" t="str">
        <f t="shared" si="8"/>
        <v/>
      </c>
    </row>
    <row r="119" spans="1:14" x14ac:dyDescent="0.3">
      <c r="A119" s="116"/>
      <c r="B119" s="177"/>
      <c r="C119" s="178"/>
      <c r="D119" s="179"/>
      <c r="E119" s="119"/>
      <c r="F119" s="165"/>
      <c r="G119" s="25" t="s">
        <v>112</v>
      </c>
      <c r="H119" s="25" t="s">
        <v>113</v>
      </c>
      <c r="I119" s="25" t="s">
        <v>112</v>
      </c>
      <c r="J119" s="25" t="s">
        <v>186</v>
      </c>
      <c r="K119" s="26">
        <f>VLOOKUP($B$116&amp;J119&amp;$F$116,TXRESULT!$A$1:$I$1004,6,FALSE)</f>
        <v>0</v>
      </c>
      <c r="L119" s="146"/>
      <c r="M119" s="27" t="str">
        <f t="shared" si="7"/>
        <v>FAIL</v>
      </c>
      <c r="N119" s="27" t="str">
        <f t="shared" si="8"/>
        <v/>
      </c>
    </row>
    <row r="120" spans="1:14" x14ac:dyDescent="0.3">
      <c r="A120" s="116"/>
      <c r="B120" s="177"/>
      <c r="C120" s="178"/>
      <c r="D120" s="179"/>
      <c r="E120" s="119"/>
      <c r="F120" s="165"/>
      <c r="G120" s="25" t="s">
        <v>112</v>
      </c>
      <c r="H120" s="25" t="s">
        <v>113</v>
      </c>
      <c r="I120" s="25" t="s">
        <v>112</v>
      </c>
      <c r="J120" s="25" t="s">
        <v>187</v>
      </c>
      <c r="K120" s="26">
        <f>VLOOKUP($B$116&amp;J120&amp;$F$116,TXRESULT!$A$1:$I$1004,6,FALSE)</f>
        <v>0</v>
      </c>
      <c r="L120" s="146"/>
      <c r="M120" s="27" t="str">
        <f t="shared" si="7"/>
        <v>FAIL</v>
      </c>
      <c r="N120" s="27" t="str">
        <f t="shared" si="8"/>
        <v/>
      </c>
    </row>
    <row r="121" spans="1:14" x14ac:dyDescent="0.3">
      <c r="A121" s="116"/>
      <c r="B121" s="177"/>
      <c r="C121" s="178"/>
      <c r="D121" s="179"/>
      <c r="E121" s="119"/>
      <c r="F121" s="165"/>
      <c r="G121" s="25" t="s">
        <v>112</v>
      </c>
      <c r="H121" s="25" t="s">
        <v>113</v>
      </c>
      <c r="I121" s="25" t="s">
        <v>112</v>
      </c>
      <c r="J121" s="25" t="s">
        <v>188</v>
      </c>
      <c r="K121" s="26">
        <f>VLOOKUP($B$116&amp;J121&amp;$F$116,TXRESULT!$A$1:$I$1004,6,FALSE)</f>
        <v>0</v>
      </c>
      <c r="L121" s="146"/>
      <c r="M121" s="27" t="str">
        <f t="shared" si="7"/>
        <v>FAIL</v>
      </c>
      <c r="N121" s="27" t="str">
        <f t="shared" si="8"/>
        <v/>
      </c>
    </row>
    <row r="122" spans="1:14" x14ac:dyDescent="0.3">
      <c r="A122" s="116"/>
      <c r="B122" s="177"/>
      <c r="C122" s="178"/>
      <c r="D122" s="179"/>
      <c r="E122" s="119"/>
      <c r="F122" s="165"/>
      <c r="G122" s="25" t="s">
        <v>112</v>
      </c>
      <c r="H122" s="25" t="s">
        <v>113</v>
      </c>
      <c r="I122" s="25" t="s">
        <v>112</v>
      </c>
      <c r="J122" s="25" t="s">
        <v>189</v>
      </c>
      <c r="K122" s="26">
        <f>VLOOKUP($B$116&amp;J122&amp;$F$116,TXRESULT!$A$1:$I$1004,6,FALSE)</f>
        <v>0</v>
      </c>
      <c r="L122" s="146"/>
      <c r="M122" s="27" t="str">
        <f t="shared" si="7"/>
        <v>FAIL</v>
      </c>
      <c r="N122" s="27" t="str">
        <f t="shared" si="8"/>
        <v/>
      </c>
    </row>
    <row r="123" spans="1:14" x14ac:dyDescent="0.3">
      <c r="A123" s="117"/>
      <c r="B123" s="180"/>
      <c r="C123" s="181"/>
      <c r="D123" s="182"/>
      <c r="E123" s="120"/>
      <c r="F123" s="166"/>
      <c r="G123" s="25" t="s">
        <v>112</v>
      </c>
      <c r="H123" s="25" t="s">
        <v>113</v>
      </c>
      <c r="I123" s="25" t="s">
        <v>112</v>
      </c>
      <c r="J123" s="25" t="s">
        <v>190</v>
      </c>
      <c r="K123" s="26">
        <f>VLOOKUP($B$116&amp;J123&amp;$F$116,TXRESULT!$A$1:$I$1004,6,FALSE)</f>
        <v>0</v>
      </c>
      <c r="L123" s="147"/>
      <c r="M123" s="27" t="str">
        <f t="shared" si="7"/>
        <v>FAIL</v>
      </c>
      <c r="N123" s="27" t="str">
        <f t="shared" si="8"/>
        <v/>
      </c>
    </row>
    <row r="124" spans="1:14" ht="15.6" customHeight="1" x14ac:dyDescent="0.3">
      <c r="A124" s="115" t="s">
        <v>115</v>
      </c>
      <c r="B124" s="174" t="s">
        <v>243</v>
      </c>
      <c r="C124" s="175"/>
      <c r="D124" s="176"/>
      <c r="E124" s="132" t="s">
        <v>116</v>
      </c>
      <c r="F124" s="164" t="s">
        <v>111</v>
      </c>
      <c r="G124" s="25" t="s">
        <v>117</v>
      </c>
      <c r="H124" s="25" t="s">
        <v>117</v>
      </c>
      <c r="I124" s="25" t="s">
        <v>118</v>
      </c>
      <c r="J124" s="25" t="s">
        <v>183</v>
      </c>
      <c r="K124" s="26">
        <f t="array" ref="K124">MIN(IF((LEFT(TXRESULT!$C$1:$C$1004,30)='CH17-CH24'!$B$124)*(TXRESULT!$B$1:$B$1004='CH17-CH24'!J124),TXRESULT!$F$1:$F$1004,""))</f>
        <v>48.8</v>
      </c>
      <c r="L124" s="145" t="s">
        <v>119</v>
      </c>
      <c r="M124" s="27" t="str">
        <f t="shared" si="7"/>
        <v>PASS</v>
      </c>
      <c r="N124" s="27" t="str">
        <f t="shared" si="8"/>
        <v/>
      </c>
    </row>
    <row r="125" spans="1:14" x14ac:dyDescent="0.3">
      <c r="A125" s="116"/>
      <c r="B125" s="177"/>
      <c r="C125" s="178"/>
      <c r="D125" s="179"/>
      <c r="E125" s="119"/>
      <c r="F125" s="165"/>
      <c r="G125" s="25" t="str">
        <f>G124</f>
        <v>43.8</v>
      </c>
      <c r="H125" s="25" t="str">
        <f>H124</f>
        <v>43.8</v>
      </c>
      <c r="I125" s="25" t="s">
        <v>118</v>
      </c>
      <c r="J125" s="25" t="s">
        <v>184</v>
      </c>
      <c r="K125" s="26">
        <f t="array" ref="K125">MIN(IF((LEFT(TXRESULT!$C$1:$C$1004,30)='CH17-CH24'!$B$124)*(TXRESULT!$B$1:$B$1004='CH17-CH24'!J125),TXRESULT!$F$1:$F$1004,""))</f>
        <v>46.7</v>
      </c>
      <c r="L125" s="146"/>
      <c r="M125" s="27" t="str">
        <f t="shared" si="7"/>
        <v>PASS</v>
      </c>
      <c r="N125" s="27" t="str">
        <f t="shared" si="8"/>
        <v/>
      </c>
    </row>
    <row r="126" spans="1:14" x14ac:dyDescent="0.3">
      <c r="A126" s="116"/>
      <c r="B126" s="177"/>
      <c r="C126" s="178"/>
      <c r="D126" s="179"/>
      <c r="E126" s="119"/>
      <c r="F126" s="165"/>
      <c r="G126" s="25" t="str">
        <f>G124</f>
        <v>43.8</v>
      </c>
      <c r="H126" s="25" t="str">
        <f>H124</f>
        <v>43.8</v>
      </c>
      <c r="I126" s="25" t="s">
        <v>118</v>
      </c>
      <c r="J126" s="25" t="s">
        <v>185</v>
      </c>
      <c r="K126" s="26">
        <f t="array" ref="K126">MIN(IF((LEFT(TXRESULT!$C$1:$C$1004,30)='CH17-CH24'!$B$124)*(TXRESULT!$B$1:$B$1004='CH17-CH24'!J126),TXRESULT!$F$1:$F$1004,""))</f>
        <v>49.1</v>
      </c>
      <c r="L126" s="146"/>
      <c r="M126" s="27" t="str">
        <f t="shared" si="7"/>
        <v>PASS</v>
      </c>
      <c r="N126" s="27" t="str">
        <f t="shared" si="8"/>
        <v/>
      </c>
    </row>
    <row r="127" spans="1:14" x14ac:dyDescent="0.3">
      <c r="A127" s="116"/>
      <c r="B127" s="177"/>
      <c r="C127" s="178"/>
      <c r="D127" s="179"/>
      <c r="E127" s="119"/>
      <c r="F127" s="165"/>
      <c r="G127" s="25" t="str">
        <f>G124</f>
        <v>43.8</v>
      </c>
      <c r="H127" s="25" t="str">
        <f>H124</f>
        <v>43.8</v>
      </c>
      <c r="I127" s="25" t="s">
        <v>118</v>
      </c>
      <c r="J127" s="25" t="s">
        <v>186</v>
      </c>
      <c r="K127" s="26">
        <f t="array" ref="K127">MIN(IF((LEFT(TXRESULT!$C$1:$C$1004,30)='CH17-CH24'!$B$124)*(TXRESULT!$B$1:$B$1004='CH17-CH24'!J127),TXRESULT!$F$1:$F$1004,""))</f>
        <v>50.3</v>
      </c>
      <c r="L127" s="146"/>
      <c r="M127" s="27" t="str">
        <f t="shared" si="7"/>
        <v>PASS</v>
      </c>
      <c r="N127" s="27" t="str">
        <f t="shared" si="8"/>
        <v/>
      </c>
    </row>
    <row r="128" spans="1:14" x14ac:dyDescent="0.3">
      <c r="A128" s="116"/>
      <c r="B128" s="177"/>
      <c r="C128" s="178"/>
      <c r="D128" s="179"/>
      <c r="E128" s="119"/>
      <c r="F128" s="165"/>
      <c r="G128" s="25" t="str">
        <f>G124</f>
        <v>43.8</v>
      </c>
      <c r="H128" s="25" t="str">
        <f>H124</f>
        <v>43.8</v>
      </c>
      <c r="I128" s="25" t="s">
        <v>118</v>
      </c>
      <c r="J128" s="25" t="s">
        <v>187</v>
      </c>
      <c r="K128" s="26">
        <f t="array" ref="K128">MIN(IF((LEFT(TXRESULT!$C$1:$C$1004,30)='CH17-CH24'!$B$124)*(TXRESULT!$B$1:$B$1004='CH17-CH24'!J128),TXRESULT!$F$1:$F$1004,""))</f>
        <v>48</v>
      </c>
      <c r="L128" s="146"/>
      <c r="M128" s="27" t="str">
        <f t="shared" si="7"/>
        <v>PASS</v>
      </c>
      <c r="N128" s="27" t="str">
        <f t="shared" si="8"/>
        <v/>
      </c>
    </row>
    <row r="129" spans="1:14" x14ac:dyDescent="0.3">
      <c r="A129" s="116"/>
      <c r="B129" s="177"/>
      <c r="C129" s="178"/>
      <c r="D129" s="179"/>
      <c r="E129" s="119"/>
      <c r="F129" s="165"/>
      <c r="G129" s="25" t="str">
        <f>G124</f>
        <v>43.8</v>
      </c>
      <c r="H129" s="25" t="str">
        <f>H124</f>
        <v>43.8</v>
      </c>
      <c r="I129" s="25" t="s">
        <v>118</v>
      </c>
      <c r="J129" s="25" t="s">
        <v>188</v>
      </c>
      <c r="K129" s="26">
        <f t="array" ref="K129">MIN(IF((LEFT(TXRESULT!$C$1:$C$1004,30)='CH17-CH24'!$B$124)*(TXRESULT!$B$1:$B$1004='CH17-CH24'!J129),TXRESULT!$F$1:$F$1004,""))</f>
        <v>46.3</v>
      </c>
      <c r="L129" s="146"/>
      <c r="M129" s="27" t="str">
        <f t="shared" si="7"/>
        <v>PASS</v>
      </c>
      <c r="N129" s="27" t="str">
        <f t="shared" si="8"/>
        <v/>
      </c>
    </row>
    <row r="130" spans="1:14" x14ac:dyDescent="0.3">
      <c r="A130" s="116"/>
      <c r="B130" s="177"/>
      <c r="C130" s="178"/>
      <c r="D130" s="179"/>
      <c r="E130" s="119"/>
      <c r="F130" s="165"/>
      <c r="G130" s="25" t="str">
        <f>G124</f>
        <v>43.8</v>
      </c>
      <c r="H130" s="25" t="str">
        <f>H124</f>
        <v>43.8</v>
      </c>
      <c r="I130" s="25" t="s">
        <v>118</v>
      </c>
      <c r="J130" s="25" t="s">
        <v>189</v>
      </c>
      <c r="K130" s="26">
        <f t="array" ref="K130">MIN(IF((LEFT(TXRESULT!$C$1:$C$1004,30)='CH17-CH24'!$B$124)*(TXRESULT!$B$1:$B$1004='CH17-CH24'!J130),TXRESULT!$F$1:$F$1004,""))</f>
        <v>50.1</v>
      </c>
      <c r="L130" s="146"/>
      <c r="M130" s="27" t="str">
        <f>IF(ISBLANK(K130),"",IF(AND(K130*1&gt;H130*1,K130*1&lt;I130*1),"PASS","FAIL"))</f>
        <v>PASS</v>
      </c>
      <c r="N130" s="27" t="str">
        <f t="shared" si="8"/>
        <v/>
      </c>
    </row>
    <row r="131" spans="1:14" x14ac:dyDescent="0.3">
      <c r="A131" s="117"/>
      <c r="B131" s="180"/>
      <c r="C131" s="181"/>
      <c r="D131" s="182"/>
      <c r="E131" s="120"/>
      <c r="F131" s="166"/>
      <c r="G131" s="25" t="str">
        <f>G124</f>
        <v>43.8</v>
      </c>
      <c r="H131" s="25" t="str">
        <f>H124</f>
        <v>43.8</v>
      </c>
      <c r="I131" s="25" t="s">
        <v>118</v>
      </c>
      <c r="J131" s="25" t="s">
        <v>190</v>
      </c>
      <c r="K131" s="26">
        <f t="array" ref="K131">MIN(IF((LEFT(TXRESULT!$C$1:$C$1004,30)='CH17-CH24'!$B$124)*(TXRESULT!$B$1:$B$1004='CH17-CH24'!J131),TXRESULT!$F$1:$F$1004,""))</f>
        <v>51.5</v>
      </c>
      <c r="L131" s="147"/>
      <c r="M131" s="27" t="str">
        <f t="shared" si="7"/>
        <v>PASS</v>
      </c>
      <c r="N131" s="27" t="str">
        <f t="shared" si="8"/>
        <v/>
      </c>
    </row>
    <row r="132" spans="1:14" ht="15.75" customHeight="1" x14ac:dyDescent="0.3">
      <c r="A132" s="115" t="s">
        <v>120</v>
      </c>
      <c r="B132" s="174" t="s">
        <v>245</v>
      </c>
      <c r="C132" s="175"/>
      <c r="D132" s="176"/>
      <c r="E132" s="132" t="s">
        <v>52</v>
      </c>
      <c r="F132" s="164" t="s">
        <v>111</v>
      </c>
      <c r="G132" s="173" t="s">
        <v>121</v>
      </c>
      <c r="H132" s="124"/>
      <c r="I132" s="125"/>
      <c r="J132" s="25" t="s">
        <v>183</v>
      </c>
      <c r="K132" s="4">
        <f t="array" ref="K132">MAX(IF((LEFT(TXRESULT!$C$1:$C$1000,33)='CH17-CH24'!$B$132)*(TXRESULT!$B$1:$B$1000='CH17-CH24'!J132)*(TXRESULT!$K$1:$K$1000="OBUE1"),TXRESULT!$F$1:$F$1000,""))</f>
        <v>0</v>
      </c>
      <c r="L132" s="145" t="s">
        <v>122</v>
      </c>
      <c r="M132" s="27" t="str">
        <f>IF(ISBLANK(K132),"",IF(AND(K132*1&lt;-12.2),"PASS","FAIL"))</f>
        <v>FAIL</v>
      </c>
      <c r="N132" s="27" t="str">
        <f t="shared" si="8"/>
        <v/>
      </c>
    </row>
    <row r="133" spans="1:14" x14ac:dyDescent="0.3">
      <c r="A133" s="116"/>
      <c r="B133" s="177"/>
      <c r="C133" s="178"/>
      <c r="D133" s="179"/>
      <c r="E133" s="119"/>
      <c r="F133" s="165"/>
      <c r="G133" s="126"/>
      <c r="H133" s="127"/>
      <c r="I133" s="128"/>
      <c r="J133" s="25" t="s">
        <v>184</v>
      </c>
      <c r="K133" s="4">
        <f t="array" ref="K133">MAX(IF((LEFT(TXRESULT!$C$1:$C$1000,33)='CH17-CH24'!$B$132)*(TXRESULT!$B$1:$B$1000='CH17-CH24'!J133)*(TXRESULT!$K$1:$K$1000="OBUE1"),TXRESULT!$F$1:$F$1000,""))</f>
        <v>0</v>
      </c>
      <c r="L133" s="146"/>
      <c r="M133" s="27" t="str">
        <f t="shared" ref="M133:M147" si="9">IF(ISBLANK(K133),"",IF(AND(K133*1&lt;-12.2),"PASS","FAIL"))</f>
        <v>FAIL</v>
      </c>
      <c r="N133" s="27" t="str">
        <f t="shared" si="8"/>
        <v/>
      </c>
    </row>
    <row r="134" spans="1:14" x14ac:dyDescent="0.3">
      <c r="A134" s="116"/>
      <c r="B134" s="177"/>
      <c r="C134" s="178"/>
      <c r="D134" s="179"/>
      <c r="E134" s="119"/>
      <c r="F134" s="165"/>
      <c r="G134" s="126"/>
      <c r="H134" s="127"/>
      <c r="I134" s="128"/>
      <c r="J134" s="25" t="s">
        <v>185</v>
      </c>
      <c r="K134" s="4">
        <f t="array" ref="K134">MAX(IF((LEFT(TXRESULT!$C$1:$C$1000,33)='CH17-CH24'!$B$132)*(TXRESULT!$B$1:$B$1000='CH17-CH24'!J134)*(TXRESULT!$K$1:$K$1000="OBUE1"),TXRESULT!$F$1:$F$1000,""))</f>
        <v>0</v>
      </c>
      <c r="L134" s="146"/>
      <c r="M134" s="27" t="str">
        <f t="shared" si="9"/>
        <v>FAIL</v>
      </c>
      <c r="N134" s="27" t="str">
        <f t="shared" si="8"/>
        <v/>
      </c>
    </row>
    <row r="135" spans="1:14" x14ac:dyDescent="0.3">
      <c r="A135" s="116"/>
      <c r="B135" s="177"/>
      <c r="C135" s="178"/>
      <c r="D135" s="179"/>
      <c r="E135" s="119"/>
      <c r="F135" s="165"/>
      <c r="G135" s="126"/>
      <c r="H135" s="127"/>
      <c r="I135" s="128"/>
      <c r="J135" s="25" t="s">
        <v>186</v>
      </c>
      <c r="K135" s="4">
        <f t="array" ref="K135">MAX(IF((LEFT(TXRESULT!$C$1:$C$1000,33)='CH17-CH24'!$B$132)*(TXRESULT!$B$1:$B$1000='CH17-CH24'!J135)*(TXRESULT!$K$1:$K$1000="OBUE1"),TXRESULT!$F$1:$F$1000,""))</f>
        <v>0</v>
      </c>
      <c r="L135" s="146"/>
      <c r="M135" s="27" t="str">
        <f t="shared" si="9"/>
        <v>FAIL</v>
      </c>
      <c r="N135" s="27" t="str">
        <f t="shared" si="8"/>
        <v/>
      </c>
    </row>
    <row r="136" spans="1:14" x14ac:dyDescent="0.3">
      <c r="A136" s="116"/>
      <c r="B136" s="177"/>
      <c r="C136" s="178"/>
      <c r="D136" s="179"/>
      <c r="E136" s="119"/>
      <c r="F136" s="165"/>
      <c r="G136" s="126"/>
      <c r="H136" s="127"/>
      <c r="I136" s="128"/>
      <c r="J136" s="25" t="s">
        <v>187</v>
      </c>
      <c r="K136" s="4">
        <f t="array" ref="K136">MAX(IF((LEFT(TXRESULT!$C$1:$C$1000,33)='CH17-CH24'!$B$132)*(TXRESULT!$B$1:$B$1000='CH17-CH24'!J136)*(TXRESULT!$K$1:$K$1000="OBUE1"),TXRESULT!$F$1:$F$1000,""))</f>
        <v>0</v>
      </c>
      <c r="L136" s="146"/>
      <c r="M136" s="27" t="str">
        <f t="shared" si="9"/>
        <v>FAIL</v>
      </c>
      <c r="N136" s="27" t="str">
        <f t="shared" si="8"/>
        <v/>
      </c>
    </row>
    <row r="137" spans="1:14" x14ac:dyDescent="0.3">
      <c r="A137" s="116"/>
      <c r="B137" s="177"/>
      <c r="C137" s="178"/>
      <c r="D137" s="179"/>
      <c r="E137" s="119"/>
      <c r="F137" s="165"/>
      <c r="G137" s="126"/>
      <c r="H137" s="127"/>
      <c r="I137" s="128"/>
      <c r="J137" s="25" t="s">
        <v>188</v>
      </c>
      <c r="K137" s="4">
        <f t="array" ref="K137">MAX(IF((LEFT(TXRESULT!$C$1:$C$1000,33)='CH17-CH24'!$B$132)*(TXRESULT!$B$1:$B$1000='CH17-CH24'!J137)*(TXRESULT!$K$1:$K$1000="OBUE1"),TXRESULT!$F$1:$F$1000,""))</f>
        <v>0</v>
      </c>
      <c r="L137" s="146"/>
      <c r="M137" s="27" t="str">
        <f t="shared" si="9"/>
        <v>FAIL</v>
      </c>
      <c r="N137" s="27" t="str">
        <f t="shared" si="8"/>
        <v/>
      </c>
    </row>
    <row r="138" spans="1:14" x14ac:dyDescent="0.3">
      <c r="A138" s="116"/>
      <c r="B138" s="177"/>
      <c r="C138" s="178"/>
      <c r="D138" s="179"/>
      <c r="E138" s="119"/>
      <c r="F138" s="165"/>
      <c r="G138" s="126"/>
      <c r="H138" s="127"/>
      <c r="I138" s="128"/>
      <c r="J138" s="25" t="s">
        <v>189</v>
      </c>
      <c r="K138" s="4">
        <f t="array" ref="K138">MAX(IF((LEFT(TXRESULT!$C$1:$C$1000,33)='CH17-CH24'!$B$132)*(TXRESULT!$B$1:$B$1000='CH17-CH24'!J138)*(TXRESULT!$K$1:$K$1000="OBUE1"),TXRESULT!$F$1:$F$1000,""))</f>
        <v>0</v>
      </c>
      <c r="L138" s="146"/>
      <c r="M138" s="27" t="str">
        <f t="shared" si="9"/>
        <v>FAIL</v>
      </c>
      <c r="N138" s="27" t="str">
        <f t="shared" si="8"/>
        <v/>
      </c>
    </row>
    <row r="139" spans="1:14" x14ac:dyDescent="0.3">
      <c r="A139" s="116"/>
      <c r="B139" s="177"/>
      <c r="C139" s="178"/>
      <c r="D139" s="179"/>
      <c r="E139" s="120"/>
      <c r="F139" s="165"/>
      <c r="G139" s="129"/>
      <c r="H139" s="130"/>
      <c r="I139" s="131"/>
      <c r="J139" s="25" t="s">
        <v>190</v>
      </c>
      <c r="K139" s="4">
        <f t="array" ref="K139">MAX(IF((LEFT(TXRESULT!$C$1:$C$1000,33)='CH17-CH24'!$B$132)*(TXRESULT!$B$1:$B$1000='CH17-CH24'!J139)*(TXRESULT!$K$1:$K$1000="OBUE1"),TXRESULT!$F$1:$F$1000,""))</f>
        <v>0</v>
      </c>
      <c r="L139" s="147"/>
      <c r="M139" s="27" t="str">
        <f t="shared" si="9"/>
        <v>FAIL</v>
      </c>
      <c r="N139" s="27" t="str">
        <f t="shared" si="8"/>
        <v/>
      </c>
    </row>
    <row r="140" spans="1:14" ht="15.75" customHeight="1" x14ac:dyDescent="0.3">
      <c r="A140" s="116"/>
      <c r="B140" s="177"/>
      <c r="C140" s="178"/>
      <c r="D140" s="179"/>
      <c r="E140" s="132" t="s">
        <v>52</v>
      </c>
      <c r="F140" s="165"/>
      <c r="G140" s="173" t="s">
        <v>123</v>
      </c>
      <c r="H140" s="124"/>
      <c r="I140" s="125"/>
      <c r="J140" s="25" t="s">
        <v>183</v>
      </c>
      <c r="K140" s="4">
        <f t="array" ref="K140">MAX(IF((LEFT(TXRESULT!$C$1:$C$1000,33)='CH17-CH24'!$B$132)*(TXRESULT!$B$1:$B$1000='CH17-CH24'!J140)*(TXRESULT!$K$1:$K$1000="OBUE2"),TXRESULT!$F$1:$F$1000,""))</f>
        <v>0</v>
      </c>
      <c r="L140" s="145" t="s">
        <v>122</v>
      </c>
      <c r="M140" s="27" t="str">
        <f t="shared" si="9"/>
        <v>FAIL</v>
      </c>
      <c r="N140" s="27" t="str">
        <f t="shared" si="8"/>
        <v/>
      </c>
    </row>
    <row r="141" spans="1:14" x14ac:dyDescent="0.3">
      <c r="A141" s="116"/>
      <c r="B141" s="177"/>
      <c r="C141" s="178"/>
      <c r="D141" s="179"/>
      <c r="E141" s="119"/>
      <c r="F141" s="165"/>
      <c r="G141" s="126"/>
      <c r="H141" s="127"/>
      <c r="I141" s="128"/>
      <c r="J141" s="25" t="s">
        <v>184</v>
      </c>
      <c r="K141" s="4">
        <f t="array" ref="K141">MAX(IF((LEFT(TXRESULT!$C$1:$C$1000,33)='CH17-CH24'!$B$132)*(TXRESULT!$B$1:$B$1000='CH17-CH24'!J141)*(TXRESULT!$K$1:$K$1000="OBUE2"),TXRESULT!$F$1:$F$1000,""))</f>
        <v>0</v>
      </c>
      <c r="L141" s="146"/>
      <c r="M141" s="27" t="str">
        <f t="shared" si="9"/>
        <v>FAIL</v>
      </c>
      <c r="N141" s="27" t="str">
        <f t="shared" si="8"/>
        <v/>
      </c>
    </row>
    <row r="142" spans="1:14" x14ac:dyDescent="0.3">
      <c r="A142" s="116"/>
      <c r="B142" s="177"/>
      <c r="C142" s="178"/>
      <c r="D142" s="179"/>
      <c r="E142" s="119"/>
      <c r="F142" s="165"/>
      <c r="G142" s="126"/>
      <c r="H142" s="127"/>
      <c r="I142" s="128"/>
      <c r="J142" s="25" t="s">
        <v>185</v>
      </c>
      <c r="K142" s="4">
        <f t="array" ref="K142">MAX(IF((LEFT(TXRESULT!$C$1:$C$1000,33)='CH17-CH24'!$B$132)*(TXRESULT!$B$1:$B$1000='CH17-CH24'!J142)*(TXRESULT!$K$1:$K$1000="OBUE2"),TXRESULT!$F$1:$F$1000,""))</f>
        <v>0</v>
      </c>
      <c r="L142" s="146"/>
      <c r="M142" s="27" t="str">
        <f t="shared" si="9"/>
        <v>FAIL</v>
      </c>
      <c r="N142" s="27" t="str">
        <f t="shared" si="8"/>
        <v/>
      </c>
    </row>
    <row r="143" spans="1:14" x14ac:dyDescent="0.3">
      <c r="A143" s="116"/>
      <c r="B143" s="177"/>
      <c r="C143" s="178"/>
      <c r="D143" s="179"/>
      <c r="E143" s="119"/>
      <c r="F143" s="165"/>
      <c r="G143" s="126"/>
      <c r="H143" s="127"/>
      <c r="I143" s="128"/>
      <c r="J143" s="25" t="s">
        <v>186</v>
      </c>
      <c r="K143" s="4">
        <f t="array" ref="K143">MAX(IF((LEFT(TXRESULT!$C$1:$C$1000,33)='CH17-CH24'!$B$132)*(TXRESULT!$B$1:$B$1000='CH17-CH24'!J143)*(TXRESULT!$K$1:$K$1000="OBUE2"),TXRESULT!$F$1:$F$1000,""))</f>
        <v>0</v>
      </c>
      <c r="L143" s="146"/>
      <c r="M143" s="27" t="str">
        <f t="shared" si="9"/>
        <v>FAIL</v>
      </c>
      <c r="N143" s="27" t="str">
        <f t="shared" si="8"/>
        <v/>
      </c>
    </row>
    <row r="144" spans="1:14" x14ac:dyDescent="0.3">
      <c r="A144" s="116"/>
      <c r="B144" s="177"/>
      <c r="C144" s="178"/>
      <c r="D144" s="179"/>
      <c r="E144" s="119"/>
      <c r="F144" s="165"/>
      <c r="G144" s="126"/>
      <c r="H144" s="127"/>
      <c r="I144" s="128"/>
      <c r="J144" s="25" t="s">
        <v>187</v>
      </c>
      <c r="K144" s="4">
        <f t="array" ref="K144">MAX(IF((LEFT(TXRESULT!$C$1:$C$1000,33)='CH17-CH24'!$B$132)*(TXRESULT!$B$1:$B$1000='CH17-CH24'!J144)*(TXRESULT!$K$1:$K$1000="OBUE2"),TXRESULT!$F$1:$F$1000,""))</f>
        <v>0</v>
      </c>
      <c r="L144" s="146"/>
      <c r="M144" s="27" t="str">
        <f t="shared" si="9"/>
        <v>FAIL</v>
      </c>
      <c r="N144" s="27" t="str">
        <f t="shared" si="8"/>
        <v/>
      </c>
    </row>
    <row r="145" spans="1:14" x14ac:dyDescent="0.3">
      <c r="A145" s="116"/>
      <c r="B145" s="177"/>
      <c r="C145" s="178"/>
      <c r="D145" s="179"/>
      <c r="E145" s="119"/>
      <c r="F145" s="165"/>
      <c r="G145" s="126"/>
      <c r="H145" s="127"/>
      <c r="I145" s="128"/>
      <c r="J145" s="25" t="s">
        <v>188</v>
      </c>
      <c r="K145" s="4">
        <f t="array" ref="K145">MAX(IF((LEFT(TXRESULT!$C$1:$C$1000,33)='CH17-CH24'!$B$132)*(TXRESULT!$B$1:$B$1000='CH17-CH24'!J145)*(TXRESULT!$K$1:$K$1000="OBUE2"),TXRESULT!$F$1:$F$1000,""))</f>
        <v>0</v>
      </c>
      <c r="L145" s="146"/>
      <c r="M145" s="27" t="str">
        <f t="shared" si="9"/>
        <v>FAIL</v>
      </c>
      <c r="N145" s="27" t="str">
        <f t="shared" si="8"/>
        <v/>
      </c>
    </row>
    <row r="146" spans="1:14" x14ac:dyDescent="0.3">
      <c r="A146" s="116"/>
      <c r="B146" s="177"/>
      <c r="C146" s="178"/>
      <c r="D146" s="179"/>
      <c r="E146" s="119"/>
      <c r="F146" s="165"/>
      <c r="G146" s="126"/>
      <c r="H146" s="127"/>
      <c r="I146" s="128"/>
      <c r="J146" s="25" t="s">
        <v>189</v>
      </c>
      <c r="K146" s="4">
        <f t="array" ref="K146">MAX(IF((LEFT(TXRESULT!$C$1:$C$1000,33)='CH17-CH24'!$B$132)*(TXRESULT!$B$1:$B$1000='CH17-CH24'!J146)*(TXRESULT!$K$1:$K$1000="OBUE2"),TXRESULT!$F$1:$F$1000,""))</f>
        <v>0</v>
      </c>
      <c r="L146" s="146"/>
      <c r="M146" s="27" t="str">
        <f t="shared" si="9"/>
        <v>FAIL</v>
      </c>
      <c r="N146" s="27" t="str">
        <f t="shared" si="8"/>
        <v/>
      </c>
    </row>
    <row r="147" spans="1:14" x14ac:dyDescent="0.3">
      <c r="A147" s="116"/>
      <c r="B147" s="177"/>
      <c r="C147" s="178"/>
      <c r="D147" s="179"/>
      <c r="E147" s="120"/>
      <c r="F147" s="165"/>
      <c r="G147" s="129"/>
      <c r="H147" s="130"/>
      <c r="I147" s="131"/>
      <c r="J147" s="25" t="s">
        <v>190</v>
      </c>
      <c r="K147" s="4">
        <f t="array" ref="K147">MAX(IF((LEFT(TXRESULT!$C$1:$C$1000,33)='CH17-CH24'!$B$132)*(TXRESULT!$B$1:$B$1000='CH17-CH24'!J147)*(TXRESULT!$K$1:$K$1000="OBUE2"),TXRESULT!$F$1:$F$1000,""))</f>
        <v>0</v>
      </c>
      <c r="L147" s="147"/>
      <c r="M147" s="27" t="str">
        <f t="shared" si="9"/>
        <v>FAIL</v>
      </c>
      <c r="N147" s="27" t="str">
        <f t="shared" si="8"/>
        <v/>
      </c>
    </row>
    <row r="148" spans="1:14" ht="15.75" customHeight="1" x14ac:dyDescent="0.3">
      <c r="A148" s="116"/>
      <c r="B148" s="177"/>
      <c r="C148" s="178"/>
      <c r="D148" s="179"/>
      <c r="E148" s="132" t="s">
        <v>52</v>
      </c>
      <c r="F148" s="165"/>
      <c r="G148" s="173" t="s">
        <v>124</v>
      </c>
      <c r="H148" s="124"/>
      <c r="I148" s="125"/>
      <c r="J148" s="25" t="s">
        <v>183</v>
      </c>
      <c r="K148" s="4">
        <f t="array" ref="K148">MAX(IF((LEFT(TXRESULT!$C$1:$C$1000,33)='CH17-CH24'!$B$132)*(TXRESULT!$B$1:$B$1000='CH17-CH24'!J148)*(TXRESULT!$K$1:$K$1000="OBUE3"),TXRESULT!$F$1:$F$1000,""))</f>
        <v>0</v>
      </c>
      <c r="L148" s="145" t="s">
        <v>122</v>
      </c>
      <c r="M148" s="27" t="str">
        <f>IF(ISBLANK(K148),"",IF(AND(K148*1&lt;-15),"PASS","FAIL"))</f>
        <v>FAIL</v>
      </c>
      <c r="N148" s="27" t="str">
        <f t="shared" si="8"/>
        <v/>
      </c>
    </row>
    <row r="149" spans="1:14" x14ac:dyDescent="0.3">
      <c r="A149" s="116"/>
      <c r="B149" s="177"/>
      <c r="C149" s="178"/>
      <c r="D149" s="179"/>
      <c r="E149" s="119"/>
      <c r="F149" s="165"/>
      <c r="G149" s="126"/>
      <c r="H149" s="127"/>
      <c r="I149" s="128"/>
      <c r="J149" s="25" t="s">
        <v>184</v>
      </c>
      <c r="K149" s="4">
        <f t="array" ref="K149">MAX(IF((LEFT(TXRESULT!$C$1:$C$1000,33)='CH17-CH24'!$B$132)*(TXRESULT!$B$1:$B$1000='CH17-CH24'!J149)*(TXRESULT!$K$1:$K$1000="OBUE3"),TXRESULT!$F$1:$F$1000,""))</f>
        <v>0</v>
      </c>
      <c r="L149" s="146"/>
      <c r="M149" s="27" t="str">
        <f t="shared" ref="M149:M155" si="10">IF(ISBLANK(K149),"",IF(AND(K149*1&lt;-15),"PASS","FAIL"))</f>
        <v>FAIL</v>
      </c>
      <c r="N149" s="27" t="str">
        <f t="shared" si="8"/>
        <v/>
      </c>
    </row>
    <row r="150" spans="1:14" x14ac:dyDescent="0.3">
      <c r="A150" s="116"/>
      <c r="B150" s="177"/>
      <c r="C150" s="178"/>
      <c r="D150" s="179"/>
      <c r="E150" s="119"/>
      <c r="F150" s="165"/>
      <c r="G150" s="126"/>
      <c r="H150" s="127"/>
      <c r="I150" s="128"/>
      <c r="J150" s="25" t="s">
        <v>185</v>
      </c>
      <c r="K150" s="4">
        <f t="array" ref="K150">MAX(IF((LEFT(TXRESULT!$C$1:$C$1000,33)='CH17-CH24'!$B$132)*(TXRESULT!$B$1:$B$1000='CH17-CH24'!J150)*(TXRESULT!$K$1:$K$1000="OBUE3"),TXRESULT!$F$1:$F$1000,""))</f>
        <v>0</v>
      </c>
      <c r="L150" s="146"/>
      <c r="M150" s="27" t="str">
        <f t="shared" si="10"/>
        <v>FAIL</v>
      </c>
      <c r="N150" s="27" t="str">
        <f t="shared" si="8"/>
        <v/>
      </c>
    </row>
    <row r="151" spans="1:14" x14ac:dyDescent="0.3">
      <c r="A151" s="116"/>
      <c r="B151" s="177"/>
      <c r="C151" s="178"/>
      <c r="D151" s="179"/>
      <c r="E151" s="119"/>
      <c r="F151" s="165"/>
      <c r="G151" s="126"/>
      <c r="H151" s="127"/>
      <c r="I151" s="128"/>
      <c r="J151" s="25" t="s">
        <v>186</v>
      </c>
      <c r="K151" s="4">
        <f t="array" ref="K151">MAX(IF((LEFT(TXRESULT!$C$1:$C$1000,33)='CH17-CH24'!$B$132)*(TXRESULT!$B$1:$B$1000='CH17-CH24'!J151)*(TXRESULT!$K$1:$K$1000="OBUE3"),TXRESULT!$F$1:$F$1000,""))</f>
        <v>0</v>
      </c>
      <c r="L151" s="146"/>
      <c r="M151" s="27" t="str">
        <f t="shared" si="10"/>
        <v>FAIL</v>
      </c>
      <c r="N151" s="27" t="str">
        <f t="shared" si="8"/>
        <v/>
      </c>
    </row>
    <row r="152" spans="1:14" x14ac:dyDescent="0.3">
      <c r="A152" s="116"/>
      <c r="B152" s="177"/>
      <c r="C152" s="178"/>
      <c r="D152" s="179"/>
      <c r="E152" s="119"/>
      <c r="F152" s="165"/>
      <c r="G152" s="126"/>
      <c r="H152" s="127"/>
      <c r="I152" s="128"/>
      <c r="J152" s="25" t="s">
        <v>187</v>
      </c>
      <c r="K152" s="4">
        <f t="array" ref="K152">MAX(IF((LEFT(TXRESULT!$C$1:$C$1000,33)='CH17-CH24'!$B$132)*(TXRESULT!$B$1:$B$1000='CH17-CH24'!J152)*(TXRESULT!$K$1:$K$1000="OBUE3"),TXRESULT!$F$1:$F$1000,""))</f>
        <v>0</v>
      </c>
      <c r="L152" s="146"/>
      <c r="M152" s="27" t="str">
        <f t="shared" si="10"/>
        <v>FAIL</v>
      </c>
      <c r="N152" s="27" t="str">
        <f t="shared" si="8"/>
        <v/>
      </c>
    </row>
    <row r="153" spans="1:14" x14ac:dyDescent="0.3">
      <c r="A153" s="116"/>
      <c r="B153" s="177"/>
      <c r="C153" s="178"/>
      <c r="D153" s="179"/>
      <c r="E153" s="119"/>
      <c r="F153" s="165"/>
      <c r="G153" s="126"/>
      <c r="H153" s="127"/>
      <c r="I153" s="128"/>
      <c r="J153" s="25" t="s">
        <v>188</v>
      </c>
      <c r="K153" s="4">
        <f t="array" ref="K153">MAX(IF((LEFT(TXRESULT!$C$1:$C$1000,33)='CH17-CH24'!$B$132)*(TXRESULT!$B$1:$B$1000='CH17-CH24'!J153)*(TXRESULT!$K$1:$K$1000="OBUE3"),TXRESULT!$F$1:$F$1000,""))</f>
        <v>0</v>
      </c>
      <c r="L153" s="146"/>
      <c r="M153" s="27" t="str">
        <f t="shared" si="10"/>
        <v>FAIL</v>
      </c>
      <c r="N153" s="27" t="str">
        <f t="shared" si="8"/>
        <v/>
      </c>
    </row>
    <row r="154" spans="1:14" x14ac:dyDescent="0.3">
      <c r="A154" s="116"/>
      <c r="B154" s="177"/>
      <c r="C154" s="178"/>
      <c r="D154" s="179"/>
      <c r="E154" s="119"/>
      <c r="F154" s="165"/>
      <c r="G154" s="126"/>
      <c r="H154" s="127"/>
      <c r="I154" s="128"/>
      <c r="J154" s="25" t="s">
        <v>189</v>
      </c>
      <c r="K154" s="4">
        <f t="array" ref="K154">MAX(IF((LEFT(TXRESULT!$C$1:$C$1000,33)='CH17-CH24'!$B$132)*(TXRESULT!$B$1:$B$1000='CH17-CH24'!J154)*(TXRESULT!$K$1:$K$1000="OBUE3"),TXRESULT!$F$1:$F$1000,""))</f>
        <v>0</v>
      </c>
      <c r="L154" s="146"/>
      <c r="M154" s="27" t="str">
        <f t="shared" si="10"/>
        <v>FAIL</v>
      </c>
      <c r="N154" s="27" t="str">
        <f t="shared" si="8"/>
        <v/>
      </c>
    </row>
    <row r="155" spans="1:14" x14ac:dyDescent="0.3">
      <c r="A155" s="117"/>
      <c r="B155" s="180"/>
      <c r="C155" s="181"/>
      <c r="D155" s="182"/>
      <c r="E155" s="120"/>
      <c r="F155" s="166"/>
      <c r="G155" s="129"/>
      <c r="H155" s="130"/>
      <c r="I155" s="131"/>
      <c r="J155" s="25" t="s">
        <v>190</v>
      </c>
      <c r="K155" s="4">
        <f t="array" ref="K155">MAX(IF((LEFT(TXRESULT!$C$1:$C$1000,33)='CH17-CH24'!$B$132)*(TXRESULT!$B$1:$B$1000='CH17-CH24'!J155)*(TXRESULT!$K$1:$K$1000="OBUE3"),TXRESULT!$F$1:$F$1000,""))</f>
        <v>0</v>
      </c>
      <c r="L155" s="147"/>
      <c r="M155" s="27" t="str">
        <f t="shared" si="10"/>
        <v>FAIL</v>
      </c>
      <c r="N155" s="27" t="str">
        <f t="shared" si="8"/>
        <v/>
      </c>
    </row>
    <row r="156" spans="1:14" ht="15.75" customHeight="1" x14ac:dyDescent="0.3">
      <c r="A156" s="115" t="s">
        <v>125</v>
      </c>
      <c r="B156" s="174" t="s">
        <v>260</v>
      </c>
      <c r="C156" s="175"/>
      <c r="D156" s="176"/>
      <c r="E156" s="132" t="s">
        <v>52</v>
      </c>
      <c r="F156" s="164" t="s">
        <v>53</v>
      </c>
      <c r="G156" s="123" t="s">
        <v>126</v>
      </c>
      <c r="H156" s="124"/>
      <c r="I156" s="125"/>
      <c r="J156" s="25" t="s">
        <v>183</v>
      </c>
      <c r="K156" s="27" t="e">
        <f t="array" ref="K156">INDEX(TXRESULT!$B$1:$I$1000,MATCH($B$156&amp;J156&amp;$F$156&amp;"SPUR1",TXRESULT!$C$1:$C$1000&amp;TXRESULT!$B$1:$B$1000&amp;TXRESULT!$H$1:$H$1000&amp;TXRESULT!$K$1:$K$1000,0),5)</f>
        <v>#N/A</v>
      </c>
      <c r="L156" s="145" t="s">
        <v>127</v>
      </c>
      <c r="M156" s="27" t="e">
        <f>IF(ISBLANK(K156),"",IF(AND(K156*1&lt;-36),"PASS","FAIL"))</f>
        <v>#N/A</v>
      </c>
      <c r="N156" s="27" t="str">
        <f t="shared" si="8"/>
        <v/>
      </c>
    </row>
    <row r="157" spans="1:14" x14ac:dyDescent="0.3">
      <c r="A157" s="116"/>
      <c r="B157" s="177"/>
      <c r="C157" s="178"/>
      <c r="D157" s="179"/>
      <c r="E157" s="119"/>
      <c r="F157" s="165"/>
      <c r="G157" s="126"/>
      <c r="H157" s="127"/>
      <c r="I157" s="128"/>
      <c r="J157" s="25" t="s">
        <v>184</v>
      </c>
      <c r="K157" s="27" t="e">
        <f t="array" ref="K157">INDEX(TXRESULT!$B$1:$I$1000,MATCH($B$156&amp;J157&amp;$F$156&amp;"SPUR1",TXRESULT!$C$1:$C$1000&amp;TXRESULT!$B$1:$B$1000&amp;TXRESULT!$H$1:$H$1000&amp;TXRESULT!$K$1:$K$1000,0),5)</f>
        <v>#N/A</v>
      </c>
      <c r="L157" s="146"/>
      <c r="M157" s="27" t="e">
        <f t="shared" ref="M157:M179" si="11">IF(ISBLANK(K157),"",IF(AND(K157*1&lt;-36),"PASS","FAIL"))</f>
        <v>#N/A</v>
      </c>
      <c r="N157" s="27" t="str">
        <f t="shared" si="8"/>
        <v/>
      </c>
    </row>
    <row r="158" spans="1:14" x14ac:dyDescent="0.3">
      <c r="A158" s="116"/>
      <c r="B158" s="177"/>
      <c r="C158" s="178"/>
      <c r="D158" s="179"/>
      <c r="E158" s="119"/>
      <c r="F158" s="165"/>
      <c r="G158" s="126"/>
      <c r="H158" s="127"/>
      <c r="I158" s="128"/>
      <c r="J158" s="25" t="s">
        <v>185</v>
      </c>
      <c r="K158" s="27" t="e">
        <f t="array" ref="K158">INDEX(TXRESULT!$B$1:$I$1000,MATCH($B$156&amp;J158&amp;$F$156&amp;"SPUR1",TXRESULT!$C$1:$C$1000&amp;TXRESULT!$B$1:$B$1000&amp;TXRESULT!$H$1:$H$1000&amp;TXRESULT!$K$1:$K$1000,0),5)</f>
        <v>#N/A</v>
      </c>
      <c r="L158" s="146"/>
      <c r="M158" s="27" t="e">
        <f t="shared" si="11"/>
        <v>#N/A</v>
      </c>
      <c r="N158" s="27" t="str">
        <f t="shared" si="8"/>
        <v/>
      </c>
    </row>
    <row r="159" spans="1:14" x14ac:dyDescent="0.3">
      <c r="A159" s="116"/>
      <c r="B159" s="177"/>
      <c r="C159" s="178"/>
      <c r="D159" s="179"/>
      <c r="E159" s="119"/>
      <c r="F159" s="165"/>
      <c r="G159" s="126"/>
      <c r="H159" s="127"/>
      <c r="I159" s="128"/>
      <c r="J159" s="25" t="s">
        <v>186</v>
      </c>
      <c r="K159" s="27" t="e">
        <f t="array" ref="K159">INDEX(TXRESULT!$B$1:$I$1000,MATCH($B$156&amp;J159&amp;$F$156&amp;"SPUR1",TXRESULT!$C$1:$C$1000&amp;TXRESULT!$B$1:$B$1000&amp;TXRESULT!$H$1:$H$1000&amp;TXRESULT!$K$1:$K$1000,0),5)</f>
        <v>#N/A</v>
      </c>
      <c r="L159" s="146"/>
      <c r="M159" s="27" t="e">
        <f t="shared" si="11"/>
        <v>#N/A</v>
      </c>
      <c r="N159" s="27" t="str">
        <f t="shared" si="8"/>
        <v/>
      </c>
    </row>
    <row r="160" spans="1:14" x14ac:dyDescent="0.3">
      <c r="A160" s="116"/>
      <c r="B160" s="177"/>
      <c r="C160" s="178"/>
      <c r="D160" s="179"/>
      <c r="E160" s="119"/>
      <c r="F160" s="165"/>
      <c r="G160" s="126"/>
      <c r="H160" s="127"/>
      <c r="I160" s="128"/>
      <c r="J160" s="25" t="s">
        <v>187</v>
      </c>
      <c r="K160" s="27" t="e">
        <f t="array" ref="K160">INDEX(TXRESULT!$B$1:$I$1000,MATCH($B$156&amp;J160&amp;$F$156&amp;"SPUR1",TXRESULT!$C$1:$C$1000&amp;TXRESULT!$B$1:$B$1000&amp;TXRESULT!$H$1:$H$1000&amp;TXRESULT!$K$1:$K$1000,0),5)</f>
        <v>#N/A</v>
      </c>
      <c r="L160" s="146"/>
      <c r="M160" s="27" t="e">
        <f t="shared" si="11"/>
        <v>#N/A</v>
      </c>
      <c r="N160" s="27" t="str">
        <f t="shared" si="8"/>
        <v/>
      </c>
    </row>
    <row r="161" spans="1:14" x14ac:dyDescent="0.3">
      <c r="A161" s="116"/>
      <c r="B161" s="177"/>
      <c r="C161" s="178"/>
      <c r="D161" s="179"/>
      <c r="E161" s="119"/>
      <c r="F161" s="165"/>
      <c r="G161" s="126"/>
      <c r="H161" s="127"/>
      <c r="I161" s="128"/>
      <c r="J161" s="25" t="s">
        <v>188</v>
      </c>
      <c r="K161" s="27" t="e">
        <f t="array" ref="K161">INDEX(TXRESULT!$B$1:$I$1000,MATCH($B$156&amp;J161&amp;$F$156&amp;"SPUR1",TXRESULT!$C$1:$C$1000&amp;TXRESULT!$B$1:$B$1000&amp;TXRESULT!$H$1:$H$1000&amp;TXRESULT!$K$1:$K$1000,0),5)</f>
        <v>#N/A</v>
      </c>
      <c r="L161" s="146"/>
      <c r="M161" s="27" t="e">
        <f t="shared" si="11"/>
        <v>#N/A</v>
      </c>
      <c r="N161" s="27" t="str">
        <f t="shared" ref="N161:N235" si="12">IF(ISBLANK(K161),"CHUADO","")</f>
        <v/>
      </c>
    </row>
    <row r="162" spans="1:14" x14ac:dyDescent="0.3">
      <c r="A162" s="116"/>
      <c r="B162" s="177"/>
      <c r="C162" s="178"/>
      <c r="D162" s="179"/>
      <c r="E162" s="119"/>
      <c r="F162" s="165"/>
      <c r="G162" s="126"/>
      <c r="H162" s="127"/>
      <c r="I162" s="128"/>
      <c r="J162" s="25" t="s">
        <v>189</v>
      </c>
      <c r="K162" s="27" t="e">
        <f t="array" ref="K162">INDEX(TXRESULT!$B$1:$I$1000,MATCH($B$156&amp;J162&amp;$F$156&amp;"SPUR1",TXRESULT!$C$1:$C$1000&amp;TXRESULT!$B$1:$B$1000&amp;TXRESULT!$H$1:$H$1000&amp;TXRESULT!$K$1:$K$1000,0),5)</f>
        <v>#N/A</v>
      </c>
      <c r="L162" s="146"/>
      <c r="M162" s="27" t="e">
        <f t="shared" si="11"/>
        <v>#N/A</v>
      </c>
      <c r="N162" s="27" t="str">
        <f t="shared" si="12"/>
        <v/>
      </c>
    </row>
    <row r="163" spans="1:14" x14ac:dyDescent="0.3">
      <c r="A163" s="116"/>
      <c r="B163" s="177"/>
      <c r="C163" s="178"/>
      <c r="D163" s="179"/>
      <c r="E163" s="120"/>
      <c r="F163" s="166"/>
      <c r="G163" s="129"/>
      <c r="H163" s="130"/>
      <c r="I163" s="131"/>
      <c r="J163" s="25" t="s">
        <v>190</v>
      </c>
      <c r="K163" s="27" t="e">
        <f t="array" ref="K163">INDEX(TXRESULT!$B$1:$I$1000,MATCH($B$156&amp;J163&amp;$F$156&amp;"SPUR1",TXRESULT!$C$1:$C$1000&amp;TXRESULT!$B$1:$B$1000&amp;TXRESULT!$H$1:$H$1000&amp;TXRESULT!$K$1:$K$1000,0),5)</f>
        <v>#N/A</v>
      </c>
      <c r="L163" s="147"/>
      <c r="M163" s="27" t="e">
        <f t="shared" si="11"/>
        <v>#N/A</v>
      </c>
      <c r="N163" s="27" t="str">
        <f t="shared" si="12"/>
        <v/>
      </c>
    </row>
    <row r="164" spans="1:14" ht="15.75" customHeight="1" x14ac:dyDescent="0.3">
      <c r="A164" s="116"/>
      <c r="B164" s="177"/>
      <c r="C164" s="178"/>
      <c r="D164" s="179"/>
      <c r="E164" s="132" t="s">
        <v>52</v>
      </c>
      <c r="F164" s="164" t="s">
        <v>53</v>
      </c>
      <c r="G164" s="123" t="s">
        <v>128</v>
      </c>
      <c r="H164" s="124"/>
      <c r="I164" s="125"/>
      <c r="J164" s="25" t="s">
        <v>183</v>
      </c>
      <c r="K164" s="27" t="e">
        <f t="array" ref="K164">INDEX(TXRESULT!$B$1:$I$1000,MATCH($B$156&amp;J156&amp;$F$156&amp;"SPUR2",TXRESULT!$C$1:$C$1000&amp;TXRESULT!$B$1:$B$1000&amp;TXRESULT!$H$1:$H$1000&amp;TXRESULT!$K$1:$K$1000,0),5)</f>
        <v>#N/A</v>
      </c>
      <c r="L164" s="145" t="s">
        <v>127</v>
      </c>
      <c r="M164" s="27" t="e">
        <f>IF(ISBLANK(K164),"",IF(AND(K164*1&lt;-36),"PASS","FAIL"))</f>
        <v>#N/A</v>
      </c>
      <c r="N164" s="27" t="str">
        <f t="shared" si="12"/>
        <v/>
      </c>
    </row>
    <row r="165" spans="1:14" x14ac:dyDescent="0.3">
      <c r="A165" s="116"/>
      <c r="B165" s="177"/>
      <c r="C165" s="178"/>
      <c r="D165" s="179"/>
      <c r="E165" s="119"/>
      <c r="F165" s="165"/>
      <c r="G165" s="126"/>
      <c r="H165" s="127"/>
      <c r="I165" s="128"/>
      <c r="J165" s="25" t="s">
        <v>184</v>
      </c>
      <c r="K165" s="27" t="e">
        <f t="array" ref="K165">INDEX(TXRESULT!$B$1:$I$1000,MATCH($B$156&amp;J157&amp;$F$156&amp;"SPUR2",TXRESULT!$C$1:$C$1000&amp;TXRESULT!$B$1:$B$1000&amp;TXRESULT!$H$1:$H$1000&amp;TXRESULT!$K$1:$K$1000,0),5)</f>
        <v>#N/A</v>
      </c>
      <c r="L165" s="146"/>
      <c r="M165" s="27" t="e">
        <f t="shared" si="11"/>
        <v>#N/A</v>
      </c>
      <c r="N165" s="27" t="str">
        <f t="shared" si="12"/>
        <v/>
      </c>
    </row>
    <row r="166" spans="1:14" x14ac:dyDescent="0.3">
      <c r="A166" s="116"/>
      <c r="B166" s="177"/>
      <c r="C166" s="178"/>
      <c r="D166" s="179"/>
      <c r="E166" s="119"/>
      <c r="F166" s="165"/>
      <c r="G166" s="126"/>
      <c r="H166" s="127"/>
      <c r="I166" s="128"/>
      <c r="J166" s="25" t="s">
        <v>185</v>
      </c>
      <c r="K166" s="27" t="e">
        <f t="array" ref="K166">INDEX(TXRESULT!$B$1:$I$1000,MATCH($B$156&amp;J158&amp;$F$156&amp;"SPUR2",TXRESULT!$C$1:$C$1000&amp;TXRESULT!$B$1:$B$1000&amp;TXRESULT!$H$1:$H$1000&amp;TXRESULT!$K$1:$K$1000,0),5)</f>
        <v>#N/A</v>
      </c>
      <c r="L166" s="146"/>
      <c r="M166" s="27" t="e">
        <f t="shared" si="11"/>
        <v>#N/A</v>
      </c>
      <c r="N166" s="27" t="str">
        <f t="shared" si="12"/>
        <v/>
      </c>
    </row>
    <row r="167" spans="1:14" x14ac:dyDescent="0.3">
      <c r="A167" s="116"/>
      <c r="B167" s="177"/>
      <c r="C167" s="178"/>
      <c r="D167" s="179"/>
      <c r="E167" s="119"/>
      <c r="F167" s="165"/>
      <c r="G167" s="126"/>
      <c r="H167" s="127"/>
      <c r="I167" s="128"/>
      <c r="J167" s="25" t="s">
        <v>186</v>
      </c>
      <c r="K167" s="27" t="e">
        <f t="array" ref="K167">INDEX(TXRESULT!$B$1:$I$1000,MATCH($B$156&amp;J159&amp;$F$156&amp;"SPUR2",TXRESULT!$C$1:$C$1000&amp;TXRESULT!$B$1:$B$1000&amp;TXRESULT!$H$1:$H$1000&amp;TXRESULT!$K$1:$K$1000,0),5)</f>
        <v>#N/A</v>
      </c>
      <c r="L167" s="146"/>
      <c r="M167" s="27" t="e">
        <f t="shared" si="11"/>
        <v>#N/A</v>
      </c>
      <c r="N167" s="27" t="str">
        <f t="shared" si="12"/>
        <v/>
      </c>
    </row>
    <row r="168" spans="1:14" x14ac:dyDescent="0.3">
      <c r="A168" s="116"/>
      <c r="B168" s="177"/>
      <c r="C168" s="178"/>
      <c r="D168" s="179"/>
      <c r="E168" s="119"/>
      <c r="F168" s="165"/>
      <c r="G168" s="126"/>
      <c r="H168" s="127"/>
      <c r="I168" s="128"/>
      <c r="J168" s="25" t="s">
        <v>187</v>
      </c>
      <c r="K168" s="27" t="e">
        <f t="array" ref="K168">INDEX(TXRESULT!$B$1:$I$1000,MATCH($B$156&amp;J160&amp;$F$156&amp;"SPUR2",TXRESULT!$C$1:$C$1000&amp;TXRESULT!$B$1:$B$1000&amp;TXRESULT!$H$1:$H$1000&amp;TXRESULT!$K$1:$K$1000,0),5)</f>
        <v>#N/A</v>
      </c>
      <c r="L168" s="146"/>
      <c r="M168" s="27" t="e">
        <f t="shared" si="11"/>
        <v>#N/A</v>
      </c>
      <c r="N168" s="27" t="str">
        <f t="shared" si="12"/>
        <v/>
      </c>
    </row>
    <row r="169" spans="1:14" x14ac:dyDescent="0.3">
      <c r="A169" s="116"/>
      <c r="B169" s="177"/>
      <c r="C169" s="178"/>
      <c r="D169" s="179"/>
      <c r="E169" s="119"/>
      <c r="F169" s="165"/>
      <c r="G169" s="126"/>
      <c r="H169" s="127"/>
      <c r="I169" s="128"/>
      <c r="J169" s="25" t="s">
        <v>188</v>
      </c>
      <c r="K169" s="27" t="e">
        <f t="array" ref="K169">INDEX(TXRESULT!$B$1:$I$1000,MATCH($B$156&amp;J161&amp;$F$156&amp;"SPUR2",TXRESULT!$C$1:$C$1000&amp;TXRESULT!$B$1:$B$1000&amp;TXRESULT!$H$1:$H$1000&amp;TXRESULT!$K$1:$K$1000,0),5)</f>
        <v>#N/A</v>
      </c>
      <c r="L169" s="146"/>
      <c r="M169" s="27" t="e">
        <f t="shared" si="11"/>
        <v>#N/A</v>
      </c>
      <c r="N169" s="27" t="str">
        <f t="shared" si="12"/>
        <v/>
      </c>
    </row>
    <row r="170" spans="1:14" x14ac:dyDescent="0.3">
      <c r="A170" s="116"/>
      <c r="B170" s="177"/>
      <c r="C170" s="178"/>
      <c r="D170" s="179"/>
      <c r="E170" s="119"/>
      <c r="F170" s="165"/>
      <c r="G170" s="126"/>
      <c r="H170" s="127"/>
      <c r="I170" s="128"/>
      <c r="J170" s="25" t="s">
        <v>189</v>
      </c>
      <c r="K170" s="27" t="e">
        <f t="array" ref="K170">INDEX(TXRESULT!$B$1:$I$1000,MATCH($B$156&amp;J162&amp;$F$156&amp;"SPUR2",TXRESULT!$C$1:$C$1000&amp;TXRESULT!$B$1:$B$1000&amp;TXRESULT!$H$1:$H$1000&amp;TXRESULT!$K$1:$K$1000,0),5)</f>
        <v>#N/A</v>
      </c>
      <c r="L170" s="146"/>
      <c r="M170" s="27" t="e">
        <f t="shared" si="11"/>
        <v>#N/A</v>
      </c>
      <c r="N170" s="27" t="str">
        <f t="shared" si="12"/>
        <v/>
      </c>
    </row>
    <row r="171" spans="1:14" x14ac:dyDescent="0.3">
      <c r="A171" s="116"/>
      <c r="B171" s="177"/>
      <c r="C171" s="178"/>
      <c r="D171" s="179"/>
      <c r="E171" s="120"/>
      <c r="F171" s="166"/>
      <c r="G171" s="129"/>
      <c r="H171" s="130"/>
      <c r="I171" s="131"/>
      <c r="J171" s="25" t="s">
        <v>190</v>
      </c>
      <c r="K171" s="27" t="e">
        <f t="array" ref="K171">INDEX(TXRESULT!$B$1:$I$1000,MATCH($B$156&amp;J163&amp;$F$156&amp;"SPUR2",TXRESULT!$C$1:$C$1000&amp;TXRESULT!$B$1:$B$1000&amp;TXRESULT!$H$1:$H$1000&amp;TXRESULT!$K$1:$K$1000,0),5)</f>
        <v>#N/A</v>
      </c>
      <c r="L171" s="147"/>
      <c r="M171" s="27" t="e">
        <f t="shared" si="11"/>
        <v>#N/A</v>
      </c>
      <c r="N171" s="27" t="str">
        <f t="shared" si="12"/>
        <v/>
      </c>
    </row>
    <row r="172" spans="1:14" ht="15.75" customHeight="1" x14ac:dyDescent="0.3">
      <c r="A172" s="116"/>
      <c r="B172" s="177"/>
      <c r="C172" s="178"/>
      <c r="D172" s="179"/>
      <c r="E172" s="132" t="s">
        <v>52</v>
      </c>
      <c r="F172" s="164" t="s">
        <v>53</v>
      </c>
      <c r="G172" s="123" t="s">
        <v>129</v>
      </c>
      <c r="H172" s="124"/>
      <c r="I172" s="125"/>
      <c r="J172" s="25" t="s">
        <v>183</v>
      </c>
      <c r="K172" s="27" t="e">
        <f t="array" ref="K172">INDEX(TXRESULT!$B$1:$I$1000,MATCH($B$156&amp;J156&amp;$F$156&amp;"SPUR3",TXRESULT!$C$1:$C$1000&amp;TXRESULT!$B$1:$B$1000&amp;TXRESULT!$H$1:$H$1000&amp;TXRESULT!$K$1:$K$1000,0),5)</f>
        <v>#N/A</v>
      </c>
      <c r="L172" s="145" t="s">
        <v>127</v>
      </c>
      <c r="M172" s="27" t="e">
        <f>IF(ISBLANK(K172),"",IF(AND(K172*1&lt;-36),"PASS","FAIL"))</f>
        <v>#N/A</v>
      </c>
      <c r="N172" s="27" t="str">
        <f t="shared" si="12"/>
        <v/>
      </c>
    </row>
    <row r="173" spans="1:14" x14ac:dyDescent="0.3">
      <c r="A173" s="116"/>
      <c r="B173" s="177"/>
      <c r="C173" s="178"/>
      <c r="D173" s="179"/>
      <c r="E173" s="119"/>
      <c r="F173" s="165"/>
      <c r="G173" s="126"/>
      <c r="H173" s="127"/>
      <c r="I173" s="128"/>
      <c r="J173" s="25" t="s">
        <v>184</v>
      </c>
      <c r="K173" s="27" t="e">
        <f t="array" ref="K173">INDEX(TXRESULT!$B$1:$I$1000,MATCH($B$156&amp;J157&amp;$F$156&amp;"SPUR3",TXRESULT!$C$1:$C$1000&amp;TXRESULT!$B$1:$B$1000&amp;TXRESULT!$H$1:$H$1000&amp;TXRESULT!$K$1:$K$1000,0),5)</f>
        <v>#N/A</v>
      </c>
      <c r="L173" s="146"/>
      <c r="M173" s="27" t="e">
        <f t="shared" si="11"/>
        <v>#N/A</v>
      </c>
      <c r="N173" s="27" t="str">
        <f t="shared" si="12"/>
        <v/>
      </c>
    </row>
    <row r="174" spans="1:14" x14ac:dyDescent="0.3">
      <c r="A174" s="116"/>
      <c r="B174" s="177"/>
      <c r="C174" s="178"/>
      <c r="D174" s="179"/>
      <c r="E174" s="119"/>
      <c r="F174" s="165"/>
      <c r="G174" s="126"/>
      <c r="H174" s="127"/>
      <c r="I174" s="128"/>
      <c r="J174" s="25" t="s">
        <v>185</v>
      </c>
      <c r="K174" s="27" t="e">
        <f t="array" ref="K174">INDEX(TXRESULT!$B$1:$I$1000,MATCH($B$156&amp;J158&amp;$F$156&amp;"SPUR3",TXRESULT!$C$1:$C$1000&amp;TXRESULT!$B$1:$B$1000&amp;TXRESULT!$H$1:$H$1000&amp;TXRESULT!$K$1:$K$1000,0),5)</f>
        <v>#N/A</v>
      </c>
      <c r="L174" s="146"/>
      <c r="M174" s="27" t="e">
        <f t="shared" si="11"/>
        <v>#N/A</v>
      </c>
      <c r="N174" s="27" t="str">
        <f t="shared" si="12"/>
        <v/>
      </c>
    </row>
    <row r="175" spans="1:14" x14ac:dyDescent="0.3">
      <c r="A175" s="116"/>
      <c r="B175" s="177"/>
      <c r="C175" s="178"/>
      <c r="D175" s="179"/>
      <c r="E175" s="119"/>
      <c r="F175" s="165"/>
      <c r="G175" s="126"/>
      <c r="H175" s="127"/>
      <c r="I175" s="128"/>
      <c r="J175" s="25" t="s">
        <v>186</v>
      </c>
      <c r="K175" s="27" t="e">
        <f t="array" ref="K175">INDEX(TXRESULT!$B$1:$I$1000,MATCH($B$156&amp;J159&amp;$F$156&amp;"SPUR3",TXRESULT!$C$1:$C$1000&amp;TXRESULT!$B$1:$B$1000&amp;TXRESULT!$H$1:$H$1000&amp;TXRESULT!$K$1:$K$1000,0),5)</f>
        <v>#N/A</v>
      </c>
      <c r="L175" s="146"/>
      <c r="M175" s="27" t="e">
        <f t="shared" si="11"/>
        <v>#N/A</v>
      </c>
      <c r="N175" s="27" t="str">
        <f t="shared" si="12"/>
        <v/>
      </c>
    </row>
    <row r="176" spans="1:14" x14ac:dyDescent="0.3">
      <c r="A176" s="116"/>
      <c r="B176" s="177"/>
      <c r="C176" s="178"/>
      <c r="D176" s="179"/>
      <c r="E176" s="119"/>
      <c r="F176" s="165"/>
      <c r="G176" s="126"/>
      <c r="H176" s="127"/>
      <c r="I176" s="128"/>
      <c r="J176" s="25" t="s">
        <v>187</v>
      </c>
      <c r="K176" s="27" t="e">
        <f t="array" ref="K176">INDEX(TXRESULT!$B$1:$I$1000,MATCH($B$156&amp;J160&amp;$F$156&amp;"SPUR3",TXRESULT!$C$1:$C$1000&amp;TXRESULT!$B$1:$B$1000&amp;TXRESULT!$H$1:$H$1000&amp;TXRESULT!$K$1:$K$1000,0),5)</f>
        <v>#N/A</v>
      </c>
      <c r="L176" s="146"/>
      <c r="M176" s="27" t="e">
        <f t="shared" si="11"/>
        <v>#N/A</v>
      </c>
      <c r="N176" s="27" t="str">
        <f t="shared" si="12"/>
        <v/>
      </c>
    </row>
    <row r="177" spans="1:14" x14ac:dyDescent="0.3">
      <c r="A177" s="116"/>
      <c r="B177" s="177"/>
      <c r="C177" s="178"/>
      <c r="D177" s="179"/>
      <c r="E177" s="119"/>
      <c r="F177" s="165"/>
      <c r="G177" s="126"/>
      <c r="H177" s="127"/>
      <c r="I177" s="128"/>
      <c r="J177" s="25" t="s">
        <v>188</v>
      </c>
      <c r="K177" s="27" t="e">
        <f t="array" ref="K177">INDEX(TXRESULT!$B$1:$I$1000,MATCH($B$156&amp;J161&amp;$F$156&amp;"SPUR3",TXRESULT!$C$1:$C$1000&amp;TXRESULT!$B$1:$B$1000&amp;TXRESULT!$H$1:$H$1000&amp;TXRESULT!$K$1:$K$1000,0),5)</f>
        <v>#N/A</v>
      </c>
      <c r="L177" s="146"/>
      <c r="M177" s="27" t="e">
        <f t="shared" si="11"/>
        <v>#N/A</v>
      </c>
      <c r="N177" s="27" t="str">
        <f t="shared" si="12"/>
        <v/>
      </c>
    </row>
    <row r="178" spans="1:14" x14ac:dyDescent="0.3">
      <c r="A178" s="116"/>
      <c r="B178" s="177"/>
      <c r="C178" s="178"/>
      <c r="D178" s="179"/>
      <c r="E178" s="119"/>
      <c r="F178" s="165"/>
      <c r="G178" s="126"/>
      <c r="H178" s="127"/>
      <c r="I178" s="128"/>
      <c r="J178" s="25" t="s">
        <v>189</v>
      </c>
      <c r="K178" s="27" t="e">
        <f t="array" ref="K178">INDEX(TXRESULT!$B$1:$I$1000,MATCH($B$156&amp;J162&amp;$F$156&amp;"SPUR3",TXRESULT!$C$1:$C$1000&amp;TXRESULT!$B$1:$B$1000&amp;TXRESULT!$H$1:$H$1000&amp;TXRESULT!$K$1:$K$1000,0),5)</f>
        <v>#N/A</v>
      </c>
      <c r="L178" s="146"/>
      <c r="M178" s="27" t="e">
        <f t="shared" si="11"/>
        <v>#N/A</v>
      </c>
      <c r="N178" s="27" t="str">
        <f t="shared" si="12"/>
        <v/>
      </c>
    </row>
    <row r="179" spans="1:14" x14ac:dyDescent="0.3">
      <c r="A179" s="116"/>
      <c r="B179" s="177"/>
      <c r="C179" s="178"/>
      <c r="D179" s="179"/>
      <c r="E179" s="120"/>
      <c r="F179" s="166"/>
      <c r="G179" s="129"/>
      <c r="H179" s="130"/>
      <c r="I179" s="131"/>
      <c r="J179" s="25" t="s">
        <v>190</v>
      </c>
      <c r="K179" s="27" t="e">
        <f t="array" ref="K179">INDEX(TXRESULT!$B$1:$I$1000,MATCH($B$156&amp;J163&amp;$F$156&amp;"SPUR3",TXRESULT!$C$1:$C$1000&amp;TXRESULT!$B$1:$B$1000&amp;TXRESULT!$H$1:$H$1000&amp;TXRESULT!$K$1:$K$1000,0),5)</f>
        <v>#N/A</v>
      </c>
      <c r="L179" s="147"/>
      <c r="M179" s="27" t="e">
        <f t="shared" si="11"/>
        <v>#N/A</v>
      </c>
      <c r="N179" s="27" t="str">
        <f t="shared" si="12"/>
        <v/>
      </c>
    </row>
    <row r="180" spans="1:14" ht="15.75" customHeight="1" x14ac:dyDescent="0.3">
      <c r="A180" s="116"/>
      <c r="B180" s="177"/>
      <c r="C180" s="178"/>
      <c r="D180" s="179"/>
      <c r="E180" s="132" t="s">
        <v>52</v>
      </c>
      <c r="F180" s="164" t="s">
        <v>53</v>
      </c>
      <c r="G180" s="123" t="s">
        <v>130</v>
      </c>
      <c r="H180" s="124"/>
      <c r="I180" s="125"/>
      <c r="J180" s="25" t="s">
        <v>183</v>
      </c>
      <c r="K180" s="27" t="e">
        <f t="array" ref="K180">INDEX(TXRESULT!$B$1:$I$1000,MATCH($B$156&amp;J156&amp;$F$156&amp;"SPUR4",TXRESULT!$C$1:$C$1000&amp;TXRESULT!$B$1:$B$1000&amp;TXRESULT!$H$1:$H$1000&amp;TXRESULT!$K$1:$K$1000,0),5)</f>
        <v>#N/A</v>
      </c>
      <c r="L180" s="145" t="s">
        <v>127</v>
      </c>
      <c r="M180" s="27" t="e">
        <f>IF(ISBLANK(K180),"",IF(AND(K180*1&lt;-30),"PASS","FAIL"))</f>
        <v>#N/A</v>
      </c>
      <c r="N180" s="27" t="str">
        <f t="shared" si="12"/>
        <v/>
      </c>
    </row>
    <row r="181" spans="1:14" x14ac:dyDescent="0.3">
      <c r="A181" s="116"/>
      <c r="B181" s="177"/>
      <c r="C181" s="178"/>
      <c r="D181" s="179"/>
      <c r="E181" s="119"/>
      <c r="F181" s="165"/>
      <c r="G181" s="126"/>
      <c r="H181" s="127"/>
      <c r="I181" s="128"/>
      <c r="J181" s="25" t="s">
        <v>184</v>
      </c>
      <c r="K181" s="27" t="e">
        <f t="array" ref="K181">INDEX(TXRESULT!$B$1:$I$1000,MATCH($B$156&amp;J157&amp;$F$156&amp;"SPUR4",TXRESULT!$C$1:$C$1000&amp;TXRESULT!$B$1:$B$1000&amp;TXRESULT!$H$1:$H$1000&amp;TXRESULT!$K$1:$K$1000,0),5)</f>
        <v>#N/A</v>
      </c>
      <c r="L181" s="146"/>
      <c r="M181" s="27" t="e">
        <f t="shared" ref="M181:M187" si="13">IF(ISBLANK(K181),"",IF(AND(K181*1&lt;-30),"PASS","FAIL"))</f>
        <v>#N/A</v>
      </c>
      <c r="N181" s="27" t="str">
        <f t="shared" si="12"/>
        <v/>
      </c>
    </row>
    <row r="182" spans="1:14" x14ac:dyDescent="0.3">
      <c r="A182" s="116"/>
      <c r="B182" s="177"/>
      <c r="C182" s="178"/>
      <c r="D182" s="179"/>
      <c r="E182" s="119"/>
      <c r="F182" s="165"/>
      <c r="G182" s="126"/>
      <c r="H182" s="127"/>
      <c r="I182" s="128"/>
      <c r="J182" s="25" t="s">
        <v>185</v>
      </c>
      <c r="K182" s="27" t="e">
        <f t="array" ref="K182">INDEX(TXRESULT!$B$1:$I$1000,MATCH($B$156&amp;J158&amp;$F$156&amp;"SPUR4",TXRESULT!$C$1:$C$1000&amp;TXRESULT!$B$1:$B$1000&amp;TXRESULT!$H$1:$H$1000&amp;TXRESULT!$K$1:$K$1000,0),5)</f>
        <v>#N/A</v>
      </c>
      <c r="L182" s="146"/>
      <c r="M182" s="27" t="e">
        <f t="shared" si="13"/>
        <v>#N/A</v>
      </c>
      <c r="N182" s="27" t="str">
        <f t="shared" si="12"/>
        <v/>
      </c>
    </row>
    <row r="183" spans="1:14" x14ac:dyDescent="0.3">
      <c r="A183" s="116"/>
      <c r="B183" s="177"/>
      <c r="C183" s="178"/>
      <c r="D183" s="179"/>
      <c r="E183" s="119"/>
      <c r="F183" s="165"/>
      <c r="G183" s="126"/>
      <c r="H183" s="127"/>
      <c r="I183" s="128"/>
      <c r="J183" s="25" t="s">
        <v>186</v>
      </c>
      <c r="K183" s="27" t="e">
        <f t="array" ref="K183">INDEX(TXRESULT!$B$1:$I$1000,MATCH($B$156&amp;J159&amp;$F$156&amp;"SPUR4",TXRESULT!$C$1:$C$1000&amp;TXRESULT!$B$1:$B$1000&amp;TXRESULT!$H$1:$H$1000&amp;TXRESULT!$K$1:$K$1000,0),5)</f>
        <v>#N/A</v>
      </c>
      <c r="L183" s="146"/>
      <c r="M183" s="27" t="e">
        <f t="shared" si="13"/>
        <v>#N/A</v>
      </c>
      <c r="N183" s="27" t="str">
        <f t="shared" si="12"/>
        <v/>
      </c>
    </row>
    <row r="184" spans="1:14" x14ac:dyDescent="0.3">
      <c r="A184" s="116"/>
      <c r="B184" s="177"/>
      <c r="C184" s="178"/>
      <c r="D184" s="179"/>
      <c r="E184" s="119"/>
      <c r="F184" s="165"/>
      <c r="G184" s="126"/>
      <c r="H184" s="127"/>
      <c r="I184" s="128"/>
      <c r="J184" s="25" t="s">
        <v>187</v>
      </c>
      <c r="K184" s="27" t="e">
        <f t="array" ref="K184">INDEX(TXRESULT!$B$1:$I$1000,MATCH($B$156&amp;J160&amp;$F$156&amp;"SPUR4",TXRESULT!$C$1:$C$1000&amp;TXRESULT!$B$1:$B$1000&amp;TXRESULT!$H$1:$H$1000&amp;TXRESULT!$K$1:$K$1000,0),5)</f>
        <v>#N/A</v>
      </c>
      <c r="L184" s="146"/>
      <c r="M184" s="27" t="e">
        <f t="shared" si="13"/>
        <v>#N/A</v>
      </c>
      <c r="N184" s="27" t="str">
        <f t="shared" si="12"/>
        <v/>
      </c>
    </row>
    <row r="185" spans="1:14" x14ac:dyDescent="0.3">
      <c r="A185" s="116"/>
      <c r="B185" s="177"/>
      <c r="C185" s="178"/>
      <c r="D185" s="179"/>
      <c r="E185" s="119"/>
      <c r="F185" s="165"/>
      <c r="G185" s="126"/>
      <c r="H185" s="127"/>
      <c r="I185" s="128"/>
      <c r="J185" s="25" t="s">
        <v>188</v>
      </c>
      <c r="K185" s="27" t="e">
        <f t="array" ref="K185">INDEX(TXRESULT!$B$1:$I$1000,MATCH($B$156&amp;J161&amp;$F$156&amp;"SPUR4",TXRESULT!$C$1:$C$1000&amp;TXRESULT!$B$1:$B$1000&amp;TXRESULT!$H$1:$H$1000&amp;TXRESULT!$K$1:$K$1000,0),5)</f>
        <v>#N/A</v>
      </c>
      <c r="L185" s="146"/>
      <c r="M185" s="27" t="e">
        <f t="shared" si="13"/>
        <v>#N/A</v>
      </c>
      <c r="N185" s="27" t="str">
        <f t="shared" si="12"/>
        <v/>
      </c>
    </row>
    <row r="186" spans="1:14" x14ac:dyDescent="0.3">
      <c r="A186" s="116"/>
      <c r="B186" s="177"/>
      <c r="C186" s="178"/>
      <c r="D186" s="179"/>
      <c r="E186" s="119"/>
      <c r="F186" s="165"/>
      <c r="G186" s="126"/>
      <c r="H186" s="127"/>
      <c r="I186" s="128"/>
      <c r="J186" s="25" t="s">
        <v>189</v>
      </c>
      <c r="K186" s="27" t="e">
        <f t="array" ref="K186">INDEX(TXRESULT!$B$1:$I$1000,MATCH($B$156&amp;J162&amp;$F$156&amp;"SPUR4",TXRESULT!$C$1:$C$1000&amp;TXRESULT!$B$1:$B$1000&amp;TXRESULT!$H$1:$H$1000&amp;TXRESULT!$K$1:$K$1000,0),5)</f>
        <v>#N/A</v>
      </c>
      <c r="L186" s="146"/>
      <c r="M186" s="27" t="e">
        <f t="shared" si="13"/>
        <v>#N/A</v>
      </c>
      <c r="N186" s="27" t="str">
        <f t="shared" si="12"/>
        <v/>
      </c>
    </row>
    <row r="187" spans="1:14" x14ac:dyDescent="0.3">
      <c r="A187" s="116"/>
      <c r="B187" s="177"/>
      <c r="C187" s="178"/>
      <c r="D187" s="179"/>
      <c r="E187" s="120"/>
      <c r="F187" s="166"/>
      <c r="G187" s="129"/>
      <c r="H187" s="130"/>
      <c r="I187" s="131"/>
      <c r="J187" s="25" t="s">
        <v>190</v>
      </c>
      <c r="K187" s="27" t="e">
        <f t="array" ref="K187">INDEX(TXRESULT!$B$1:$I$1000,MATCH($B$156&amp;J163&amp;$F$156&amp;"SPUR4",TXRESULT!$C$1:$C$1000&amp;TXRESULT!$B$1:$B$1000&amp;TXRESULT!$H$1:$H$1000&amp;TXRESULT!$K$1:$K$1000,0),5)</f>
        <v>#N/A</v>
      </c>
      <c r="L187" s="147"/>
      <c r="M187" s="27" t="e">
        <f t="shared" si="13"/>
        <v>#N/A</v>
      </c>
      <c r="N187" s="27" t="str">
        <f t="shared" si="12"/>
        <v/>
      </c>
    </row>
    <row r="188" spans="1:14" ht="15.75" customHeight="1" x14ac:dyDescent="0.3">
      <c r="A188" s="116"/>
      <c r="B188" s="177"/>
      <c r="C188" s="178"/>
      <c r="D188" s="179"/>
      <c r="E188" s="132" t="s">
        <v>52</v>
      </c>
      <c r="F188" s="164" t="s">
        <v>53</v>
      </c>
      <c r="G188" s="123" t="s">
        <v>131</v>
      </c>
      <c r="H188" s="124"/>
      <c r="I188" s="125"/>
      <c r="J188" s="25" t="s">
        <v>183</v>
      </c>
      <c r="K188" s="27" t="e">
        <f t="array" ref="K188">INDEX(TXRESULT!$B$1:$I$1000,MATCH($B$156&amp;J156&amp;$F$156&amp;"SPUR5",TXRESULT!$C$1:$C$1000&amp;TXRESULT!$B$1:$B$1000&amp;TXRESULT!$H$1:$H$1000&amp;TXRESULT!$K$1:$K$1000,0),5)</f>
        <v>#N/A</v>
      </c>
      <c r="L188" s="145" t="s">
        <v>127</v>
      </c>
      <c r="M188" s="27" t="e">
        <f>IF(ISBLANK(K188),"",IF(AND(K188*1&lt;-30),"PASS","FAIL"))</f>
        <v>#N/A</v>
      </c>
      <c r="N188" s="27" t="str">
        <f t="shared" si="12"/>
        <v/>
      </c>
    </row>
    <row r="189" spans="1:14" x14ac:dyDescent="0.3">
      <c r="A189" s="116"/>
      <c r="B189" s="177"/>
      <c r="C189" s="178"/>
      <c r="D189" s="179"/>
      <c r="E189" s="119"/>
      <c r="F189" s="165"/>
      <c r="G189" s="126"/>
      <c r="H189" s="127"/>
      <c r="I189" s="128"/>
      <c r="J189" s="25" t="s">
        <v>184</v>
      </c>
      <c r="K189" s="27" t="e">
        <f t="array" ref="K189">INDEX(TXRESULT!$B$1:$I$1000,MATCH($B$156&amp;J157&amp;$F$156&amp;"SPUR5",TXRESULT!$C$1:$C$1000&amp;TXRESULT!$B$1:$B$1000&amp;TXRESULT!$H$1:$H$1000&amp;TXRESULT!$K$1:$K$1000,0),5)</f>
        <v>#N/A</v>
      </c>
      <c r="L189" s="146"/>
      <c r="M189" s="27" t="e">
        <f t="shared" ref="M189:M195" si="14">IF(ISBLANK(K189),"",IF(AND(K189*1&lt;-30),"PASS","FAIL"))</f>
        <v>#N/A</v>
      </c>
      <c r="N189" s="27" t="str">
        <f t="shared" si="12"/>
        <v/>
      </c>
    </row>
    <row r="190" spans="1:14" x14ac:dyDescent="0.3">
      <c r="A190" s="116"/>
      <c r="B190" s="177"/>
      <c r="C190" s="178"/>
      <c r="D190" s="179"/>
      <c r="E190" s="119"/>
      <c r="F190" s="165"/>
      <c r="G190" s="126"/>
      <c r="H190" s="127"/>
      <c r="I190" s="128"/>
      <c r="J190" s="25" t="s">
        <v>185</v>
      </c>
      <c r="K190" s="27" t="e">
        <f t="array" ref="K190">INDEX(TXRESULT!$B$1:$I$1000,MATCH($B$156&amp;J158&amp;$F$156&amp;"SPUR5",TXRESULT!$C$1:$C$1000&amp;TXRESULT!$B$1:$B$1000&amp;TXRESULT!$H$1:$H$1000&amp;TXRESULT!$K$1:$K$1000,0),5)</f>
        <v>#N/A</v>
      </c>
      <c r="L190" s="146"/>
      <c r="M190" s="27" t="e">
        <f t="shared" si="14"/>
        <v>#N/A</v>
      </c>
      <c r="N190" s="27" t="str">
        <f t="shared" si="12"/>
        <v/>
      </c>
    </row>
    <row r="191" spans="1:14" x14ac:dyDescent="0.3">
      <c r="A191" s="116"/>
      <c r="B191" s="177"/>
      <c r="C191" s="178"/>
      <c r="D191" s="179"/>
      <c r="E191" s="119"/>
      <c r="F191" s="165"/>
      <c r="G191" s="126"/>
      <c r="H191" s="127"/>
      <c r="I191" s="128"/>
      <c r="J191" s="25" t="s">
        <v>186</v>
      </c>
      <c r="K191" s="27" t="e">
        <f t="array" ref="K191">INDEX(TXRESULT!$B$1:$I$1000,MATCH($B$156&amp;J159&amp;$F$156&amp;"SPUR5",TXRESULT!$C$1:$C$1000&amp;TXRESULT!$B$1:$B$1000&amp;TXRESULT!$H$1:$H$1000&amp;TXRESULT!$K$1:$K$1000,0),5)</f>
        <v>#N/A</v>
      </c>
      <c r="L191" s="146"/>
      <c r="M191" s="27" t="e">
        <f t="shared" si="14"/>
        <v>#N/A</v>
      </c>
      <c r="N191" s="27" t="str">
        <f t="shared" si="12"/>
        <v/>
      </c>
    </row>
    <row r="192" spans="1:14" x14ac:dyDescent="0.3">
      <c r="A192" s="116"/>
      <c r="B192" s="177"/>
      <c r="C192" s="178"/>
      <c r="D192" s="179"/>
      <c r="E192" s="119"/>
      <c r="F192" s="165"/>
      <c r="G192" s="126"/>
      <c r="H192" s="127"/>
      <c r="I192" s="128"/>
      <c r="J192" s="25" t="s">
        <v>187</v>
      </c>
      <c r="K192" s="27" t="e">
        <f t="array" ref="K192">INDEX(TXRESULT!$B$1:$I$1000,MATCH($B$156&amp;J160&amp;$F$156&amp;"SPUR5",TXRESULT!$C$1:$C$1000&amp;TXRESULT!$B$1:$B$1000&amp;TXRESULT!$H$1:$H$1000&amp;TXRESULT!$K$1:$K$1000,0),5)</f>
        <v>#N/A</v>
      </c>
      <c r="L192" s="146"/>
      <c r="M192" s="27" t="e">
        <f t="shared" si="14"/>
        <v>#N/A</v>
      </c>
      <c r="N192" s="27" t="str">
        <f t="shared" si="12"/>
        <v/>
      </c>
    </row>
    <row r="193" spans="1:14" x14ac:dyDescent="0.3">
      <c r="A193" s="116"/>
      <c r="B193" s="177"/>
      <c r="C193" s="178"/>
      <c r="D193" s="179"/>
      <c r="E193" s="119"/>
      <c r="F193" s="165"/>
      <c r="G193" s="126"/>
      <c r="H193" s="127"/>
      <c r="I193" s="128"/>
      <c r="J193" s="25" t="s">
        <v>188</v>
      </c>
      <c r="K193" s="27" t="e">
        <f t="array" ref="K193">INDEX(TXRESULT!$B$1:$I$1000,MATCH($B$156&amp;J161&amp;$F$156&amp;"SPUR5",TXRESULT!$C$1:$C$1000&amp;TXRESULT!$B$1:$B$1000&amp;TXRESULT!$H$1:$H$1000&amp;TXRESULT!$K$1:$K$1000,0),5)</f>
        <v>#N/A</v>
      </c>
      <c r="L193" s="146"/>
      <c r="M193" s="27" t="e">
        <f t="shared" si="14"/>
        <v>#N/A</v>
      </c>
      <c r="N193" s="27" t="str">
        <f t="shared" si="12"/>
        <v/>
      </c>
    </row>
    <row r="194" spans="1:14" x14ac:dyDescent="0.3">
      <c r="A194" s="116"/>
      <c r="B194" s="177"/>
      <c r="C194" s="178"/>
      <c r="D194" s="179"/>
      <c r="E194" s="119"/>
      <c r="F194" s="165"/>
      <c r="G194" s="126"/>
      <c r="H194" s="127"/>
      <c r="I194" s="128"/>
      <c r="J194" s="25" t="s">
        <v>189</v>
      </c>
      <c r="K194" s="27" t="e">
        <f t="array" ref="K194">INDEX(TXRESULT!$B$1:$I$1000,MATCH($B$156&amp;J162&amp;$F$156&amp;"SPUR5",TXRESULT!$C$1:$C$1000&amp;TXRESULT!$B$1:$B$1000&amp;TXRESULT!$H$1:$H$1000&amp;TXRESULT!$K$1:$K$1000,0),5)</f>
        <v>#N/A</v>
      </c>
      <c r="L194" s="146"/>
      <c r="M194" s="27" t="e">
        <f t="shared" si="14"/>
        <v>#N/A</v>
      </c>
      <c r="N194" s="27" t="str">
        <f t="shared" si="12"/>
        <v/>
      </c>
    </row>
    <row r="195" spans="1:14" x14ac:dyDescent="0.3">
      <c r="A195" s="117"/>
      <c r="B195" s="180"/>
      <c r="C195" s="181"/>
      <c r="D195" s="182"/>
      <c r="E195" s="120"/>
      <c r="F195" s="166"/>
      <c r="G195" s="129"/>
      <c r="H195" s="130"/>
      <c r="I195" s="131"/>
      <c r="J195" s="25" t="s">
        <v>190</v>
      </c>
      <c r="K195" s="27" t="e">
        <f t="array" ref="K195">INDEX(TXRESULT!$B$1:$I$1000,MATCH($B$156&amp;J163&amp;$F$156&amp;"SPUR5",TXRESULT!$C$1:$C$1000&amp;TXRESULT!$B$1:$B$1000&amp;TXRESULT!$H$1:$H$1000&amp;TXRESULT!$K$1:$K$1000,0),5)</f>
        <v>#N/A</v>
      </c>
      <c r="L195" s="147"/>
      <c r="M195" s="27" t="e">
        <f t="shared" si="14"/>
        <v>#N/A</v>
      </c>
      <c r="N195" s="27" t="str">
        <f t="shared" si="12"/>
        <v/>
      </c>
    </row>
    <row r="196" spans="1:14" ht="15.75" customHeight="1" x14ac:dyDescent="0.3">
      <c r="A196" s="115" t="s">
        <v>132</v>
      </c>
      <c r="B196" s="167" t="s">
        <v>133</v>
      </c>
      <c r="C196" s="168"/>
      <c r="D196" s="164" t="s">
        <v>256</v>
      </c>
      <c r="E196" s="132" t="s">
        <v>116</v>
      </c>
      <c r="F196" s="164" t="s">
        <v>53</v>
      </c>
      <c r="G196" s="25" t="s">
        <v>117</v>
      </c>
      <c r="H196" s="25" t="s">
        <v>117</v>
      </c>
      <c r="I196" s="25" t="s">
        <v>118</v>
      </c>
      <c r="J196" s="25" t="s">
        <v>183</v>
      </c>
      <c r="K196" s="27" t="e">
        <f>VLOOKUP($D$196&amp;J196&amp;$F$196,TXRESULT!$A$1:$I$1500,6,FALSE)</f>
        <v>#N/A</v>
      </c>
      <c r="L196" s="145" t="s">
        <v>134</v>
      </c>
      <c r="M196" s="27" t="e">
        <f>IF(ISBLANK(K196),"",IF(AND(K196*1&gt;H196*1,K196*1&lt;I196*1),"PASS","FAIL"))</f>
        <v>#N/A</v>
      </c>
      <c r="N196" s="27" t="str">
        <f t="shared" si="12"/>
        <v/>
      </c>
    </row>
    <row r="197" spans="1:14" x14ac:dyDescent="0.3">
      <c r="A197" s="116"/>
      <c r="B197" s="169"/>
      <c r="C197" s="170"/>
      <c r="D197" s="165"/>
      <c r="E197" s="119"/>
      <c r="F197" s="165"/>
      <c r="G197" s="25" t="str">
        <f>G196</f>
        <v>43.8</v>
      </c>
      <c r="H197" s="25" t="str">
        <f>H196</f>
        <v>43.8</v>
      </c>
      <c r="I197" s="25" t="s">
        <v>118</v>
      </c>
      <c r="J197" s="25" t="s">
        <v>184</v>
      </c>
      <c r="K197" s="27" t="e">
        <f>VLOOKUP($D$196&amp;J197&amp;$F$196,TXRESULT!$A$1:$I$1500,6,FALSE)</f>
        <v>#N/A</v>
      </c>
      <c r="L197" s="146"/>
      <c r="M197" s="27" t="e">
        <f t="shared" ref="M197:M203" si="15">IF(ISBLANK(K197),"",IF(AND(K197*1&gt;H197*1,K197*1&lt;I197*1),"PASS","FAIL"))</f>
        <v>#N/A</v>
      </c>
      <c r="N197" s="27" t="str">
        <f t="shared" si="12"/>
        <v/>
      </c>
    </row>
    <row r="198" spans="1:14" x14ac:dyDescent="0.3">
      <c r="A198" s="116"/>
      <c r="B198" s="169"/>
      <c r="C198" s="170"/>
      <c r="D198" s="165"/>
      <c r="E198" s="119"/>
      <c r="F198" s="165"/>
      <c r="G198" s="25" t="str">
        <f>G196</f>
        <v>43.8</v>
      </c>
      <c r="H198" s="25" t="str">
        <f>H196</f>
        <v>43.8</v>
      </c>
      <c r="I198" s="25" t="s">
        <v>118</v>
      </c>
      <c r="J198" s="25" t="s">
        <v>185</v>
      </c>
      <c r="K198" s="27" t="e">
        <f>VLOOKUP($D$196&amp;J198&amp;$F$196,TXRESULT!$A$1:$I$1500,6,FALSE)</f>
        <v>#N/A</v>
      </c>
      <c r="L198" s="146"/>
      <c r="M198" s="27" t="e">
        <f t="shared" si="15"/>
        <v>#N/A</v>
      </c>
      <c r="N198" s="27" t="str">
        <f t="shared" si="12"/>
        <v/>
      </c>
    </row>
    <row r="199" spans="1:14" x14ac:dyDescent="0.3">
      <c r="A199" s="116"/>
      <c r="B199" s="169"/>
      <c r="C199" s="170"/>
      <c r="D199" s="165"/>
      <c r="E199" s="119"/>
      <c r="F199" s="165"/>
      <c r="G199" s="25" t="str">
        <f>G196</f>
        <v>43.8</v>
      </c>
      <c r="H199" s="25" t="str">
        <f>H196</f>
        <v>43.8</v>
      </c>
      <c r="I199" s="25" t="s">
        <v>118</v>
      </c>
      <c r="J199" s="25" t="s">
        <v>186</v>
      </c>
      <c r="K199" s="27" t="e">
        <f>VLOOKUP($D$196&amp;J199&amp;$F$196,TXRESULT!$A$1:$I$1500,6,FALSE)</f>
        <v>#N/A</v>
      </c>
      <c r="L199" s="146"/>
      <c r="M199" s="27" t="e">
        <f t="shared" si="15"/>
        <v>#N/A</v>
      </c>
      <c r="N199" s="27" t="str">
        <f t="shared" si="12"/>
        <v/>
      </c>
    </row>
    <row r="200" spans="1:14" x14ac:dyDescent="0.3">
      <c r="A200" s="116"/>
      <c r="B200" s="169"/>
      <c r="C200" s="170"/>
      <c r="D200" s="165"/>
      <c r="E200" s="119"/>
      <c r="F200" s="165"/>
      <c r="G200" s="25" t="str">
        <f>G196</f>
        <v>43.8</v>
      </c>
      <c r="H200" s="25" t="str">
        <f>H196</f>
        <v>43.8</v>
      </c>
      <c r="I200" s="25" t="s">
        <v>118</v>
      </c>
      <c r="J200" s="25" t="s">
        <v>187</v>
      </c>
      <c r="K200" s="27" t="e">
        <f>VLOOKUP($D$196&amp;J200&amp;$F$196,TXRESULT!$A$1:$I$1500,6,FALSE)</f>
        <v>#N/A</v>
      </c>
      <c r="L200" s="146"/>
      <c r="M200" s="27" t="e">
        <f t="shared" si="15"/>
        <v>#N/A</v>
      </c>
      <c r="N200" s="27" t="str">
        <f t="shared" si="12"/>
        <v/>
      </c>
    </row>
    <row r="201" spans="1:14" x14ac:dyDescent="0.3">
      <c r="A201" s="116"/>
      <c r="B201" s="169"/>
      <c r="C201" s="170"/>
      <c r="D201" s="165"/>
      <c r="E201" s="119"/>
      <c r="F201" s="165"/>
      <c r="G201" s="25" t="str">
        <f>G196</f>
        <v>43.8</v>
      </c>
      <c r="H201" s="25" t="str">
        <f>H196</f>
        <v>43.8</v>
      </c>
      <c r="I201" s="25" t="s">
        <v>118</v>
      </c>
      <c r="J201" s="25" t="s">
        <v>188</v>
      </c>
      <c r="K201" s="27" t="e">
        <f>VLOOKUP($D$196&amp;J201&amp;$F$196,TXRESULT!$A$1:$I$1500,6,FALSE)</f>
        <v>#N/A</v>
      </c>
      <c r="L201" s="146"/>
      <c r="M201" s="27" t="e">
        <f t="shared" si="15"/>
        <v>#N/A</v>
      </c>
      <c r="N201" s="27" t="str">
        <f t="shared" si="12"/>
        <v/>
      </c>
    </row>
    <row r="202" spans="1:14" x14ac:dyDescent="0.3">
      <c r="A202" s="116"/>
      <c r="B202" s="169"/>
      <c r="C202" s="170"/>
      <c r="D202" s="165"/>
      <c r="E202" s="119"/>
      <c r="F202" s="165"/>
      <c r="G202" s="25" t="str">
        <f>G196</f>
        <v>43.8</v>
      </c>
      <c r="H202" s="25" t="str">
        <f>H196</f>
        <v>43.8</v>
      </c>
      <c r="I202" s="25" t="s">
        <v>118</v>
      </c>
      <c r="J202" s="25" t="s">
        <v>189</v>
      </c>
      <c r="K202" s="27" t="e">
        <f>VLOOKUP($D$196&amp;J202&amp;$F$196,TXRESULT!$A$1:$I$1500,6,FALSE)</f>
        <v>#N/A</v>
      </c>
      <c r="L202" s="146"/>
      <c r="M202" s="27" t="e">
        <f t="shared" si="15"/>
        <v>#N/A</v>
      </c>
      <c r="N202" s="27" t="str">
        <f t="shared" si="12"/>
        <v/>
      </c>
    </row>
    <row r="203" spans="1:14" x14ac:dyDescent="0.3">
      <c r="A203" s="116"/>
      <c r="B203" s="169"/>
      <c r="C203" s="170"/>
      <c r="D203" s="166"/>
      <c r="E203" s="120"/>
      <c r="F203" s="166"/>
      <c r="G203" s="25" t="str">
        <f>G196</f>
        <v>43.8</v>
      </c>
      <c r="H203" s="25" t="str">
        <f>H196</f>
        <v>43.8</v>
      </c>
      <c r="I203" s="25" t="s">
        <v>118</v>
      </c>
      <c r="J203" s="25" t="s">
        <v>190</v>
      </c>
      <c r="K203" s="27" t="e">
        <f>VLOOKUP($D$196&amp;J203&amp;$F$196,TXRESULT!$A$1:$I$1500,6,FALSE)</f>
        <v>#N/A</v>
      </c>
      <c r="L203" s="146"/>
      <c r="M203" s="27" t="e">
        <f t="shared" si="15"/>
        <v>#N/A</v>
      </c>
      <c r="N203" s="27" t="str">
        <f t="shared" si="12"/>
        <v/>
      </c>
    </row>
    <row r="204" spans="1:14" ht="15.75" customHeight="1" x14ac:dyDescent="0.3">
      <c r="A204" s="116"/>
      <c r="B204" s="169"/>
      <c r="C204" s="170"/>
      <c r="D204" s="164" t="s">
        <v>257</v>
      </c>
      <c r="E204" s="132" t="s">
        <v>52</v>
      </c>
      <c r="F204" s="164" t="s">
        <v>53</v>
      </c>
      <c r="G204" s="173" t="s">
        <v>121</v>
      </c>
      <c r="H204" s="124"/>
      <c r="I204" s="125"/>
      <c r="J204" s="25" t="s">
        <v>183</v>
      </c>
      <c r="K204" s="27" t="e">
        <f t="array" ref="K204">INDEX(TXRESULT!$B$1:$I$1000,MATCH($D$204&amp;J204&amp;$F$204&amp;"OBUE1",TXRESULT!$C$1:$C$1000&amp;TXRESULT!$B$1:$B$1000&amp;TXRESULT!$H$1:$H$1000&amp;TXRESULT!$K$1:$K$1000,0),5)</f>
        <v>#N/A</v>
      </c>
      <c r="L204" s="146"/>
      <c r="M204" s="27" t="e">
        <f>IF(ISBLANK(K204),"",IF(AND(K204*1&lt;-12.2),"PASS","FAIL"))</f>
        <v>#N/A</v>
      </c>
      <c r="N204" s="27" t="str">
        <f t="shared" si="12"/>
        <v/>
      </c>
    </row>
    <row r="205" spans="1:14" x14ac:dyDescent="0.3">
      <c r="A205" s="116"/>
      <c r="B205" s="169"/>
      <c r="C205" s="170"/>
      <c r="D205" s="165"/>
      <c r="E205" s="119"/>
      <c r="F205" s="165"/>
      <c r="G205" s="126"/>
      <c r="H205" s="127"/>
      <c r="I205" s="128"/>
      <c r="J205" s="25" t="s">
        <v>184</v>
      </c>
      <c r="K205" s="27" t="e">
        <f t="array" ref="K205">INDEX(TXRESULT!$B$1:$I$1000,MATCH($D$204&amp;J205&amp;$F$204&amp;"OBUE1",TXRESULT!$C$1:$C$1000&amp;TXRESULT!$B$1:$B$1000&amp;TXRESULT!$H$1:$H$1000&amp;TXRESULT!$K$1:$K$1000,0),5)</f>
        <v>#N/A</v>
      </c>
      <c r="L205" s="146"/>
      <c r="M205" s="27" t="e">
        <f t="shared" ref="M205:M219" si="16">IF(ISBLANK(K205),"",IF(AND(K205*1&lt;-12.2),"PASS","FAIL"))</f>
        <v>#N/A</v>
      </c>
      <c r="N205" s="27" t="str">
        <f t="shared" si="12"/>
        <v/>
      </c>
    </row>
    <row r="206" spans="1:14" x14ac:dyDescent="0.3">
      <c r="A206" s="116"/>
      <c r="B206" s="169"/>
      <c r="C206" s="170"/>
      <c r="D206" s="165"/>
      <c r="E206" s="119"/>
      <c r="F206" s="165"/>
      <c r="G206" s="126"/>
      <c r="H206" s="127"/>
      <c r="I206" s="128"/>
      <c r="J206" s="25" t="s">
        <v>185</v>
      </c>
      <c r="K206" s="27" t="e">
        <f t="array" ref="K206">INDEX(TXRESULT!$B$1:$I$1000,MATCH($D$204&amp;J206&amp;$F$204&amp;"OBUE1",TXRESULT!$C$1:$C$1000&amp;TXRESULT!$B$1:$B$1000&amp;TXRESULT!$H$1:$H$1000&amp;TXRESULT!$K$1:$K$1000,0),5)</f>
        <v>#N/A</v>
      </c>
      <c r="L206" s="146"/>
      <c r="M206" s="27" t="e">
        <f t="shared" si="16"/>
        <v>#N/A</v>
      </c>
      <c r="N206" s="27" t="str">
        <f t="shared" si="12"/>
        <v/>
      </c>
    </row>
    <row r="207" spans="1:14" x14ac:dyDescent="0.3">
      <c r="A207" s="116"/>
      <c r="B207" s="169"/>
      <c r="C207" s="170"/>
      <c r="D207" s="165"/>
      <c r="E207" s="119"/>
      <c r="F207" s="165"/>
      <c r="G207" s="126"/>
      <c r="H207" s="127"/>
      <c r="I207" s="128"/>
      <c r="J207" s="25" t="s">
        <v>186</v>
      </c>
      <c r="K207" s="27" t="e">
        <f t="array" ref="K207">INDEX(TXRESULT!$B$1:$I$1000,MATCH($D$204&amp;J207&amp;$F$204&amp;"OBUE1",TXRESULT!$C$1:$C$1000&amp;TXRESULT!$B$1:$B$1000&amp;TXRESULT!$H$1:$H$1000&amp;TXRESULT!$K$1:$K$1000,0),5)</f>
        <v>#N/A</v>
      </c>
      <c r="L207" s="146"/>
      <c r="M207" s="27" t="e">
        <f t="shared" si="16"/>
        <v>#N/A</v>
      </c>
      <c r="N207" s="27" t="str">
        <f t="shared" si="12"/>
        <v/>
      </c>
    </row>
    <row r="208" spans="1:14" x14ac:dyDescent="0.3">
      <c r="A208" s="116"/>
      <c r="B208" s="169"/>
      <c r="C208" s="170"/>
      <c r="D208" s="165"/>
      <c r="E208" s="119"/>
      <c r="F208" s="165"/>
      <c r="G208" s="126"/>
      <c r="H208" s="127"/>
      <c r="I208" s="128"/>
      <c r="J208" s="25" t="s">
        <v>187</v>
      </c>
      <c r="K208" s="27" t="e">
        <f t="array" ref="K208">INDEX(TXRESULT!$B$1:$I$1000,MATCH($D$204&amp;J208&amp;$F$204&amp;"OBUE1",TXRESULT!$C$1:$C$1000&amp;TXRESULT!$B$1:$B$1000&amp;TXRESULT!$H$1:$H$1000&amp;TXRESULT!$K$1:$K$1000,0),5)</f>
        <v>#N/A</v>
      </c>
      <c r="L208" s="146"/>
      <c r="M208" s="27" t="e">
        <f t="shared" si="16"/>
        <v>#N/A</v>
      </c>
      <c r="N208" s="27" t="str">
        <f t="shared" si="12"/>
        <v/>
      </c>
    </row>
    <row r="209" spans="1:14" x14ac:dyDescent="0.3">
      <c r="A209" s="116"/>
      <c r="B209" s="169"/>
      <c r="C209" s="170"/>
      <c r="D209" s="165"/>
      <c r="E209" s="119"/>
      <c r="F209" s="165"/>
      <c r="G209" s="126"/>
      <c r="H209" s="127"/>
      <c r="I209" s="128"/>
      <c r="J209" s="25" t="s">
        <v>188</v>
      </c>
      <c r="K209" s="27" t="e">
        <f t="array" ref="K209">INDEX(TXRESULT!$B$1:$I$1000,MATCH($D$204&amp;J209&amp;$F$204&amp;"OBUE1",TXRESULT!$C$1:$C$1000&amp;TXRESULT!$B$1:$B$1000&amp;TXRESULT!$H$1:$H$1000&amp;TXRESULT!$K$1:$K$1000,0),5)</f>
        <v>#N/A</v>
      </c>
      <c r="L209" s="146"/>
      <c r="M209" s="27" t="e">
        <f t="shared" si="16"/>
        <v>#N/A</v>
      </c>
      <c r="N209" s="27" t="str">
        <f t="shared" si="12"/>
        <v/>
      </c>
    </row>
    <row r="210" spans="1:14" x14ac:dyDescent="0.3">
      <c r="A210" s="116"/>
      <c r="B210" s="169"/>
      <c r="C210" s="170"/>
      <c r="D210" s="165"/>
      <c r="E210" s="119"/>
      <c r="F210" s="165"/>
      <c r="G210" s="126"/>
      <c r="H210" s="127"/>
      <c r="I210" s="128"/>
      <c r="J210" s="25" t="s">
        <v>189</v>
      </c>
      <c r="K210" s="27" t="e">
        <f t="array" ref="K210">INDEX(TXRESULT!$B$1:$I$1000,MATCH($D$204&amp;J210&amp;$F$204&amp;"OBUE1",TXRESULT!$C$1:$C$1000&amp;TXRESULT!$B$1:$B$1000&amp;TXRESULT!$H$1:$H$1000&amp;TXRESULT!$K$1:$K$1000,0),5)</f>
        <v>#N/A</v>
      </c>
      <c r="L210" s="146"/>
      <c r="M210" s="27" t="e">
        <f t="shared" si="16"/>
        <v>#N/A</v>
      </c>
      <c r="N210" s="27" t="str">
        <f t="shared" si="12"/>
        <v/>
      </c>
    </row>
    <row r="211" spans="1:14" x14ac:dyDescent="0.3">
      <c r="A211" s="116"/>
      <c r="B211" s="169"/>
      <c r="C211" s="170"/>
      <c r="D211" s="165"/>
      <c r="E211" s="120"/>
      <c r="F211" s="166"/>
      <c r="G211" s="129"/>
      <c r="H211" s="130"/>
      <c r="I211" s="131"/>
      <c r="J211" s="25" t="s">
        <v>190</v>
      </c>
      <c r="K211" s="27" t="e">
        <f t="array" ref="K211">INDEX(TXRESULT!$B$1:$I$1000,MATCH($D$204&amp;J211&amp;$F$204&amp;"OBUE1",TXRESULT!$C$1:$C$1000&amp;TXRESULT!$B$1:$B$1000&amp;TXRESULT!$H$1:$H$1000&amp;TXRESULT!$K$1:$K$1000,0),5)</f>
        <v>#N/A</v>
      </c>
      <c r="L211" s="146"/>
      <c r="M211" s="27" t="e">
        <f t="shared" si="16"/>
        <v>#N/A</v>
      </c>
      <c r="N211" s="27" t="str">
        <f t="shared" si="12"/>
        <v/>
      </c>
    </row>
    <row r="212" spans="1:14" x14ac:dyDescent="0.3">
      <c r="A212" s="116"/>
      <c r="B212" s="169"/>
      <c r="C212" s="170"/>
      <c r="D212" s="165"/>
      <c r="E212" s="132" t="s">
        <v>52</v>
      </c>
      <c r="F212" s="164" t="s">
        <v>53</v>
      </c>
      <c r="G212" s="173" t="s">
        <v>123</v>
      </c>
      <c r="H212" s="124"/>
      <c r="I212" s="125"/>
      <c r="J212" s="25" t="s">
        <v>183</v>
      </c>
      <c r="K212" s="27" t="e">
        <f t="array" ref="K212">INDEX(TXRESULT!$B$1:$I$1000,MATCH($D$204&amp;J211&amp;$F$212&amp;"OBUE2",TXRESULT!$C$1:$C$1000&amp;TXRESULT!$B$1:$B$1000&amp;TXRESULT!$H$1:$H$1000&amp;TXRESULT!$K$1:$K$1000,0),5)</f>
        <v>#N/A</v>
      </c>
      <c r="L212" s="146"/>
      <c r="M212" s="27" t="e">
        <f t="shared" si="16"/>
        <v>#N/A</v>
      </c>
      <c r="N212" s="27" t="str">
        <f t="shared" si="12"/>
        <v/>
      </c>
    </row>
    <row r="213" spans="1:14" x14ac:dyDescent="0.3">
      <c r="A213" s="116"/>
      <c r="B213" s="169"/>
      <c r="C213" s="170"/>
      <c r="D213" s="165"/>
      <c r="E213" s="119"/>
      <c r="F213" s="165"/>
      <c r="G213" s="126"/>
      <c r="H213" s="127"/>
      <c r="I213" s="128"/>
      <c r="J213" s="25" t="s">
        <v>184</v>
      </c>
      <c r="K213" s="27" t="e">
        <f t="array" ref="K213">INDEX(TXRESULT!$B$1:$I$1000,MATCH($D$204&amp;J212&amp;$F$212&amp;"OBUE2",TXRESULT!$C$1:$C$1000&amp;TXRESULT!$B$1:$B$1000&amp;TXRESULT!$H$1:$H$1000&amp;TXRESULT!$K$1:$K$1000,0),5)</f>
        <v>#N/A</v>
      </c>
      <c r="L213" s="146"/>
      <c r="M213" s="27" t="e">
        <f t="shared" si="16"/>
        <v>#N/A</v>
      </c>
      <c r="N213" s="27" t="str">
        <f t="shared" si="12"/>
        <v/>
      </c>
    </row>
    <row r="214" spans="1:14" x14ac:dyDescent="0.3">
      <c r="A214" s="116"/>
      <c r="B214" s="169"/>
      <c r="C214" s="170"/>
      <c r="D214" s="165"/>
      <c r="E214" s="119"/>
      <c r="F214" s="165"/>
      <c r="G214" s="126"/>
      <c r="H214" s="127"/>
      <c r="I214" s="128"/>
      <c r="J214" s="25" t="s">
        <v>185</v>
      </c>
      <c r="K214" s="27" t="e">
        <f t="array" ref="K214">INDEX(TXRESULT!$B$1:$I$1000,MATCH($D$204&amp;J213&amp;$F$212&amp;"OBUE2",TXRESULT!$C$1:$C$1000&amp;TXRESULT!$B$1:$B$1000&amp;TXRESULT!$H$1:$H$1000&amp;TXRESULT!$K$1:$K$1000,0),5)</f>
        <v>#N/A</v>
      </c>
      <c r="L214" s="146"/>
      <c r="M214" s="27" t="e">
        <f t="shared" si="16"/>
        <v>#N/A</v>
      </c>
      <c r="N214" s="27" t="str">
        <f t="shared" si="12"/>
        <v/>
      </c>
    </row>
    <row r="215" spans="1:14" x14ac:dyDescent="0.3">
      <c r="A215" s="116"/>
      <c r="B215" s="169"/>
      <c r="C215" s="170"/>
      <c r="D215" s="165"/>
      <c r="E215" s="119"/>
      <c r="F215" s="165"/>
      <c r="G215" s="126"/>
      <c r="H215" s="127"/>
      <c r="I215" s="128"/>
      <c r="J215" s="25" t="s">
        <v>186</v>
      </c>
      <c r="K215" s="27" t="e">
        <f t="array" ref="K215">INDEX(TXRESULT!$B$1:$I$1000,MATCH($D$204&amp;J214&amp;$F$212&amp;"OBUE2",TXRESULT!$C$1:$C$1000&amp;TXRESULT!$B$1:$B$1000&amp;TXRESULT!$H$1:$H$1000&amp;TXRESULT!$K$1:$K$1000,0),5)</f>
        <v>#N/A</v>
      </c>
      <c r="L215" s="146"/>
      <c r="M215" s="27" t="e">
        <f t="shared" si="16"/>
        <v>#N/A</v>
      </c>
      <c r="N215" s="27" t="str">
        <f t="shared" si="12"/>
        <v/>
      </c>
    </row>
    <row r="216" spans="1:14" x14ac:dyDescent="0.3">
      <c r="A216" s="116"/>
      <c r="B216" s="169"/>
      <c r="C216" s="170"/>
      <c r="D216" s="165"/>
      <c r="E216" s="119"/>
      <c r="F216" s="165"/>
      <c r="G216" s="126"/>
      <c r="H216" s="127"/>
      <c r="I216" s="128"/>
      <c r="J216" s="25" t="s">
        <v>187</v>
      </c>
      <c r="K216" s="27" t="e">
        <f t="array" ref="K216">INDEX(TXRESULT!$B$1:$I$1000,MATCH($D$204&amp;J215&amp;$F$212&amp;"OBUE2",TXRESULT!$C$1:$C$1000&amp;TXRESULT!$B$1:$B$1000&amp;TXRESULT!$H$1:$H$1000&amp;TXRESULT!$K$1:$K$1000,0),5)</f>
        <v>#N/A</v>
      </c>
      <c r="L216" s="146"/>
      <c r="M216" s="27" t="e">
        <f t="shared" si="16"/>
        <v>#N/A</v>
      </c>
      <c r="N216" s="27" t="str">
        <f t="shared" si="12"/>
        <v/>
      </c>
    </row>
    <row r="217" spans="1:14" x14ac:dyDescent="0.3">
      <c r="A217" s="116"/>
      <c r="B217" s="169"/>
      <c r="C217" s="170"/>
      <c r="D217" s="165"/>
      <c r="E217" s="119"/>
      <c r="F217" s="165"/>
      <c r="G217" s="126"/>
      <c r="H217" s="127"/>
      <c r="I217" s="128"/>
      <c r="J217" s="25" t="s">
        <v>188</v>
      </c>
      <c r="K217" s="27" t="e">
        <f t="array" ref="K217">INDEX(TXRESULT!$B$1:$I$1000,MATCH($D$204&amp;J216&amp;$F$212&amp;"OBUE2",TXRESULT!$C$1:$C$1000&amp;TXRESULT!$B$1:$B$1000&amp;TXRESULT!$H$1:$H$1000&amp;TXRESULT!$K$1:$K$1000,0),5)</f>
        <v>#N/A</v>
      </c>
      <c r="L217" s="146"/>
      <c r="M217" s="27" t="e">
        <f t="shared" si="16"/>
        <v>#N/A</v>
      </c>
      <c r="N217" s="27" t="str">
        <f t="shared" si="12"/>
        <v/>
      </c>
    </row>
    <row r="218" spans="1:14" x14ac:dyDescent="0.3">
      <c r="A218" s="116"/>
      <c r="B218" s="169"/>
      <c r="C218" s="170"/>
      <c r="D218" s="165"/>
      <c r="E218" s="119"/>
      <c r="F218" s="165"/>
      <c r="G218" s="126"/>
      <c r="H218" s="127"/>
      <c r="I218" s="128"/>
      <c r="J218" s="25" t="s">
        <v>189</v>
      </c>
      <c r="K218" s="27" t="e">
        <f t="array" ref="K218">INDEX(TXRESULT!$B$1:$I$1000,MATCH($D$204&amp;J217&amp;$F$212&amp;"OBUE2",TXRESULT!$C$1:$C$1000&amp;TXRESULT!$B$1:$B$1000&amp;TXRESULT!$H$1:$H$1000&amp;TXRESULT!$K$1:$K$1000,0),5)</f>
        <v>#N/A</v>
      </c>
      <c r="L218" s="146"/>
      <c r="M218" s="27" t="e">
        <f t="shared" si="16"/>
        <v>#N/A</v>
      </c>
      <c r="N218" s="27" t="str">
        <f t="shared" si="12"/>
        <v/>
      </c>
    </row>
    <row r="219" spans="1:14" x14ac:dyDescent="0.3">
      <c r="A219" s="116"/>
      <c r="B219" s="169"/>
      <c r="C219" s="170"/>
      <c r="D219" s="165"/>
      <c r="E219" s="120"/>
      <c r="F219" s="166"/>
      <c r="G219" s="129"/>
      <c r="H219" s="130"/>
      <c r="I219" s="131"/>
      <c r="J219" s="25" t="s">
        <v>190</v>
      </c>
      <c r="K219" s="27" t="e">
        <f t="array" ref="K219">INDEX(TXRESULT!$B$1:$I$1000,MATCH($D$204&amp;J218&amp;$F$212&amp;"OBUE2",TXRESULT!$C$1:$C$1000&amp;TXRESULT!$B$1:$B$1000&amp;TXRESULT!$H$1:$H$1000&amp;TXRESULT!$K$1:$K$1000,0),5)</f>
        <v>#N/A</v>
      </c>
      <c r="L219" s="146"/>
      <c r="M219" s="27" t="e">
        <f t="shared" si="16"/>
        <v>#N/A</v>
      </c>
      <c r="N219" s="27" t="str">
        <f t="shared" si="12"/>
        <v/>
      </c>
    </row>
    <row r="220" spans="1:14" x14ac:dyDescent="0.3">
      <c r="A220" s="116"/>
      <c r="B220" s="169"/>
      <c r="C220" s="170"/>
      <c r="D220" s="165"/>
      <c r="E220" s="132" t="s">
        <v>52</v>
      </c>
      <c r="F220" s="164" t="s">
        <v>53</v>
      </c>
      <c r="G220" s="173" t="s">
        <v>124</v>
      </c>
      <c r="H220" s="124"/>
      <c r="I220" s="125"/>
      <c r="J220" s="25" t="s">
        <v>183</v>
      </c>
      <c r="K220" s="27" t="e">
        <f t="array" ref="K220">INDEX(TXRESULT!$B$1:$I$1000,MATCH($D$204&amp;J220&amp;$F$220&amp;"OBUE1",TXRESULT!$C$1:$C$1000&amp;TXRESULT!$B$1:$B$1000&amp;TXRESULT!$H$1:$H$1000&amp;TXRESULT!$K$1:$K$1000,0),5)</f>
        <v>#N/A</v>
      </c>
      <c r="L220" s="146"/>
      <c r="M220" s="27" t="e">
        <f>IF(ISBLANK(K220),"",IF(AND(K220*1&lt;-15),"PASS","FAIL"))</f>
        <v>#N/A</v>
      </c>
      <c r="N220" s="27" t="str">
        <f t="shared" si="12"/>
        <v/>
      </c>
    </row>
    <row r="221" spans="1:14" x14ac:dyDescent="0.3">
      <c r="A221" s="116"/>
      <c r="B221" s="169"/>
      <c r="C221" s="170"/>
      <c r="D221" s="165"/>
      <c r="E221" s="119"/>
      <c r="F221" s="165"/>
      <c r="G221" s="126"/>
      <c r="H221" s="127"/>
      <c r="I221" s="128"/>
      <c r="J221" s="25" t="s">
        <v>184</v>
      </c>
      <c r="K221" s="27" t="e">
        <f t="array" ref="K221">INDEX(TXRESULT!$B$1:$I$1000,MATCH($D$204&amp;J221&amp;$F$220&amp;"OBUE1",TXRESULT!$C$1:$C$1000&amp;TXRESULT!$B$1:$B$1000&amp;TXRESULT!$H$1:$H$1000&amp;TXRESULT!$K$1:$K$1000,0),5)</f>
        <v>#N/A</v>
      </c>
      <c r="L221" s="146"/>
      <c r="M221" s="27" t="e">
        <f t="shared" ref="M221:M227" si="17">IF(ISBLANK(K221),"",IF(AND(K221*1&lt;-15),"PASS","FAIL"))</f>
        <v>#N/A</v>
      </c>
      <c r="N221" s="27" t="str">
        <f t="shared" si="12"/>
        <v/>
      </c>
    </row>
    <row r="222" spans="1:14" x14ac:dyDescent="0.3">
      <c r="A222" s="116"/>
      <c r="B222" s="169"/>
      <c r="C222" s="170"/>
      <c r="D222" s="165"/>
      <c r="E222" s="119"/>
      <c r="F222" s="165"/>
      <c r="G222" s="126"/>
      <c r="H222" s="127"/>
      <c r="I222" s="128"/>
      <c r="J222" s="25" t="s">
        <v>185</v>
      </c>
      <c r="K222" s="27" t="e">
        <f t="array" ref="K222">INDEX(TXRESULT!$B$1:$I$1000,MATCH($D$204&amp;J222&amp;$F$220&amp;"OBUE1",TXRESULT!$C$1:$C$1000&amp;TXRESULT!$B$1:$B$1000&amp;TXRESULT!$H$1:$H$1000&amp;TXRESULT!$K$1:$K$1000,0),5)</f>
        <v>#N/A</v>
      </c>
      <c r="L222" s="146"/>
      <c r="M222" s="27" t="e">
        <f t="shared" si="17"/>
        <v>#N/A</v>
      </c>
      <c r="N222" s="27" t="str">
        <f t="shared" si="12"/>
        <v/>
      </c>
    </row>
    <row r="223" spans="1:14" x14ac:dyDescent="0.3">
      <c r="A223" s="116"/>
      <c r="B223" s="169"/>
      <c r="C223" s="170"/>
      <c r="D223" s="165"/>
      <c r="E223" s="119"/>
      <c r="F223" s="165"/>
      <c r="G223" s="126"/>
      <c r="H223" s="127"/>
      <c r="I223" s="128"/>
      <c r="J223" s="25" t="s">
        <v>186</v>
      </c>
      <c r="K223" s="27" t="e">
        <f t="array" ref="K223">INDEX(TXRESULT!$B$1:$I$1000,MATCH($D$204&amp;J223&amp;$F$220&amp;"OBUE1",TXRESULT!$C$1:$C$1000&amp;TXRESULT!$B$1:$B$1000&amp;TXRESULT!$H$1:$H$1000&amp;TXRESULT!$K$1:$K$1000,0),5)</f>
        <v>#N/A</v>
      </c>
      <c r="L223" s="146"/>
      <c r="M223" s="27" t="e">
        <f t="shared" si="17"/>
        <v>#N/A</v>
      </c>
      <c r="N223" s="27" t="str">
        <f t="shared" si="12"/>
        <v/>
      </c>
    </row>
    <row r="224" spans="1:14" x14ac:dyDescent="0.3">
      <c r="A224" s="116"/>
      <c r="B224" s="169"/>
      <c r="C224" s="170"/>
      <c r="D224" s="165"/>
      <c r="E224" s="119"/>
      <c r="F224" s="165"/>
      <c r="G224" s="126"/>
      <c r="H224" s="127"/>
      <c r="I224" s="128"/>
      <c r="J224" s="25" t="s">
        <v>187</v>
      </c>
      <c r="K224" s="27" t="e">
        <f t="array" ref="K224">INDEX(TXRESULT!$B$1:$I$1000,MATCH($D$204&amp;J224&amp;$F$220&amp;"OBUE1",TXRESULT!$C$1:$C$1000&amp;TXRESULT!$B$1:$B$1000&amp;TXRESULT!$H$1:$H$1000&amp;TXRESULT!$K$1:$K$1000,0),5)</f>
        <v>#N/A</v>
      </c>
      <c r="L224" s="146"/>
      <c r="M224" s="27" t="e">
        <f t="shared" si="17"/>
        <v>#N/A</v>
      </c>
      <c r="N224" s="27" t="str">
        <f t="shared" si="12"/>
        <v/>
      </c>
    </row>
    <row r="225" spans="1:14" x14ac:dyDescent="0.3">
      <c r="A225" s="116"/>
      <c r="B225" s="169"/>
      <c r="C225" s="170"/>
      <c r="D225" s="165"/>
      <c r="E225" s="119"/>
      <c r="F225" s="165"/>
      <c r="G225" s="126"/>
      <c r="H225" s="127"/>
      <c r="I225" s="128"/>
      <c r="J225" s="25" t="s">
        <v>188</v>
      </c>
      <c r="K225" s="27" t="e">
        <f t="array" ref="K225">INDEX(TXRESULT!$B$1:$I$1000,MATCH($D$204&amp;J225&amp;$F$220&amp;"OBUE1",TXRESULT!$C$1:$C$1000&amp;TXRESULT!$B$1:$B$1000&amp;TXRESULT!$H$1:$H$1000&amp;TXRESULT!$K$1:$K$1000,0),5)</f>
        <v>#N/A</v>
      </c>
      <c r="L225" s="146"/>
      <c r="M225" s="27" t="e">
        <f t="shared" si="17"/>
        <v>#N/A</v>
      </c>
      <c r="N225" s="27" t="str">
        <f t="shared" si="12"/>
        <v/>
      </c>
    </row>
    <row r="226" spans="1:14" x14ac:dyDescent="0.3">
      <c r="A226" s="116"/>
      <c r="B226" s="169"/>
      <c r="C226" s="170"/>
      <c r="D226" s="165"/>
      <c r="E226" s="119"/>
      <c r="F226" s="165"/>
      <c r="G226" s="126"/>
      <c r="H226" s="127"/>
      <c r="I226" s="128"/>
      <c r="J226" s="25" t="s">
        <v>189</v>
      </c>
      <c r="K226" s="27" t="e">
        <f t="array" ref="K226">INDEX(TXRESULT!$B$1:$I$1000,MATCH($D$204&amp;J226&amp;$F$220&amp;"OBUE1",TXRESULT!$C$1:$C$1000&amp;TXRESULT!$B$1:$B$1000&amp;TXRESULT!$H$1:$H$1000&amp;TXRESULT!$K$1:$K$1000,0),5)</f>
        <v>#N/A</v>
      </c>
      <c r="L226" s="146"/>
      <c r="M226" s="27" t="e">
        <f t="shared" si="17"/>
        <v>#N/A</v>
      </c>
      <c r="N226" s="27" t="str">
        <f t="shared" si="12"/>
        <v/>
      </c>
    </row>
    <row r="227" spans="1:14" x14ac:dyDescent="0.3">
      <c r="A227" s="116"/>
      <c r="B227" s="169"/>
      <c r="C227" s="170"/>
      <c r="D227" s="166"/>
      <c r="E227" s="120"/>
      <c r="F227" s="166"/>
      <c r="G227" s="129"/>
      <c r="H227" s="130"/>
      <c r="I227" s="131"/>
      <c r="J227" s="25" t="s">
        <v>190</v>
      </c>
      <c r="K227" s="27" t="e">
        <f t="array" ref="K227">INDEX(TXRESULT!$B$1:$I$1000,MATCH($D$204&amp;J227&amp;$F$220&amp;"OBUE1",TXRESULT!$C$1:$C$1000&amp;TXRESULT!$B$1:$B$1000&amp;TXRESULT!$H$1:$H$1000&amp;TXRESULT!$K$1:$K$1000,0),5)</f>
        <v>#N/A</v>
      </c>
      <c r="L227" s="146"/>
      <c r="M227" s="27" t="e">
        <f t="shared" si="17"/>
        <v>#N/A</v>
      </c>
      <c r="N227" s="27" t="str">
        <f t="shared" si="12"/>
        <v/>
      </c>
    </row>
    <row r="228" spans="1:14" ht="15.75" customHeight="1" x14ac:dyDescent="0.3">
      <c r="A228" s="116"/>
      <c r="B228" s="169"/>
      <c r="C228" s="170"/>
      <c r="D228" s="164" t="s">
        <v>261</v>
      </c>
      <c r="E228" s="132" t="s">
        <v>52</v>
      </c>
      <c r="F228" s="164" t="s">
        <v>53</v>
      </c>
      <c r="G228" s="123" t="s">
        <v>126</v>
      </c>
      <c r="H228" s="124"/>
      <c r="I228" s="125"/>
      <c r="J228" s="25" t="s">
        <v>183</v>
      </c>
      <c r="K228" s="27" t="e">
        <f t="array" ref="K228">INDEX(TXRESULT!$B$1:$I$1000,MATCH($D$228&amp;J228&amp;$F$228&amp;"SPUR1",TXRESULT!$C$1:$C$1000&amp;TXRESULT!$B$1:$B$1000&amp;TXRESULT!$H$1:$H$1000&amp;TXRESULT!$K$1:$K$1000,0),5)</f>
        <v>#N/A</v>
      </c>
      <c r="L228" s="146"/>
      <c r="M228" s="27" t="e">
        <f>IF(ISBLANK(K228),"",IF(AND(K228*1&lt;-36),"PASS","FAIL"))</f>
        <v>#N/A</v>
      </c>
      <c r="N228" s="27" t="str">
        <f t="shared" si="12"/>
        <v/>
      </c>
    </row>
    <row r="229" spans="1:14" x14ac:dyDescent="0.3">
      <c r="A229" s="116"/>
      <c r="B229" s="169"/>
      <c r="C229" s="170"/>
      <c r="D229" s="165"/>
      <c r="E229" s="119"/>
      <c r="F229" s="165"/>
      <c r="G229" s="126"/>
      <c r="H229" s="127"/>
      <c r="I229" s="128"/>
      <c r="J229" s="25" t="s">
        <v>184</v>
      </c>
      <c r="K229" s="27" t="e">
        <f t="array" ref="K229">INDEX(TXRESULT!$B$1:$I$1000,MATCH($D$228&amp;J229&amp;$F$228&amp;"SPUR1",TXRESULT!$C$1:$C$1000&amp;TXRESULT!$B$1:$B$1000&amp;TXRESULT!$H$1:$H$1000&amp;TXRESULT!$K$1:$K$1000,0),5)</f>
        <v>#N/A</v>
      </c>
      <c r="L229" s="146"/>
      <c r="M229" s="27" t="e">
        <f t="shared" ref="M229:M251" si="18">IF(ISBLANK(K229),"",IF(AND(K229*1&lt;-36),"PASS","FAIL"))</f>
        <v>#N/A</v>
      </c>
      <c r="N229" s="27" t="str">
        <f t="shared" si="12"/>
        <v/>
      </c>
    </row>
    <row r="230" spans="1:14" x14ac:dyDescent="0.3">
      <c r="A230" s="116"/>
      <c r="B230" s="169"/>
      <c r="C230" s="170"/>
      <c r="D230" s="165"/>
      <c r="E230" s="119"/>
      <c r="F230" s="165"/>
      <c r="G230" s="126"/>
      <c r="H230" s="127"/>
      <c r="I230" s="128"/>
      <c r="J230" s="25" t="s">
        <v>185</v>
      </c>
      <c r="K230" s="27" t="e">
        <f t="array" ref="K230">INDEX(TXRESULT!$B$1:$I$1000,MATCH($D$228&amp;J230&amp;$F$228&amp;"SPUR1",TXRESULT!$C$1:$C$1000&amp;TXRESULT!$B$1:$B$1000&amp;TXRESULT!$H$1:$H$1000&amp;TXRESULT!$K$1:$K$1000,0),5)</f>
        <v>#N/A</v>
      </c>
      <c r="L230" s="146"/>
      <c r="M230" s="27" t="e">
        <f t="shared" si="18"/>
        <v>#N/A</v>
      </c>
      <c r="N230" s="27" t="str">
        <f t="shared" si="12"/>
        <v/>
      </c>
    </row>
    <row r="231" spans="1:14" x14ac:dyDescent="0.3">
      <c r="A231" s="116"/>
      <c r="B231" s="169"/>
      <c r="C231" s="170"/>
      <c r="D231" s="165"/>
      <c r="E231" s="119"/>
      <c r="F231" s="165"/>
      <c r="G231" s="126"/>
      <c r="H231" s="127"/>
      <c r="I231" s="128"/>
      <c r="J231" s="25" t="s">
        <v>186</v>
      </c>
      <c r="K231" s="27" t="e">
        <f t="array" ref="K231">INDEX(TXRESULT!$B$1:$I$1000,MATCH($D$228&amp;J231&amp;$F$228&amp;"SPUR1",TXRESULT!$C$1:$C$1000&amp;TXRESULT!$B$1:$B$1000&amp;TXRESULT!$H$1:$H$1000&amp;TXRESULT!$K$1:$K$1000,0),5)</f>
        <v>#N/A</v>
      </c>
      <c r="L231" s="146"/>
      <c r="M231" s="27" t="e">
        <f t="shared" si="18"/>
        <v>#N/A</v>
      </c>
      <c r="N231" s="27" t="str">
        <f t="shared" si="12"/>
        <v/>
      </c>
    </row>
    <row r="232" spans="1:14" x14ac:dyDescent="0.3">
      <c r="A232" s="116"/>
      <c r="B232" s="169"/>
      <c r="C232" s="170"/>
      <c r="D232" s="165"/>
      <c r="E232" s="119"/>
      <c r="F232" s="165"/>
      <c r="G232" s="126"/>
      <c r="H232" s="127"/>
      <c r="I232" s="128"/>
      <c r="J232" s="25" t="s">
        <v>187</v>
      </c>
      <c r="K232" s="27" t="e">
        <f t="array" ref="K232">INDEX(TXRESULT!$B$1:$I$1000,MATCH($D$228&amp;J232&amp;$F$228&amp;"SPUR1",TXRESULT!$C$1:$C$1000&amp;TXRESULT!$B$1:$B$1000&amp;TXRESULT!$H$1:$H$1000&amp;TXRESULT!$K$1:$K$1000,0),5)</f>
        <v>#N/A</v>
      </c>
      <c r="L232" s="146"/>
      <c r="M232" s="27" t="e">
        <f t="shared" si="18"/>
        <v>#N/A</v>
      </c>
      <c r="N232" s="27" t="str">
        <f t="shared" si="12"/>
        <v/>
      </c>
    </row>
    <row r="233" spans="1:14" x14ac:dyDescent="0.3">
      <c r="A233" s="116"/>
      <c r="B233" s="169"/>
      <c r="C233" s="170"/>
      <c r="D233" s="165"/>
      <c r="E233" s="119"/>
      <c r="F233" s="165"/>
      <c r="G233" s="126"/>
      <c r="H233" s="127"/>
      <c r="I233" s="128"/>
      <c r="J233" s="25" t="s">
        <v>188</v>
      </c>
      <c r="K233" s="27" t="e">
        <f t="array" ref="K233">INDEX(TXRESULT!$B$1:$I$1000,MATCH($D$228&amp;J233&amp;$F$228&amp;"SPUR1",TXRESULT!$C$1:$C$1000&amp;TXRESULT!$B$1:$B$1000&amp;TXRESULT!$H$1:$H$1000&amp;TXRESULT!$K$1:$K$1000,0),5)</f>
        <v>#N/A</v>
      </c>
      <c r="L233" s="146"/>
      <c r="M233" s="27" t="e">
        <f t="shared" si="18"/>
        <v>#N/A</v>
      </c>
      <c r="N233" s="27" t="str">
        <f t="shared" si="12"/>
        <v/>
      </c>
    </row>
    <row r="234" spans="1:14" x14ac:dyDescent="0.3">
      <c r="A234" s="116"/>
      <c r="B234" s="169"/>
      <c r="C234" s="170"/>
      <c r="D234" s="165"/>
      <c r="E234" s="119"/>
      <c r="F234" s="165"/>
      <c r="G234" s="126"/>
      <c r="H234" s="127"/>
      <c r="I234" s="128"/>
      <c r="J234" s="25" t="s">
        <v>189</v>
      </c>
      <c r="K234" s="27" t="e">
        <f t="array" ref="K234">INDEX(TXRESULT!$B$1:$I$1000,MATCH($D$228&amp;J234&amp;$F$228&amp;"SPUR1",TXRESULT!$C$1:$C$1000&amp;TXRESULT!$B$1:$B$1000&amp;TXRESULT!$H$1:$H$1000&amp;TXRESULT!$K$1:$K$1000,0),5)</f>
        <v>#N/A</v>
      </c>
      <c r="L234" s="146"/>
      <c r="M234" s="27" t="e">
        <f t="shared" si="18"/>
        <v>#N/A</v>
      </c>
      <c r="N234" s="27" t="str">
        <f t="shared" si="12"/>
        <v/>
      </c>
    </row>
    <row r="235" spans="1:14" x14ac:dyDescent="0.3">
      <c r="A235" s="116"/>
      <c r="B235" s="169"/>
      <c r="C235" s="170"/>
      <c r="D235" s="165"/>
      <c r="E235" s="120"/>
      <c r="F235" s="166"/>
      <c r="G235" s="129"/>
      <c r="H235" s="130"/>
      <c r="I235" s="131"/>
      <c r="J235" s="25" t="s">
        <v>190</v>
      </c>
      <c r="K235" s="27" t="e">
        <f t="array" ref="K235">INDEX(TXRESULT!$B$1:$I$1000,MATCH($D$228&amp;J235&amp;$F$228&amp;"SPUR1",TXRESULT!$C$1:$C$1000&amp;TXRESULT!$B$1:$B$1000&amp;TXRESULT!$H$1:$H$1000&amp;TXRESULT!$K$1:$K$1000,0),5)</f>
        <v>#N/A</v>
      </c>
      <c r="L235" s="146"/>
      <c r="M235" s="27" t="e">
        <f t="shared" si="18"/>
        <v>#N/A</v>
      </c>
      <c r="N235" s="27" t="str">
        <f t="shared" si="12"/>
        <v/>
      </c>
    </row>
    <row r="236" spans="1:14" ht="15.75" customHeight="1" x14ac:dyDescent="0.3">
      <c r="A236" s="116"/>
      <c r="B236" s="169"/>
      <c r="C236" s="170"/>
      <c r="D236" s="165"/>
      <c r="E236" s="132" t="s">
        <v>52</v>
      </c>
      <c r="F236" s="164" t="s">
        <v>53</v>
      </c>
      <c r="G236" s="123" t="s">
        <v>128</v>
      </c>
      <c r="H236" s="124"/>
      <c r="I236" s="125"/>
      <c r="J236" s="25" t="s">
        <v>183</v>
      </c>
      <c r="K236" s="27" t="e">
        <f t="array" ref="K236">INDEX(TXRESULT!$B$1:$I$1000,MATCH($D$228&amp;J236&amp;$F$236&amp;"SPUR2",TXRESULT!$C$1:$C$1000&amp;TXRESULT!$B$1:$B$1000&amp;TXRESULT!$H$1:$H$1000&amp;TXRESULT!$K$1:$K$1000,0),5)</f>
        <v>#N/A</v>
      </c>
      <c r="L236" s="146"/>
      <c r="M236" s="27" t="e">
        <f t="shared" si="18"/>
        <v>#N/A</v>
      </c>
      <c r="N236" s="27" t="str">
        <f t="shared" ref="N236:N267" si="19">IF(ISBLANK(K236),"CHUADO","")</f>
        <v/>
      </c>
    </row>
    <row r="237" spans="1:14" x14ac:dyDescent="0.3">
      <c r="A237" s="116"/>
      <c r="B237" s="169"/>
      <c r="C237" s="170"/>
      <c r="D237" s="165"/>
      <c r="E237" s="119"/>
      <c r="F237" s="165"/>
      <c r="G237" s="126"/>
      <c r="H237" s="127"/>
      <c r="I237" s="128"/>
      <c r="J237" s="25" t="s">
        <v>184</v>
      </c>
      <c r="K237" s="27" t="e">
        <f t="array" ref="K237">INDEX(TXRESULT!$B$1:$I$1000,MATCH($D$228&amp;J237&amp;$F$236&amp;"SPUR2",TXRESULT!$C$1:$C$1000&amp;TXRESULT!$B$1:$B$1000&amp;TXRESULT!$H$1:$H$1000&amp;TXRESULT!$K$1:$K$1000,0),5)</f>
        <v>#N/A</v>
      </c>
      <c r="L237" s="146"/>
      <c r="M237" s="27" t="e">
        <f t="shared" si="18"/>
        <v>#N/A</v>
      </c>
      <c r="N237" s="27" t="str">
        <f t="shared" si="19"/>
        <v/>
      </c>
    </row>
    <row r="238" spans="1:14" x14ac:dyDescent="0.3">
      <c r="A238" s="116"/>
      <c r="B238" s="169"/>
      <c r="C238" s="170"/>
      <c r="D238" s="165"/>
      <c r="E238" s="119"/>
      <c r="F238" s="165"/>
      <c r="G238" s="126"/>
      <c r="H238" s="127"/>
      <c r="I238" s="128"/>
      <c r="J238" s="25" t="s">
        <v>185</v>
      </c>
      <c r="K238" s="27" t="e">
        <f t="array" ref="K238">INDEX(TXRESULT!$B$1:$I$1000,MATCH($D$228&amp;J238&amp;$F$236&amp;"SPUR2",TXRESULT!$C$1:$C$1000&amp;TXRESULT!$B$1:$B$1000&amp;TXRESULT!$H$1:$H$1000&amp;TXRESULT!$K$1:$K$1000,0),5)</f>
        <v>#N/A</v>
      </c>
      <c r="L238" s="146"/>
      <c r="M238" s="27" t="e">
        <f t="shared" si="18"/>
        <v>#N/A</v>
      </c>
      <c r="N238" s="27" t="str">
        <f t="shared" si="19"/>
        <v/>
      </c>
    </row>
    <row r="239" spans="1:14" x14ac:dyDescent="0.3">
      <c r="A239" s="116"/>
      <c r="B239" s="169"/>
      <c r="C239" s="170"/>
      <c r="D239" s="165"/>
      <c r="E239" s="119"/>
      <c r="F239" s="165"/>
      <c r="G239" s="126"/>
      <c r="H239" s="127"/>
      <c r="I239" s="128"/>
      <c r="J239" s="25" t="s">
        <v>186</v>
      </c>
      <c r="K239" s="27" t="e">
        <f t="array" ref="K239">INDEX(TXRESULT!$B$1:$I$1000,MATCH($D$228&amp;J239&amp;$F$236&amp;"SPUR2",TXRESULT!$C$1:$C$1000&amp;TXRESULT!$B$1:$B$1000&amp;TXRESULT!$H$1:$H$1000&amp;TXRESULT!$K$1:$K$1000,0),5)</f>
        <v>#N/A</v>
      </c>
      <c r="L239" s="146"/>
      <c r="M239" s="27" t="e">
        <f t="shared" si="18"/>
        <v>#N/A</v>
      </c>
      <c r="N239" s="27" t="str">
        <f t="shared" si="19"/>
        <v/>
      </c>
    </row>
    <row r="240" spans="1:14" x14ac:dyDescent="0.3">
      <c r="A240" s="116"/>
      <c r="B240" s="169"/>
      <c r="C240" s="170"/>
      <c r="D240" s="165"/>
      <c r="E240" s="119"/>
      <c r="F240" s="165"/>
      <c r="G240" s="126"/>
      <c r="H240" s="127"/>
      <c r="I240" s="128"/>
      <c r="J240" s="25" t="s">
        <v>187</v>
      </c>
      <c r="K240" s="27" t="e">
        <f t="array" ref="K240">INDEX(TXRESULT!$B$1:$I$1000,MATCH($D$228&amp;J240&amp;$F$236&amp;"SPUR2",TXRESULT!$C$1:$C$1000&amp;TXRESULT!$B$1:$B$1000&amp;TXRESULT!$H$1:$H$1000&amp;TXRESULT!$K$1:$K$1000,0),5)</f>
        <v>#N/A</v>
      </c>
      <c r="L240" s="146"/>
      <c r="M240" s="27" t="e">
        <f t="shared" si="18"/>
        <v>#N/A</v>
      </c>
      <c r="N240" s="27" t="str">
        <f t="shared" si="19"/>
        <v/>
      </c>
    </row>
    <row r="241" spans="1:14" x14ac:dyDescent="0.3">
      <c r="A241" s="116"/>
      <c r="B241" s="169"/>
      <c r="C241" s="170"/>
      <c r="D241" s="165"/>
      <c r="E241" s="119"/>
      <c r="F241" s="165"/>
      <c r="G241" s="126"/>
      <c r="H241" s="127"/>
      <c r="I241" s="128"/>
      <c r="J241" s="25" t="s">
        <v>188</v>
      </c>
      <c r="K241" s="27" t="e">
        <f t="array" ref="K241">INDEX(TXRESULT!$B$1:$I$1000,MATCH($D$228&amp;J241&amp;$F$236&amp;"SPUR2",TXRESULT!$C$1:$C$1000&amp;TXRESULT!$B$1:$B$1000&amp;TXRESULT!$H$1:$H$1000&amp;TXRESULT!$K$1:$K$1000,0),5)</f>
        <v>#N/A</v>
      </c>
      <c r="L241" s="146"/>
      <c r="M241" s="27" t="e">
        <f t="shared" si="18"/>
        <v>#N/A</v>
      </c>
      <c r="N241" s="27" t="str">
        <f t="shared" si="19"/>
        <v/>
      </c>
    </row>
    <row r="242" spans="1:14" x14ac:dyDescent="0.3">
      <c r="A242" s="116"/>
      <c r="B242" s="169"/>
      <c r="C242" s="170"/>
      <c r="D242" s="165"/>
      <c r="E242" s="119"/>
      <c r="F242" s="165"/>
      <c r="G242" s="126"/>
      <c r="H242" s="127"/>
      <c r="I242" s="128"/>
      <c r="J242" s="25" t="s">
        <v>189</v>
      </c>
      <c r="K242" s="27" t="e">
        <f t="array" ref="K242">INDEX(TXRESULT!$B$1:$I$1000,MATCH($D$228&amp;J242&amp;$F$236&amp;"SPUR2",TXRESULT!$C$1:$C$1000&amp;TXRESULT!$B$1:$B$1000&amp;TXRESULT!$H$1:$H$1000&amp;TXRESULT!$K$1:$K$1000,0),5)</f>
        <v>#N/A</v>
      </c>
      <c r="L242" s="146"/>
      <c r="M242" s="27" t="e">
        <f t="shared" si="18"/>
        <v>#N/A</v>
      </c>
      <c r="N242" s="27" t="str">
        <f t="shared" si="19"/>
        <v/>
      </c>
    </row>
    <row r="243" spans="1:14" x14ac:dyDescent="0.3">
      <c r="A243" s="116"/>
      <c r="B243" s="169"/>
      <c r="C243" s="170"/>
      <c r="D243" s="165"/>
      <c r="E243" s="120"/>
      <c r="F243" s="166"/>
      <c r="G243" s="129"/>
      <c r="H243" s="130"/>
      <c r="I243" s="131"/>
      <c r="J243" s="25" t="s">
        <v>190</v>
      </c>
      <c r="K243" s="27" t="e">
        <f t="array" ref="K243">INDEX(TXRESULT!$B$1:$I$1000,MATCH($D$228&amp;J243&amp;$F$236&amp;"SPUR2",TXRESULT!$C$1:$C$1000&amp;TXRESULT!$B$1:$B$1000&amp;TXRESULT!$H$1:$H$1000&amp;TXRESULT!$K$1:$K$1000,0),5)</f>
        <v>#N/A</v>
      </c>
      <c r="L243" s="146"/>
      <c r="M243" s="27" t="e">
        <f t="shared" si="18"/>
        <v>#N/A</v>
      </c>
      <c r="N243" s="27" t="str">
        <f t="shared" si="19"/>
        <v/>
      </c>
    </row>
    <row r="244" spans="1:14" ht="15.75" customHeight="1" x14ac:dyDescent="0.3">
      <c r="A244" s="116"/>
      <c r="B244" s="169"/>
      <c r="C244" s="170"/>
      <c r="D244" s="165"/>
      <c r="E244" s="132" t="s">
        <v>52</v>
      </c>
      <c r="F244" s="164" t="s">
        <v>53</v>
      </c>
      <c r="G244" s="123" t="s">
        <v>129</v>
      </c>
      <c r="H244" s="124"/>
      <c r="I244" s="125"/>
      <c r="J244" s="25" t="s">
        <v>183</v>
      </c>
      <c r="K244" s="27" t="e">
        <f t="array" ref="K244">INDEX(TXRESULT!$B$1:$I$1000,MATCH($D$228&amp;J244&amp;$F$244&amp;"SPUR3",TXRESULT!$C$1:$C$1000&amp;TXRESULT!$B$1:$B$1000&amp;TXRESULT!$H$1:$H$1000&amp;TXRESULT!$K$1:$K$1000,0),5)</f>
        <v>#N/A</v>
      </c>
      <c r="L244" s="146"/>
      <c r="M244" s="27" t="e">
        <f t="shared" si="18"/>
        <v>#N/A</v>
      </c>
      <c r="N244" s="27" t="str">
        <f t="shared" si="19"/>
        <v/>
      </c>
    </row>
    <row r="245" spans="1:14" x14ac:dyDescent="0.3">
      <c r="A245" s="116"/>
      <c r="B245" s="169"/>
      <c r="C245" s="170"/>
      <c r="D245" s="165"/>
      <c r="E245" s="119"/>
      <c r="F245" s="165"/>
      <c r="G245" s="126"/>
      <c r="H245" s="127"/>
      <c r="I245" s="128"/>
      <c r="J245" s="25" t="s">
        <v>184</v>
      </c>
      <c r="K245" s="27" t="e">
        <f t="array" ref="K245">INDEX(TXRESULT!$B$1:$I$1000,MATCH($D$228&amp;J245&amp;$F$244&amp;"SPUR3",TXRESULT!$C$1:$C$1000&amp;TXRESULT!$B$1:$B$1000&amp;TXRESULT!$H$1:$H$1000&amp;TXRESULT!$K$1:$K$1000,0),5)</f>
        <v>#N/A</v>
      </c>
      <c r="L245" s="146"/>
      <c r="M245" s="27" t="e">
        <f t="shared" si="18"/>
        <v>#N/A</v>
      </c>
      <c r="N245" s="27" t="str">
        <f t="shared" si="19"/>
        <v/>
      </c>
    </row>
    <row r="246" spans="1:14" x14ac:dyDescent="0.3">
      <c r="A246" s="116"/>
      <c r="B246" s="169"/>
      <c r="C246" s="170"/>
      <c r="D246" s="165"/>
      <c r="E246" s="119"/>
      <c r="F246" s="165"/>
      <c r="G246" s="126"/>
      <c r="H246" s="127"/>
      <c r="I246" s="128"/>
      <c r="J246" s="25" t="s">
        <v>185</v>
      </c>
      <c r="K246" s="27" t="e">
        <f t="array" ref="K246">INDEX(TXRESULT!$B$1:$I$1000,MATCH($D$228&amp;J246&amp;$F$244&amp;"SPUR3",TXRESULT!$C$1:$C$1000&amp;TXRESULT!$B$1:$B$1000&amp;TXRESULT!$H$1:$H$1000&amp;TXRESULT!$K$1:$K$1000,0),5)</f>
        <v>#N/A</v>
      </c>
      <c r="L246" s="146"/>
      <c r="M246" s="27" t="e">
        <f t="shared" si="18"/>
        <v>#N/A</v>
      </c>
      <c r="N246" s="27" t="str">
        <f t="shared" si="19"/>
        <v/>
      </c>
    </row>
    <row r="247" spans="1:14" x14ac:dyDescent="0.3">
      <c r="A247" s="116"/>
      <c r="B247" s="169"/>
      <c r="C247" s="170"/>
      <c r="D247" s="165"/>
      <c r="E247" s="119"/>
      <c r="F247" s="165"/>
      <c r="G247" s="126"/>
      <c r="H247" s="127"/>
      <c r="I247" s="128"/>
      <c r="J247" s="25" t="s">
        <v>186</v>
      </c>
      <c r="K247" s="27" t="e">
        <f t="array" ref="K247">INDEX(TXRESULT!$B$1:$I$1000,MATCH($D$228&amp;J247&amp;$F$244&amp;"SPUR3",TXRESULT!$C$1:$C$1000&amp;TXRESULT!$B$1:$B$1000&amp;TXRESULT!$H$1:$H$1000&amp;TXRESULT!$K$1:$K$1000,0),5)</f>
        <v>#N/A</v>
      </c>
      <c r="L247" s="146"/>
      <c r="M247" s="27" t="e">
        <f t="shared" si="18"/>
        <v>#N/A</v>
      </c>
      <c r="N247" s="27" t="str">
        <f t="shared" si="19"/>
        <v/>
      </c>
    </row>
    <row r="248" spans="1:14" x14ac:dyDescent="0.3">
      <c r="A248" s="116"/>
      <c r="B248" s="169"/>
      <c r="C248" s="170"/>
      <c r="D248" s="165"/>
      <c r="E248" s="119"/>
      <c r="F248" s="165"/>
      <c r="G248" s="126"/>
      <c r="H248" s="127"/>
      <c r="I248" s="128"/>
      <c r="J248" s="25" t="s">
        <v>187</v>
      </c>
      <c r="K248" s="27" t="e">
        <f t="array" ref="K248">INDEX(TXRESULT!$B$1:$I$1000,MATCH($D$228&amp;J248&amp;$F$244&amp;"SPUR3",TXRESULT!$C$1:$C$1000&amp;TXRESULT!$B$1:$B$1000&amp;TXRESULT!$H$1:$H$1000&amp;TXRESULT!$K$1:$K$1000,0),5)</f>
        <v>#N/A</v>
      </c>
      <c r="L248" s="146"/>
      <c r="M248" s="27" t="e">
        <f t="shared" si="18"/>
        <v>#N/A</v>
      </c>
      <c r="N248" s="27" t="str">
        <f t="shared" si="19"/>
        <v/>
      </c>
    </row>
    <row r="249" spans="1:14" x14ac:dyDescent="0.3">
      <c r="A249" s="116"/>
      <c r="B249" s="169"/>
      <c r="C249" s="170"/>
      <c r="D249" s="165"/>
      <c r="E249" s="119"/>
      <c r="F249" s="165"/>
      <c r="G249" s="126"/>
      <c r="H249" s="127"/>
      <c r="I249" s="128"/>
      <c r="J249" s="25" t="s">
        <v>188</v>
      </c>
      <c r="K249" s="27" t="e">
        <f t="array" ref="K249">INDEX(TXRESULT!$B$1:$I$1000,MATCH($D$228&amp;J249&amp;$F$244&amp;"SPUR3",TXRESULT!$C$1:$C$1000&amp;TXRESULT!$B$1:$B$1000&amp;TXRESULT!$H$1:$H$1000&amp;TXRESULT!$K$1:$K$1000,0),5)</f>
        <v>#N/A</v>
      </c>
      <c r="L249" s="146"/>
      <c r="M249" s="27" t="e">
        <f t="shared" si="18"/>
        <v>#N/A</v>
      </c>
      <c r="N249" s="27" t="str">
        <f t="shared" si="19"/>
        <v/>
      </c>
    </row>
    <row r="250" spans="1:14" x14ac:dyDescent="0.3">
      <c r="A250" s="116"/>
      <c r="B250" s="169"/>
      <c r="C250" s="170"/>
      <c r="D250" s="165"/>
      <c r="E250" s="119"/>
      <c r="F250" s="165"/>
      <c r="G250" s="126"/>
      <c r="H250" s="127"/>
      <c r="I250" s="128"/>
      <c r="J250" s="25" t="s">
        <v>189</v>
      </c>
      <c r="K250" s="27" t="e">
        <f t="array" ref="K250">INDEX(TXRESULT!$B$1:$I$1000,MATCH($D$228&amp;J250&amp;$F$244&amp;"SPUR3",TXRESULT!$C$1:$C$1000&amp;TXRESULT!$B$1:$B$1000&amp;TXRESULT!$H$1:$H$1000&amp;TXRESULT!$K$1:$K$1000,0),5)</f>
        <v>#N/A</v>
      </c>
      <c r="L250" s="146"/>
      <c r="M250" s="27" t="e">
        <f t="shared" si="18"/>
        <v>#N/A</v>
      </c>
      <c r="N250" s="27" t="str">
        <f t="shared" si="19"/>
        <v/>
      </c>
    </row>
    <row r="251" spans="1:14" x14ac:dyDescent="0.3">
      <c r="A251" s="116"/>
      <c r="B251" s="169"/>
      <c r="C251" s="170"/>
      <c r="D251" s="165"/>
      <c r="E251" s="120"/>
      <c r="F251" s="166"/>
      <c r="G251" s="129"/>
      <c r="H251" s="130"/>
      <c r="I251" s="131"/>
      <c r="J251" s="25" t="s">
        <v>190</v>
      </c>
      <c r="K251" s="27" t="e">
        <f t="array" ref="K251">INDEX(TXRESULT!$B$1:$I$1000,MATCH($D$228&amp;J251&amp;$F$244&amp;"SPUR3",TXRESULT!$C$1:$C$1000&amp;TXRESULT!$B$1:$B$1000&amp;TXRESULT!$H$1:$H$1000&amp;TXRESULT!$K$1:$K$1000,0),5)</f>
        <v>#N/A</v>
      </c>
      <c r="L251" s="146"/>
      <c r="M251" s="27" t="e">
        <f t="shared" si="18"/>
        <v>#N/A</v>
      </c>
      <c r="N251" s="27" t="str">
        <f t="shared" si="19"/>
        <v/>
      </c>
    </row>
    <row r="252" spans="1:14" ht="15.75" customHeight="1" x14ac:dyDescent="0.3">
      <c r="A252" s="116"/>
      <c r="B252" s="169"/>
      <c r="C252" s="170"/>
      <c r="D252" s="165"/>
      <c r="E252" s="132" t="s">
        <v>52</v>
      </c>
      <c r="F252" s="164" t="s">
        <v>53</v>
      </c>
      <c r="G252" s="123" t="s">
        <v>130</v>
      </c>
      <c r="H252" s="124"/>
      <c r="I252" s="125"/>
      <c r="J252" s="25" t="s">
        <v>183</v>
      </c>
      <c r="K252" s="27" t="e">
        <f t="array" ref="K252">INDEX(TXRESULT!$B$1:$I$1000,MATCH($D$228&amp;J252&amp;$F$252&amp;"SPUR4",TXRESULT!$C$1:$C$1000&amp;TXRESULT!$B$1:$B$1000&amp;TXRESULT!$H$1:$H$1000&amp;TXRESULT!$K$1:$K$1000,0),5)</f>
        <v>#N/A</v>
      </c>
      <c r="L252" s="146"/>
      <c r="M252" s="27" t="e">
        <f>IF(ISBLANK(K252),"",IF(AND(K252*1&lt;-30),"PASS","FAIL"))</f>
        <v>#N/A</v>
      </c>
      <c r="N252" s="27" t="str">
        <f t="shared" si="19"/>
        <v/>
      </c>
    </row>
    <row r="253" spans="1:14" x14ac:dyDescent="0.3">
      <c r="A253" s="116"/>
      <c r="B253" s="169"/>
      <c r="C253" s="170"/>
      <c r="D253" s="165"/>
      <c r="E253" s="119"/>
      <c r="F253" s="165"/>
      <c r="G253" s="126"/>
      <c r="H253" s="127"/>
      <c r="I253" s="128"/>
      <c r="J253" s="25" t="s">
        <v>184</v>
      </c>
      <c r="K253" s="27" t="e">
        <f t="array" ref="K253">INDEX(TXRESULT!$B$1:$I$1000,MATCH($D$228&amp;J253&amp;$F$252&amp;"SPUR4",TXRESULT!$C$1:$C$1000&amp;TXRESULT!$B$1:$B$1000&amp;TXRESULT!$H$1:$H$1000&amp;TXRESULT!$K$1:$K$1000,0),5)</f>
        <v>#N/A</v>
      </c>
      <c r="L253" s="146"/>
      <c r="M253" s="27" t="e">
        <f t="shared" ref="M253:M267" si="20">IF(ISBLANK(K253),"",IF(AND(K253*1&lt;-30),"PASS","FAIL"))</f>
        <v>#N/A</v>
      </c>
      <c r="N253" s="27" t="str">
        <f t="shared" si="19"/>
        <v/>
      </c>
    </row>
    <row r="254" spans="1:14" x14ac:dyDescent="0.3">
      <c r="A254" s="116"/>
      <c r="B254" s="169"/>
      <c r="C254" s="170"/>
      <c r="D254" s="165"/>
      <c r="E254" s="119"/>
      <c r="F254" s="165"/>
      <c r="G254" s="126"/>
      <c r="H254" s="127"/>
      <c r="I254" s="128"/>
      <c r="J254" s="25" t="s">
        <v>185</v>
      </c>
      <c r="K254" s="27" t="e">
        <f t="array" ref="K254">INDEX(TXRESULT!$B$1:$I$1000,MATCH($D$228&amp;J254&amp;$F$252&amp;"SPUR4",TXRESULT!$C$1:$C$1000&amp;TXRESULT!$B$1:$B$1000&amp;TXRESULT!$H$1:$H$1000&amp;TXRESULT!$K$1:$K$1000,0),5)</f>
        <v>#N/A</v>
      </c>
      <c r="L254" s="146"/>
      <c r="M254" s="27" t="e">
        <f t="shared" si="20"/>
        <v>#N/A</v>
      </c>
      <c r="N254" s="27" t="str">
        <f t="shared" si="19"/>
        <v/>
      </c>
    </row>
    <row r="255" spans="1:14" x14ac:dyDescent="0.3">
      <c r="A255" s="116"/>
      <c r="B255" s="169"/>
      <c r="C255" s="170"/>
      <c r="D255" s="165"/>
      <c r="E255" s="119"/>
      <c r="F255" s="165"/>
      <c r="G255" s="126"/>
      <c r="H255" s="127"/>
      <c r="I255" s="128"/>
      <c r="J255" s="25" t="s">
        <v>186</v>
      </c>
      <c r="K255" s="27" t="e">
        <f t="array" ref="K255">INDEX(TXRESULT!$B$1:$I$1000,MATCH($D$228&amp;J255&amp;$F$252&amp;"SPUR4",TXRESULT!$C$1:$C$1000&amp;TXRESULT!$B$1:$B$1000&amp;TXRESULT!$H$1:$H$1000&amp;TXRESULT!$K$1:$K$1000,0),5)</f>
        <v>#N/A</v>
      </c>
      <c r="L255" s="146"/>
      <c r="M255" s="27" t="e">
        <f t="shared" si="20"/>
        <v>#N/A</v>
      </c>
      <c r="N255" s="27" t="str">
        <f t="shared" si="19"/>
        <v/>
      </c>
    </row>
    <row r="256" spans="1:14" x14ac:dyDescent="0.3">
      <c r="A256" s="116"/>
      <c r="B256" s="169"/>
      <c r="C256" s="170"/>
      <c r="D256" s="165"/>
      <c r="E256" s="119"/>
      <c r="F256" s="165"/>
      <c r="G256" s="126"/>
      <c r="H256" s="127"/>
      <c r="I256" s="128"/>
      <c r="J256" s="25" t="s">
        <v>187</v>
      </c>
      <c r="K256" s="27" t="e">
        <f t="array" ref="K256">INDEX(TXRESULT!$B$1:$I$1000,MATCH($D$228&amp;J256&amp;$F$252&amp;"SPUR4",TXRESULT!$C$1:$C$1000&amp;TXRESULT!$B$1:$B$1000&amp;TXRESULT!$H$1:$H$1000&amp;TXRESULT!$K$1:$K$1000,0),5)</f>
        <v>#N/A</v>
      </c>
      <c r="L256" s="146"/>
      <c r="M256" s="27" t="e">
        <f t="shared" si="20"/>
        <v>#N/A</v>
      </c>
      <c r="N256" s="27" t="str">
        <f t="shared" si="19"/>
        <v/>
      </c>
    </row>
    <row r="257" spans="1:14" x14ac:dyDescent="0.3">
      <c r="A257" s="116"/>
      <c r="B257" s="169"/>
      <c r="C257" s="170"/>
      <c r="D257" s="165"/>
      <c r="E257" s="119"/>
      <c r="F257" s="165"/>
      <c r="G257" s="126"/>
      <c r="H257" s="127"/>
      <c r="I257" s="128"/>
      <c r="J257" s="25" t="s">
        <v>188</v>
      </c>
      <c r="K257" s="27" t="e">
        <f t="array" ref="K257">INDEX(TXRESULT!$B$1:$I$1000,MATCH($D$228&amp;J257&amp;$F$252&amp;"SPUR4",TXRESULT!$C$1:$C$1000&amp;TXRESULT!$B$1:$B$1000&amp;TXRESULT!$H$1:$H$1000&amp;TXRESULT!$K$1:$K$1000,0),5)</f>
        <v>#N/A</v>
      </c>
      <c r="L257" s="146"/>
      <c r="M257" s="27" t="e">
        <f t="shared" si="20"/>
        <v>#N/A</v>
      </c>
      <c r="N257" s="27" t="str">
        <f t="shared" si="19"/>
        <v/>
      </c>
    </row>
    <row r="258" spans="1:14" x14ac:dyDescent="0.3">
      <c r="A258" s="116"/>
      <c r="B258" s="169"/>
      <c r="C258" s="170"/>
      <c r="D258" s="165"/>
      <c r="E258" s="119"/>
      <c r="F258" s="165"/>
      <c r="G258" s="126"/>
      <c r="H258" s="127"/>
      <c r="I258" s="128"/>
      <c r="J258" s="25" t="s">
        <v>189</v>
      </c>
      <c r="K258" s="27" t="e">
        <f t="array" ref="K258">INDEX(TXRESULT!$B$1:$I$1000,MATCH($D$228&amp;J258&amp;$F$252&amp;"SPUR4",TXRESULT!$C$1:$C$1000&amp;TXRESULT!$B$1:$B$1000&amp;TXRESULT!$H$1:$H$1000&amp;TXRESULT!$K$1:$K$1000,0),5)</f>
        <v>#N/A</v>
      </c>
      <c r="L258" s="146"/>
      <c r="M258" s="27" t="e">
        <f t="shared" si="20"/>
        <v>#N/A</v>
      </c>
      <c r="N258" s="27" t="str">
        <f t="shared" si="19"/>
        <v/>
      </c>
    </row>
    <row r="259" spans="1:14" x14ac:dyDescent="0.3">
      <c r="A259" s="116"/>
      <c r="B259" s="169"/>
      <c r="C259" s="170"/>
      <c r="D259" s="165"/>
      <c r="E259" s="120"/>
      <c r="F259" s="166"/>
      <c r="G259" s="129"/>
      <c r="H259" s="130"/>
      <c r="I259" s="131"/>
      <c r="J259" s="25" t="s">
        <v>190</v>
      </c>
      <c r="K259" s="27" t="e">
        <f t="array" ref="K259">INDEX(TXRESULT!$B$1:$I$1000,MATCH($D$228&amp;J259&amp;$F$252&amp;"SPUR4",TXRESULT!$C$1:$C$1000&amp;TXRESULT!$B$1:$B$1000&amp;TXRESULT!$H$1:$H$1000&amp;TXRESULT!$K$1:$K$1000,0),5)</f>
        <v>#N/A</v>
      </c>
      <c r="L259" s="146"/>
      <c r="M259" s="27" t="e">
        <f t="shared" si="20"/>
        <v>#N/A</v>
      </c>
      <c r="N259" s="27" t="str">
        <f t="shared" si="19"/>
        <v/>
      </c>
    </row>
    <row r="260" spans="1:14" ht="15.75" customHeight="1" x14ac:dyDescent="0.3">
      <c r="A260" s="116"/>
      <c r="B260" s="169"/>
      <c r="C260" s="170"/>
      <c r="D260" s="165"/>
      <c r="E260" s="132" t="s">
        <v>52</v>
      </c>
      <c r="F260" s="164" t="s">
        <v>53</v>
      </c>
      <c r="G260" s="123" t="s">
        <v>131</v>
      </c>
      <c r="H260" s="124"/>
      <c r="I260" s="125"/>
      <c r="J260" s="25" t="s">
        <v>183</v>
      </c>
      <c r="K260" s="27" t="e">
        <f t="array" ref="K260">INDEX(TXRESULT!$B$1:$I$1000,MATCH($D$228&amp;J260&amp;$F$260&amp;"SPUR5",TXRESULT!$C$1:$C$1000&amp;TXRESULT!$B$1:$B$1000&amp;TXRESULT!$H$1:$H$1000&amp;TXRESULT!$K$1:$K$1000,0),5)</f>
        <v>#N/A</v>
      </c>
      <c r="L260" s="146"/>
      <c r="M260" s="27" t="e">
        <f t="shared" si="20"/>
        <v>#N/A</v>
      </c>
      <c r="N260" s="27" t="str">
        <f t="shared" si="19"/>
        <v/>
      </c>
    </row>
    <row r="261" spans="1:14" x14ac:dyDescent="0.3">
      <c r="A261" s="116"/>
      <c r="B261" s="169"/>
      <c r="C261" s="170"/>
      <c r="D261" s="165"/>
      <c r="E261" s="119"/>
      <c r="F261" s="165"/>
      <c r="G261" s="126"/>
      <c r="H261" s="127"/>
      <c r="I261" s="128"/>
      <c r="J261" s="25" t="s">
        <v>184</v>
      </c>
      <c r="K261" s="27" t="e">
        <f t="array" ref="K261">INDEX(TXRESULT!$B$1:$I$1000,MATCH($D$228&amp;J261&amp;$F$260&amp;"SPUR5",TXRESULT!$C$1:$C$1000&amp;TXRESULT!$B$1:$B$1000&amp;TXRESULT!$H$1:$H$1000&amp;TXRESULT!$K$1:$K$1000,0),5)</f>
        <v>#N/A</v>
      </c>
      <c r="L261" s="146"/>
      <c r="M261" s="27" t="e">
        <f t="shared" si="20"/>
        <v>#N/A</v>
      </c>
      <c r="N261" s="27" t="str">
        <f t="shared" si="19"/>
        <v/>
      </c>
    </row>
    <row r="262" spans="1:14" x14ac:dyDescent="0.3">
      <c r="A262" s="116"/>
      <c r="B262" s="169"/>
      <c r="C262" s="170"/>
      <c r="D262" s="165"/>
      <c r="E262" s="119"/>
      <c r="F262" s="165"/>
      <c r="G262" s="126"/>
      <c r="H262" s="127"/>
      <c r="I262" s="128"/>
      <c r="J262" s="25" t="s">
        <v>185</v>
      </c>
      <c r="K262" s="27" t="e">
        <f t="array" ref="K262">INDEX(TXRESULT!$B$1:$I$1000,MATCH($D$228&amp;J262&amp;$F$260&amp;"SPUR5",TXRESULT!$C$1:$C$1000&amp;TXRESULT!$B$1:$B$1000&amp;TXRESULT!$H$1:$H$1000&amp;TXRESULT!$K$1:$K$1000,0),5)</f>
        <v>#N/A</v>
      </c>
      <c r="L262" s="146"/>
      <c r="M262" s="27" t="e">
        <f t="shared" si="20"/>
        <v>#N/A</v>
      </c>
      <c r="N262" s="27" t="str">
        <f t="shared" si="19"/>
        <v/>
      </c>
    </row>
    <row r="263" spans="1:14" x14ac:dyDescent="0.3">
      <c r="A263" s="116"/>
      <c r="B263" s="169"/>
      <c r="C263" s="170"/>
      <c r="D263" s="165"/>
      <c r="E263" s="119"/>
      <c r="F263" s="165"/>
      <c r="G263" s="126"/>
      <c r="H263" s="127"/>
      <c r="I263" s="128"/>
      <c r="J263" s="25" t="s">
        <v>186</v>
      </c>
      <c r="K263" s="27" t="e">
        <f t="array" ref="K263">INDEX(TXRESULT!$B$1:$I$1000,MATCH($D$228&amp;J263&amp;$F$260&amp;"SPUR5",TXRESULT!$C$1:$C$1000&amp;TXRESULT!$B$1:$B$1000&amp;TXRESULT!$H$1:$H$1000&amp;TXRESULT!$K$1:$K$1000,0),5)</f>
        <v>#N/A</v>
      </c>
      <c r="L263" s="146"/>
      <c r="M263" s="27" t="e">
        <f t="shared" si="20"/>
        <v>#N/A</v>
      </c>
      <c r="N263" s="27" t="str">
        <f t="shared" si="19"/>
        <v/>
      </c>
    </row>
    <row r="264" spans="1:14" x14ac:dyDescent="0.3">
      <c r="A264" s="116"/>
      <c r="B264" s="169"/>
      <c r="C264" s="170"/>
      <c r="D264" s="165"/>
      <c r="E264" s="119"/>
      <c r="F264" s="165"/>
      <c r="G264" s="126"/>
      <c r="H264" s="127"/>
      <c r="I264" s="128"/>
      <c r="J264" s="25" t="s">
        <v>187</v>
      </c>
      <c r="K264" s="27" t="e">
        <f t="array" ref="K264">INDEX(TXRESULT!$B$1:$I$1000,MATCH($D$228&amp;J264&amp;$F$260&amp;"SPUR5",TXRESULT!$C$1:$C$1000&amp;TXRESULT!$B$1:$B$1000&amp;TXRESULT!$H$1:$H$1000&amp;TXRESULT!$K$1:$K$1000,0),5)</f>
        <v>#N/A</v>
      </c>
      <c r="L264" s="146"/>
      <c r="M264" s="27" t="e">
        <f t="shared" si="20"/>
        <v>#N/A</v>
      </c>
      <c r="N264" s="27" t="str">
        <f t="shared" si="19"/>
        <v/>
      </c>
    </row>
    <row r="265" spans="1:14" x14ac:dyDescent="0.3">
      <c r="A265" s="116"/>
      <c r="B265" s="169"/>
      <c r="C265" s="170"/>
      <c r="D265" s="165"/>
      <c r="E265" s="119"/>
      <c r="F265" s="165"/>
      <c r="G265" s="126"/>
      <c r="H265" s="127"/>
      <c r="I265" s="128"/>
      <c r="J265" s="25" t="s">
        <v>188</v>
      </c>
      <c r="K265" s="27" t="e">
        <f t="array" ref="K265">INDEX(TXRESULT!$B$1:$I$1000,MATCH($D$228&amp;J265&amp;$F$260&amp;"SPUR5",TXRESULT!$C$1:$C$1000&amp;TXRESULT!$B$1:$B$1000&amp;TXRESULT!$H$1:$H$1000&amp;TXRESULT!$K$1:$K$1000,0),5)</f>
        <v>#N/A</v>
      </c>
      <c r="L265" s="146"/>
      <c r="M265" s="27" t="e">
        <f t="shared" si="20"/>
        <v>#N/A</v>
      </c>
      <c r="N265" s="27" t="str">
        <f t="shared" si="19"/>
        <v/>
      </c>
    </row>
    <row r="266" spans="1:14" x14ac:dyDescent="0.3">
      <c r="A266" s="116"/>
      <c r="B266" s="169"/>
      <c r="C266" s="170"/>
      <c r="D266" s="165"/>
      <c r="E266" s="119"/>
      <c r="F266" s="165"/>
      <c r="G266" s="126"/>
      <c r="H266" s="127"/>
      <c r="I266" s="128"/>
      <c r="J266" s="25" t="s">
        <v>189</v>
      </c>
      <c r="K266" s="27" t="e">
        <f t="array" ref="K266">INDEX(TXRESULT!$B$1:$I$1000,MATCH($D$228&amp;J266&amp;$F$260&amp;"SPUR5",TXRESULT!$C$1:$C$1000&amp;TXRESULT!$B$1:$B$1000&amp;TXRESULT!$H$1:$H$1000&amp;TXRESULT!$K$1:$K$1000,0),5)</f>
        <v>#N/A</v>
      </c>
      <c r="L266" s="146"/>
      <c r="M266" s="27" t="e">
        <f t="shared" si="20"/>
        <v>#N/A</v>
      </c>
      <c r="N266" s="27" t="str">
        <f t="shared" si="19"/>
        <v/>
      </c>
    </row>
    <row r="267" spans="1:14" x14ac:dyDescent="0.3">
      <c r="A267" s="117"/>
      <c r="B267" s="171"/>
      <c r="C267" s="172"/>
      <c r="D267" s="166"/>
      <c r="E267" s="120"/>
      <c r="F267" s="166"/>
      <c r="G267" s="129"/>
      <c r="H267" s="130"/>
      <c r="I267" s="131"/>
      <c r="J267" s="25" t="s">
        <v>190</v>
      </c>
      <c r="K267" s="27" t="e">
        <f t="array" ref="K267">INDEX(TXRESULT!$B$1:$I$1000,MATCH($D$228&amp;J267&amp;$F$260&amp;"SPUR5",TXRESULT!$C$1:$C$1000&amp;TXRESULT!$B$1:$B$1000&amp;TXRESULT!$H$1:$H$1000&amp;TXRESULT!$K$1:$K$1000,0),5)</f>
        <v>#N/A</v>
      </c>
      <c r="L267" s="147"/>
      <c r="M267" s="27" t="e">
        <f t="shared" si="20"/>
        <v>#N/A</v>
      </c>
      <c r="N267" s="27" t="str">
        <f t="shared" si="19"/>
        <v/>
      </c>
    </row>
    <row r="268" spans="1:14" ht="15.6" customHeight="1" x14ac:dyDescent="0.3">
      <c r="A268" s="148" t="s">
        <v>38</v>
      </c>
      <c r="B268" s="151" t="s">
        <v>39</v>
      </c>
      <c r="C268" s="152"/>
      <c r="D268" s="153"/>
      <c r="E268" s="148" t="s">
        <v>40</v>
      </c>
      <c r="F268" s="160" t="s">
        <v>41</v>
      </c>
      <c r="G268" s="161"/>
      <c r="H268" s="161"/>
      <c r="I268" s="162"/>
      <c r="J268" s="151" t="s">
        <v>42</v>
      </c>
      <c r="K268" s="153"/>
      <c r="L268" s="148" t="s">
        <v>43</v>
      </c>
      <c r="M268" s="133" t="s">
        <v>44</v>
      </c>
      <c r="N268" s="133" t="s">
        <v>255</v>
      </c>
    </row>
    <row r="269" spans="1:14" x14ac:dyDescent="0.3">
      <c r="A269" s="149"/>
      <c r="B269" s="154"/>
      <c r="C269" s="155"/>
      <c r="D269" s="156"/>
      <c r="E269" s="149"/>
      <c r="F269" s="163" t="s">
        <v>199</v>
      </c>
      <c r="G269" s="163"/>
      <c r="H269" s="163" t="s">
        <v>200</v>
      </c>
      <c r="I269" s="163"/>
      <c r="J269" s="154"/>
      <c r="K269" s="156"/>
      <c r="L269" s="149"/>
      <c r="M269" s="134"/>
      <c r="N269" s="134"/>
    </row>
    <row r="270" spans="1:14" ht="31.2" x14ac:dyDescent="0.3">
      <c r="A270" s="150"/>
      <c r="B270" s="157"/>
      <c r="C270" s="158"/>
      <c r="D270" s="159"/>
      <c r="E270" s="150"/>
      <c r="F270" s="59" t="s">
        <v>201</v>
      </c>
      <c r="G270" s="59" t="s">
        <v>202</v>
      </c>
      <c r="H270" s="59" t="s">
        <v>201</v>
      </c>
      <c r="I270" s="59" t="s">
        <v>202</v>
      </c>
      <c r="J270" s="157"/>
      <c r="K270" s="159"/>
      <c r="L270" s="150"/>
      <c r="M270" s="135"/>
      <c r="N270" s="135"/>
    </row>
    <row r="271" spans="1:14" x14ac:dyDescent="0.3">
      <c r="A271" s="14" t="s">
        <v>135</v>
      </c>
      <c r="B271" s="15" t="s">
        <v>136</v>
      </c>
      <c r="C271" s="16"/>
      <c r="D271" s="16"/>
      <c r="E271" s="16"/>
      <c r="F271" s="16"/>
      <c r="G271" s="40"/>
      <c r="H271" s="40"/>
      <c r="I271" s="40"/>
      <c r="J271" s="40"/>
      <c r="K271" s="41"/>
      <c r="L271" s="40"/>
      <c r="M271" s="27"/>
      <c r="N271" s="42"/>
    </row>
    <row r="272" spans="1:14" ht="15.6" customHeight="1" x14ac:dyDescent="0.3">
      <c r="A272" s="115" t="s">
        <v>137</v>
      </c>
      <c r="B272" s="136" t="s">
        <v>138</v>
      </c>
      <c r="C272" s="137"/>
      <c r="D272" s="138"/>
      <c r="E272" s="114" t="s">
        <v>52</v>
      </c>
      <c r="F272" s="115" t="s">
        <v>220</v>
      </c>
      <c r="G272" s="58" t="s">
        <v>139</v>
      </c>
      <c r="H272" s="132" t="s">
        <v>225</v>
      </c>
      <c r="I272" s="58" t="s">
        <v>225</v>
      </c>
      <c r="J272" s="25" t="s">
        <v>183</v>
      </c>
      <c r="K272" s="27"/>
      <c r="L272" s="145" t="s">
        <v>140</v>
      </c>
      <c r="M272" s="27" t="str">
        <f>IF(ISBLANK(K272),"",IF(AND(K272*1&lt;=H272*1),"PASS","FAIL"))</f>
        <v/>
      </c>
      <c r="N272" s="27" t="str">
        <f>IF(ISBLANK(K272),"CHUADO","")</f>
        <v>CHUADO</v>
      </c>
    </row>
    <row r="273" spans="1:14" x14ac:dyDescent="0.3">
      <c r="A273" s="116"/>
      <c r="B273" s="139"/>
      <c r="C273" s="140"/>
      <c r="D273" s="141"/>
      <c r="E273" s="114"/>
      <c r="F273" s="116"/>
      <c r="G273" s="58" t="str">
        <f>G272</f>
        <v>-94.9</v>
      </c>
      <c r="H273" s="119"/>
      <c r="I273" s="58" t="s">
        <v>225</v>
      </c>
      <c r="J273" s="25" t="s">
        <v>184</v>
      </c>
      <c r="K273" s="27"/>
      <c r="L273" s="146"/>
      <c r="M273" s="27" t="str">
        <f t="shared" ref="M273:M279" si="21">IF(ISBLANK(K273),"",IF(AND(K273*1&lt;=H273*1),"PASS","FAIL"))</f>
        <v/>
      </c>
      <c r="N273" s="27" t="str">
        <f t="shared" ref="N273:N336" si="22">IF(ISBLANK(K273),"CHUADO","")</f>
        <v>CHUADO</v>
      </c>
    </row>
    <row r="274" spans="1:14" x14ac:dyDescent="0.3">
      <c r="A274" s="116"/>
      <c r="B274" s="139"/>
      <c r="C274" s="140"/>
      <c r="D274" s="141"/>
      <c r="E274" s="114"/>
      <c r="F274" s="116"/>
      <c r="G274" s="58" t="str">
        <f t="shared" ref="G274:G279" si="23">G273</f>
        <v>-94.9</v>
      </c>
      <c r="H274" s="119"/>
      <c r="I274" s="58" t="s">
        <v>225</v>
      </c>
      <c r="J274" s="25" t="s">
        <v>185</v>
      </c>
      <c r="K274" s="27"/>
      <c r="L274" s="146"/>
      <c r="M274" s="27" t="str">
        <f t="shared" si="21"/>
        <v/>
      </c>
      <c r="N274" s="27" t="str">
        <f t="shared" si="22"/>
        <v>CHUADO</v>
      </c>
    </row>
    <row r="275" spans="1:14" x14ac:dyDescent="0.3">
      <c r="A275" s="116"/>
      <c r="B275" s="139"/>
      <c r="C275" s="140"/>
      <c r="D275" s="141"/>
      <c r="E275" s="114"/>
      <c r="F275" s="116"/>
      <c r="G275" s="58" t="str">
        <f t="shared" si="23"/>
        <v>-94.9</v>
      </c>
      <c r="H275" s="119"/>
      <c r="I275" s="58" t="s">
        <v>225</v>
      </c>
      <c r="J275" s="25" t="s">
        <v>186</v>
      </c>
      <c r="K275" s="27"/>
      <c r="L275" s="146"/>
      <c r="M275" s="27" t="str">
        <f t="shared" si="21"/>
        <v/>
      </c>
      <c r="N275" s="27" t="str">
        <f t="shared" si="22"/>
        <v>CHUADO</v>
      </c>
    </row>
    <row r="276" spans="1:14" x14ac:dyDescent="0.3">
      <c r="A276" s="116"/>
      <c r="B276" s="139"/>
      <c r="C276" s="140"/>
      <c r="D276" s="141"/>
      <c r="E276" s="114"/>
      <c r="F276" s="116"/>
      <c r="G276" s="58" t="str">
        <f t="shared" si="23"/>
        <v>-94.9</v>
      </c>
      <c r="H276" s="119"/>
      <c r="I276" s="58" t="s">
        <v>225</v>
      </c>
      <c r="J276" s="25" t="s">
        <v>187</v>
      </c>
      <c r="K276" s="27"/>
      <c r="L276" s="146"/>
      <c r="M276" s="27" t="str">
        <f t="shared" si="21"/>
        <v/>
      </c>
      <c r="N276" s="27" t="str">
        <f t="shared" si="22"/>
        <v>CHUADO</v>
      </c>
    </row>
    <row r="277" spans="1:14" x14ac:dyDescent="0.3">
      <c r="A277" s="116"/>
      <c r="B277" s="139"/>
      <c r="C277" s="140"/>
      <c r="D277" s="141"/>
      <c r="E277" s="114"/>
      <c r="F277" s="116"/>
      <c r="G277" s="58" t="str">
        <f t="shared" si="23"/>
        <v>-94.9</v>
      </c>
      <c r="H277" s="119"/>
      <c r="I277" s="58" t="s">
        <v>225</v>
      </c>
      <c r="J277" s="25" t="s">
        <v>188</v>
      </c>
      <c r="K277" s="27"/>
      <c r="L277" s="146"/>
      <c r="M277" s="27" t="str">
        <f t="shared" si="21"/>
        <v/>
      </c>
      <c r="N277" s="27" t="str">
        <f t="shared" si="22"/>
        <v>CHUADO</v>
      </c>
    </row>
    <row r="278" spans="1:14" x14ac:dyDescent="0.3">
      <c r="A278" s="116"/>
      <c r="B278" s="139"/>
      <c r="C278" s="140"/>
      <c r="D278" s="141"/>
      <c r="E278" s="114"/>
      <c r="F278" s="116"/>
      <c r="G278" s="58" t="str">
        <f t="shared" si="23"/>
        <v>-94.9</v>
      </c>
      <c r="H278" s="119"/>
      <c r="I278" s="58" t="s">
        <v>225</v>
      </c>
      <c r="J278" s="25" t="s">
        <v>189</v>
      </c>
      <c r="K278" s="27"/>
      <c r="L278" s="146"/>
      <c r="M278" s="27" t="str">
        <f t="shared" si="21"/>
        <v/>
      </c>
      <c r="N278" s="27" t="str">
        <f t="shared" si="22"/>
        <v>CHUADO</v>
      </c>
    </row>
    <row r="279" spans="1:14" x14ac:dyDescent="0.3">
      <c r="A279" s="117"/>
      <c r="B279" s="142"/>
      <c r="C279" s="143"/>
      <c r="D279" s="144"/>
      <c r="E279" s="114"/>
      <c r="F279" s="117"/>
      <c r="G279" s="58" t="str">
        <f t="shared" si="23"/>
        <v>-94.9</v>
      </c>
      <c r="H279" s="120"/>
      <c r="I279" s="58" t="s">
        <v>225</v>
      </c>
      <c r="J279" s="25" t="s">
        <v>190</v>
      </c>
      <c r="K279" s="27"/>
      <c r="L279" s="147"/>
      <c r="M279" s="27" t="str">
        <f t="shared" si="21"/>
        <v/>
      </c>
      <c r="N279" s="27" t="str">
        <f t="shared" si="22"/>
        <v>CHUADO</v>
      </c>
    </row>
    <row r="280" spans="1:14" ht="15.6" customHeight="1" x14ac:dyDescent="0.3">
      <c r="A280" s="104" t="s">
        <v>141</v>
      </c>
      <c r="B280" s="105" t="s">
        <v>266</v>
      </c>
      <c r="C280" s="106"/>
      <c r="D280" s="107"/>
      <c r="E280" s="114" t="s">
        <v>52</v>
      </c>
      <c r="F280" s="115" t="s">
        <v>221</v>
      </c>
      <c r="G280" s="58" t="s">
        <v>204</v>
      </c>
      <c r="H280" s="132" t="s">
        <v>203</v>
      </c>
      <c r="I280" s="58" t="s">
        <v>142</v>
      </c>
      <c r="J280" s="25" t="s">
        <v>183</v>
      </c>
      <c r="K280" s="27"/>
      <c r="L280" s="118" t="s">
        <v>143</v>
      </c>
      <c r="M280" s="27" t="str">
        <f>IF(ISBLANK(K280),"",IF(AND(K280*1&gt;=H280*1),"PASS","FAIL"))</f>
        <v/>
      </c>
      <c r="N280" s="27" t="str">
        <f t="shared" si="22"/>
        <v>CHUADO</v>
      </c>
    </row>
    <row r="281" spans="1:14" x14ac:dyDescent="0.3">
      <c r="A281" s="104"/>
      <c r="B281" s="108"/>
      <c r="C281" s="109"/>
      <c r="D281" s="110"/>
      <c r="E281" s="114"/>
      <c r="F281" s="116"/>
      <c r="G281" s="58" t="s">
        <v>204</v>
      </c>
      <c r="H281" s="119"/>
      <c r="I281" s="58" t="str">
        <f>I280</f>
        <v>-69.1</v>
      </c>
      <c r="J281" s="25" t="s">
        <v>184</v>
      </c>
      <c r="K281" s="27"/>
      <c r="L281" s="118"/>
      <c r="M281" s="27" t="str">
        <f t="shared" ref="M281:M319" si="24">IF(ISBLANK(K281),"",IF(AND(K281*1&gt;=H281*1),"PASS","FAIL"))</f>
        <v/>
      </c>
      <c r="N281" s="27" t="str">
        <f t="shared" si="22"/>
        <v>CHUADO</v>
      </c>
    </row>
    <row r="282" spans="1:14" x14ac:dyDescent="0.3">
      <c r="A282" s="104"/>
      <c r="B282" s="108"/>
      <c r="C282" s="109"/>
      <c r="D282" s="110"/>
      <c r="E282" s="114"/>
      <c r="F282" s="116"/>
      <c r="G282" s="58" t="s">
        <v>204</v>
      </c>
      <c r="H282" s="119"/>
      <c r="I282" s="58" t="str">
        <f t="shared" ref="I282:I287" si="25">I281</f>
        <v>-69.1</v>
      </c>
      <c r="J282" s="25" t="s">
        <v>185</v>
      </c>
      <c r="K282" s="27"/>
      <c r="L282" s="118"/>
      <c r="M282" s="27" t="str">
        <f t="shared" si="24"/>
        <v/>
      </c>
      <c r="N282" s="27" t="str">
        <f t="shared" si="22"/>
        <v>CHUADO</v>
      </c>
    </row>
    <row r="283" spans="1:14" x14ac:dyDescent="0.3">
      <c r="A283" s="104"/>
      <c r="B283" s="108"/>
      <c r="C283" s="109"/>
      <c r="D283" s="110"/>
      <c r="E283" s="114"/>
      <c r="F283" s="116"/>
      <c r="G283" s="58" t="s">
        <v>204</v>
      </c>
      <c r="H283" s="119"/>
      <c r="I283" s="58" t="str">
        <f t="shared" si="25"/>
        <v>-69.1</v>
      </c>
      <c r="J283" s="25" t="s">
        <v>186</v>
      </c>
      <c r="K283" s="27"/>
      <c r="L283" s="118"/>
      <c r="M283" s="27" t="str">
        <f t="shared" si="24"/>
        <v/>
      </c>
      <c r="N283" s="27" t="str">
        <f t="shared" si="22"/>
        <v>CHUADO</v>
      </c>
    </row>
    <row r="284" spans="1:14" x14ac:dyDescent="0.3">
      <c r="A284" s="104"/>
      <c r="B284" s="108"/>
      <c r="C284" s="109"/>
      <c r="D284" s="110"/>
      <c r="E284" s="114"/>
      <c r="F284" s="116"/>
      <c r="G284" s="58" t="s">
        <v>204</v>
      </c>
      <c r="H284" s="119"/>
      <c r="I284" s="58" t="str">
        <f t="shared" si="25"/>
        <v>-69.1</v>
      </c>
      <c r="J284" s="25" t="s">
        <v>187</v>
      </c>
      <c r="K284" s="27"/>
      <c r="L284" s="118"/>
      <c r="M284" s="27" t="str">
        <f t="shared" si="24"/>
        <v/>
      </c>
      <c r="N284" s="27" t="str">
        <f t="shared" si="22"/>
        <v>CHUADO</v>
      </c>
    </row>
    <row r="285" spans="1:14" x14ac:dyDescent="0.3">
      <c r="A285" s="104"/>
      <c r="B285" s="108"/>
      <c r="C285" s="109"/>
      <c r="D285" s="110"/>
      <c r="E285" s="114"/>
      <c r="F285" s="116"/>
      <c r="G285" s="58" t="s">
        <v>204</v>
      </c>
      <c r="H285" s="119"/>
      <c r="I285" s="58" t="str">
        <f t="shared" si="25"/>
        <v>-69.1</v>
      </c>
      <c r="J285" s="25" t="s">
        <v>188</v>
      </c>
      <c r="K285" s="27"/>
      <c r="L285" s="118"/>
      <c r="M285" s="27" t="str">
        <f t="shared" si="24"/>
        <v/>
      </c>
      <c r="N285" s="27" t="str">
        <f t="shared" si="22"/>
        <v>CHUADO</v>
      </c>
    </row>
    <row r="286" spans="1:14" x14ac:dyDescent="0.3">
      <c r="A286" s="104"/>
      <c r="B286" s="108"/>
      <c r="C286" s="109"/>
      <c r="D286" s="110"/>
      <c r="E286" s="114"/>
      <c r="F286" s="116"/>
      <c r="G286" s="58" t="s">
        <v>204</v>
      </c>
      <c r="H286" s="119"/>
      <c r="I286" s="58" t="str">
        <f t="shared" si="25"/>
        <v>-69.1</v>
      </c>
      <c r="J286" s="25" t="s">
        <v>189</v>
      </c>
      <c r="K286" s="27"/>
      <c r="L286" s="118"/>
      <c r="M286" s="27" t="str">
        <f t="shared" si="24"/>
        <v/>
      </c>
      <c r="N286" s="27" t="str">
        <f t="shared" si="22"/>
        <v>CHUADO</v>
      </c>
    </row>
    <row r="287" spans="1:14" x14ac:dyDescent="0.3">
      <c r="A287" s="104"/>
      <c r="B287" s="111"/>
      <c r="C287" s="112"/>
      <c r="D287" s="113"/>
      <c r="E287" s="114"/>
      <c r="F287" s="117"/>
      <c r="G287" s="58" t="s">
        <v>204</v>
      </c>
      <c r="H287" s="120"/>
      <c r="I287" s="58" t="str">
        <f t="shared" si="25"/>
        <v>-69.1</v>
      </c>
      <c r="J287" s="25" t="s">
        <v>190</v>
      </c>
      <c r="K287" s="27"/>
      <c r="L287" s="118"/>
      <c r="M287" s="27" t="str">
        <f t="shared" si="24"/>
        <v/>
      </c>
      <c r="N287" s="27" t="str">
        <f t="shared" si="22"/>
        <v>CHUADO</v>
      </c>
    </row>
    <row r="288" spans="1:14" ht="15.6" customHeight="1" x14ac:dyDescent="0.3">
      <c r="A288" s="104" t="s">
        <v>144</v>
      </c>
      <c r="B288" s="105" t="s">
        <v>267</v>
      </c>
      <c r="C288" s="106"/>
      <c r="D288" s="107"/>
      <c r="E288" s="114" t="s">
        <v>52</v>
      </c>
      <c r="F288" s="115" t="s">
        <v>220</v>
      </c>
      <c r="G288" s="58">
        <f t="shared" ref="G288:G319" si="26">$G$272*1+6</f>
        <v>-88.9</v>
      </c>
      <c r="H288" s="115" t="s">
        <v>205</v>
      </c>
      <c r="I288" s="58" t="s">
        <v>145</v>
      </c>
      <c r="J288" s="25" t="s">
        <v>183</v>
      </c>
      <c r="K288" s="27"/>
      <c r="L288" s="118" t="s">
        <v>146</v>
      </c>
      <c r="M288" s="27" t="str">
        <f t="shared" si="24"/>
        <v/>
      </c>
      <c r="N288" s="27" t="str">
        <f t="shared" si="22"/>
        <v>CHUADO</v>
      </c>
    </row>
    <row r="289" spans="1:14" x14ac:dyDescent="0.3">
      <c r="A289" s="104"/>
      <c r="B289" s="108"/>
      <c r="C289" s="109"/>
      <c r="D289" s="110"/>
      <c r="E289" s="114"/>
      <c r="F289" s="116"/>
      <c r="G289" s="58">
        <f t="shared" si="26"/>
        <v>-88.9</v>
      </c>
      <c r="H289" s="116"/>
      <c r="I289" s="58" t="str">
        <f>I288</f>
        <v>-52</v>
      </c>
      <c r="J289" s="25" t="s">
        <v>184</v>
      </c>
      <c r="K289" s="27"/>
      <c r="L289" s="118"/>
      <c r="M289" s="27" t="str">
        <f t="shared" si="24"/>
        <v/>
      </c>
      <c r="N289" s="27" t="str">
        <f t="shared" si="22"/>
        <v>CHUADO</v>
      </c>
    </row>
    <row r="290" spans="1:14" x14ac:dyDescent="0.3">
      <c r="A290" s="104"/>
      <c r="B290" s="108"/>
      <c r="C290" s="109"/>
      <c r="D290" s="110"/>
      <c r="E290" s="114"/>
      <c r="F290" s="116"/>
      <c r="G290" s="58">
        <f t="shared" si="26"/>
        <v>-88.9</v>
      </c>
      <c r="H290" s="116"/>
      <c r="I290" s="58" t="str">
        <f t="shared" ref="I290:I295" si="27">I289</f>
        <v>-52</v>
      </c>
      <c r="J290" s="25" t="s">
        <v>185</v>
      </c>
      <c r="K290" s="27"/>
      <c r="L290" s="118"/>
      <c r="M290" s="27" t="str">
        <f t="shared" si="24"/>
        <v/>
      </c>
      <c r="N290" s="27" t="str">
        <f t="shared" si="22"/>
        <v>CHUADO</v>
      </c>
    </row>
    <row r="291" spans="1:14" x14ac:dyDescent="0.3">
      <c r="A291" s="104"/>
      <c r="B291" s="108"/>
      <c r="C291" s="109"/>
      <c r="D291" s="110"/>
      <c r="E291" s="114"/>
      <c r="F291" s="116"/>
      <c r="G291" s="58">
        <f t="shared" si="26"/>
        <v>-88.9</v>
      </c>
      <c r="H291" s="116"/>
      <c r="I291" s="58" t="str">
        <f t="shared" si="27"/>
        <v>-52</v>
      </c>
      <c r="J291" s="25" t="s">
        <v>186</v>
      </c>
      <c r="K291" s="27"/>
      <c r="L291" s="118"/>
      <c r="M291" s="27" t="str">
        <f t="shared" si="24"/>
        <v/>
      </c>
      <c r="N291" s="27" t="str">
        <f t="shared" si="22"/>
        <v>CHUADO</v>
      </c>
    </row>
    <row r="292" spans="1:14" x14ac:dyDescent="0.3">
      <c r="A292" s="104"/>
      <c r="B292" s="108"/>
      <c r="C292" s="109"/>
      <c r="D292" s="110"/>
      <c r="E292" s="114"/>
      <c r="F292" s="116"/>
      <c r="G292" s="58">
        <f t="shared" si="26"/>
        <v>-88.9</v>
      </c>
      <c r="H292" s="116"/>
      <c r="I292" s="58" t="str">
        <f t="shared" si="27"/>
        <v>-52</v>
      </c>
      <c r="J292" s="25" t="s">
        <v>187</v>
      </c>
      <c r="K292" s="27"/>
      <c r="L292" s="118"/>
      <c r="M292" s="27" t="str">
        <f t="shared" si="24"/>
        <v/>
      </c>
      <c r="N292" s="27" t="str">
        <f t="shared" si="22"/>
        <v>CHUADO</v>
      </c>
    </row>
    <row r="293" spans="1:14" x14ac:dyDescent="0.3">
      <c r="A293" s="104"/>
      <c r="B293" s="108"/>
      <c r="C293" s="109"/>
      <c r="D293" s="110"/>
      <c r="E293" s="114"/>
      <c r="F293" s="116"/>
      <c r="G293" s="58">
        <f t="shared" si="26"/>
        <v>-88.9</v>
      </c>
      <c r="H293" s="116"/>
      <c r="I293" s="58" t="str">
        <f t="shared" si="27"/>
        <v>-52</v>
      </c>
      <c r="J293" s="25" t="s">
        <v>188</v>
      </c>
      <c r="K293" s="27"/>
      <c r="L293" s="118"/>
      <c r="M293" s="27" t="str">
        <f t="shared" si="24"/>
        <v/>
      </c>
      <c r="N293" s="27" t="str">
        <f t="shared" si="22"/>
        <v>CHUADO</v>
      </c>
    </row>
    <row r="294" spans="1:14" x14ac:dyDescent="0.3">
      <c r="A294" s="104"/>
      <c r="B294" s="108"/>
      <c r="C294" s="109"/>
      <c r="D294" s="110"/>
      <c r="E294" s="114"/>
      <c r="F294" s="116"/>
      <c r="G294" s="58">
        <f t="shared" si="26"/>
        <v>-88.9</v>
      </c>
      <c r="H294" s="116"/>
      <c r="I294" s="58" t="str">
        <f t="shared" si="27"/>
        <v>-52</v>
      </c>
      <c r="J294" s="25" t="s">
        <v>189</v>
      </c>
      <c r="K294" s="27"/>
      <c r="L294" s="118"/>
      <c r="M294" s="27" t="str">
        <f t="shared" si="24"/>
        <v/>
      </c>
      <c r="N294" s="27" t="str">
        <f t="shared" si="22"/>
        <v>CHUADO</v>
      </c>
    </row>
    <row r="295" spans="1:14" x14ac:dyDescent="0.3">
      <c r="A295" s="104"/>
      <c r="B295" s="111"/>
      <c r="C295" s="112"/>
      <c r="D295" s="113"/>
      <c r="E295" s="114"/>
      <c r="F295" s="117"/>
      <c r="G295" s="58">
        <f t="shared" si="26"/>
        <v>-88.9</v>
      </c>
      <c r="H295" s="117"/>
      <c r="I295" s="58" t="str">
        <f t="shared" si="27"/>
        <v>-52</v>
      </c>
      <c r="J295" s="25" t="s">
        <v>190</v>
      </c>
      <c r="K295" s="27"/>
      <c r="L295" s="118"/>
      <c r="M295" s="27" t="str">
        <f t="shared" si="24"/>
        <v/>
      </c>
      <c r="N295" s="27" t="str">
        <f t="shared" si="22"/>
        <v>CHUADO</v>
      </c>
    </row>
    <row r="296" spans="1:14" ht="15.6" customHeight="1" x14ac:dyDescent="0.3">
      <c r="A296" s="104" t="s">
        <v>147</v>
      </c>
      <c r="B296" s="105" t="s">
        <v>148</v>
      </c>
      <c r="C296" s="106"/>
      <c r="D296" s="107"/>
      <c r="E296" s="114" t="s">
        <v>52</v>
      </c>
      <c r="F296" s="115" t="s">
        <v>220</v>
      </c>
      <c r="G296" s="58">
        <f t="shared" si="26"/>
        <v>-88.9</v>
      </c>
      <c r="H296" s="115" t="s">
        <v>205</v>
      </c>
      <c r="I296" s="58" t="s">
        <v>149</v>
      </c>
      <c r="J296" s="25" t="s">
        <v>183</v>
      </c>
      <c r="K296" s="27"/>
      <c r="L296" s="118" t="s">
        <v>150</v>
      </c>
      <c r="M296" s="27" t="str">
        <f t="shared" si="24"/>
        <v/>
      </c>
      <c r="N296" s="27" t="str">
        <f t="shared" si="22"/>
        <v>CHUADO</v>
      </c>
    </row>
    <row r="297" spans="1:14" x14ac:dyDescent="0.3">
      <c r="A297" s="104"/>
      <c r="B297" s="108"/>
      <c r="C297" s="109"/>
      <c r="D297" s="110"/>
      <c r="E297" s="114"/>
      <c r="F297" s="116"/>
      <c r="G297" s="58">
        <f t="shared" si="26"/>
        <v>-88.9</v>
      </c>
      <c r="H297" s="116"/>
      <c r="I297" s="58" t="str">
        <f>I296</f>
        <v>-43</v>
      </c>
      <c r="J297" s="25" t="s">
        <v>184</v>
      </c>
      <c r="K297" s="27"/>
      <c r="L297" s="118"/>
      <c r="M297" s="27" t="str">
        <f t="shared" si="24"/>
        <v/>
      </c>
      <c r="N297" s="27" t="str">
        <f t="shared" si="22"/>
        <v>CHUADO</v>
      </c>
    </row>
    <row r="298" spans="1:14" x14ac:dyDescent="0.3">
      <c r="A298" s="104"/>
      <c r="B298" s="108"/>
      <c r="C298" s="109"/>
      <c r="D298" s="110"/>
      <c r="E298" s="114"/>
      <c r="F298" s="116"/>
      <c r="G298" s="58">
        <f t="shared" si="26"/>
        <v>-88.9</v>
      </c>
      <c r="H298" s="116"/>
      <c r="I298" s="58" t="str">
        <f>I296</f>
        <v>-43</v>
      </c>
      <c r="J298" s="25" t="s">
        <v>185</v>
      </c>
      <c r="K298" s="27"/>
      <c r="L298" s="118"/>
      <c r="M298" s="27" t="str">
        <f t="shared" si="24"/>
        <v/>
      </c>
      <c r="N298" s="27" t="str">
        <f t="shared" si="22"/>
        <v>CHUADO</v>
      </c>
    </row>
    <row r="299" spans="1:14" x14ac:dyDescent="0.3">
      <c r="A299" s="104"/>
      <c r="B299" s="108"/>
      <c r="C299" s="109"/>
      <c r="D299" s="110"/>
      <c r="E299" s="114"/>
      <c r="F299" s="116"/>
      <c r="G299" s="58">
        <f t="shared" si="26"/>
        <v>-88.9</v>
      </c>
      <c r="H299" s="116"/>
      <c r="I299" s="58" t="str">
        <f>I296</f>
        <v>-43</v>
      </c>
      <c r="J299" s="25" t="s">
        <v>186</v>
      </c>
      <c r="K299" s="27"/>
      <c r="L299" s="118"/>
      <c r="M299" s="27" t="str">
        <f t="shared" si="24"/>
        <v/>
      </c>
      <c r="N299" s="27" t="str">
        <f t="shared" si="22"/>
        <v>CHUADO</v>
      </c>
    </row>
    <row r="300" spans="1:14" x14ac:dyDescent="0.3">
      <c r="A300" s="104"/>
      <c r="B300" s="108"/>
      <c r="C300" s="109"/>
      <c r="D300" s="110"/>
      <c r="E300" s="114"/>
      <c r="F300" s="116"/>
      <c r="G300" s="58">
        <f t="shared" si="26"/>
        <v>-88.9</v>
      </c>
      <c r="H300" s="116"/>
      <c r="I300" s="58" t="str">
        <f>I296</f>
        <v>-43</v>
      </c>
      <c r="J300" s="25" t="s">
        <v>187</v>
      </c>
      <c r="K300" s="27"/>
      <c r="L300" s="118"/>
      <c r="M300" s="27" t="str">
        <f t="shared" si="24"/>
        <v/>
      </c>
      <c r="N300" s="27" t="str">
        <f t="shared" si="22"/>
        <v>CHUADO</v>
      </c>
    </row>
    <row r="301" spans="1:14" x14ac:dyDescent="0.3">
      <c r="A301" s="104"/>
      <c r="B301" s="108"/>
      <c r="C301" s="109"/>
      <c r="D301" s="110"/>
      <c r="E301" s="114"/>
      <c r="F301" s="116"/>
      <c r="G301" s="58">
        <f t="shared" si="26"/>
        <v>-88.9</v>
      </c>
      <c r="H301" s="116"/>
      <c r="I301" s="58" t="str">
        <f>I296</f>
        <v>-43</v>
      </c>
      <c r="J301" s="25" t="s">
        <v>188</v>
      </c>
      <c r="K301" s="27"/>
      <c r="L301" s="118"/>
      <c r="M301" s="27" t="str">
        <f t="shared" si="24"/>
        <v/>
      </c>
      <c r="N301" s="27" t="str">
        <f t="shared" si="22"/>
        <v>CHUADO</v>
      </c>
    </row>
    <row r="302" spans="1:14" x14ac:dyDescent="0.3">
      <c r="A302" s="104"/>
      <c r="B302" s="108"/>
      <c r="C302" s="109"/>
      <c r="D302" s="110"/>
      <c r="E302" s="114"/>
      <c r="F302" s="116"/>
      <c r="G302" s="58">
        <f t="shared" si="26"/>
        <v>-88.9</v>
      </c>
      <c r="H302" s="116"/>
      <c r="I302" s="58" t="str">
        <f>I296</f>
        <v>-43</v>
      </c>
      <c r="J302" s="25" t="s">
        <v>189</v>
      </c>
      <c r="K302" s="27"/>
      <c r="L302" s="118"/>
      <c r="M302" s="27" t="str">
        <f t="shared" si="24"/>
        <v/>
      </c>
      <c r="N302" s="27" t="str">
        <f t="shared" si="22"/>
        <v>CHUADO</v>
      </c>
    </row>
    <row r="303" spans="1:14" x14ac:dyDescent="0.3">
      <c r="A303" s="104"/>
      <c r="B303" s="111"/>
      <c r="C303" s="112"/>
      <c r="D303" s="113"/>
      <c r="E303" s="114"/>
      <c r="F303" s="117"/>
      <c r="G303" s="58">
        <f t="shared" si="26"/>
        <v>-88.9</v>
      </c>
      <c r="H303" s="117"/>
      <c r="I303" s="58" t="str">
        <f>I296</f>
        <v>-43</v>
      </c>
      <c r="J303" s="25" t="s">
        <v>190</v>
      </c>
      <c r="K303" s="27"/>
      <c r="L303" s="118"/>
      <c r="M303" s="27" t="str">
        <f t="shared" si="24"/>
        <v/>
      </c>
      <c r="N303" s="27" t="str">
        <f t="shared" si="22"/>
        <v>CHUADO</v>
      </c>
    </row>
    <row r="304" spans="1:14" ht="15.6" customHeight="1" x14ac:dyDescent="0.3">
      <c r="A304" s="104" t="s">
        <v>151</v>
      </c>
      <c r="B304" s="105" t="s">
        <v>152</v>
      </c>
      <c r="C304" s="106"/>
      <c r="D304" s="107"/>
      <c r="E304" s="114" t="s">
        <v>52</v>
      </c>
      <c r="F304" s="115" t="s">
        <v>220</v>
      </c>
      <c r="G304" s="58">
        <f t="shared" si="26"/>
        <v>-88.9</v>
      </c>
      <c r="H304" s="115" t="s">
        <v>206</v>
      </c>
      <c r="I304" s="44" t="s">
        <v>153</v>
      </c>
      <c r="J304" s="25" t="s">
        <v>183</v>
      </c>
      <c r="K304" s="27"/>
      <c r="L304" s="118" t="s">
        <v>154</v>
      </c>
      <c r="M304" s="27" t="str">
        <f t="shared" si="24"/>
        <v/>
      </c>
      <c r="N304" s="27" t="str">
        <f t="shared" si="22"/>
        <v>CHUADO</v>
      </c>
    </row>
    <row r="305" spans="1:14" x14ac:dyDescent="0.3">
      <c r="A305" s="104"/>
      <c r="B305" s="108"/>
      <c r="C305" s="109"/>
      <c r="D305" s="110"/>
      <c r="E305" s="114"/>
      <c r="F305" s="116"/>
      <c r="G305" s="58">
        <f t="shared" si="26"/>
        <v>-88.9</v>
      </c>
      <c r="H305" s="116"/>
      <c r="I305" s="58" t="str">
        <f>I304</f>
        <v>-49</v>
      </c>
      <c r="J305" s="25" t="s">
        <v>184</v>
      </c>
      <c r="K305" s="27"/>
      <c r="L305" s="118"/>
      <c r="M305" s="27" t="str">
        <f t="shared" si="24"/>
        <v/>
      </c>
      <c r="N305" s="27" t="str">
        <f t="shared" si="22"/>
        <v>CHUADO</v>
      </c>
    </row>
    <row r="306" spans="1:14" x14ac:dyDescent="0.3">
      <c r="A306" s="104"/>
      <c r="B306" s="108"/>
      <c r="C306" s="109"/>
      <c r="D306" s="110"/>
      <c r="E306" s="114"/>
      <c r="F306" s="116"/>
      <c r="G306" s="58">
        <f t="shared" si="26"/>
        <v>-88.9</v>
      </c>
      <c r="H306" s="116"/>
      <c r="I306" s="58" t="str">
        <f>I304</f>
        <v>-49</v>
      </c>
      <c r="J306" s="25" t="s">
        <v>185</v>
      </c>
      <c r="K306" s="27"/>
      <c r="L306" s="118"/>
      <c r="M306" s="27" t="str">
        <f t="shared" si="24"/>
        <v/>
      </c>
      <c r="N306" s="27" t="str">
        <f t="shared" si="22"/>
        <v>CHUADO</v>
      </c>
    </row>
    <row r="307" spans="1:14" x14ac:dyDescent="0.3">
      <c r="A307" s="104"/>
      <c r="B307" s="108"/>
      <c r="C307" s="109"/>
      <c r="D307" s="110"/>
      <c r="E307" s="114"/>
      <c r="F307" s="116"/>
      <c r="G307" s="58">
        <f t="shared" si="26"/>
        <v>-88.9</v>
      </c>
      <c r="H307" s="116"/>
      <c r="I307" s="58" t="str">
        <f>I304</f>
        <v>-49</v>
      </c>
      <c r="J307" s="25" t="s">
        <v>186</v>
      </c>
      <c r="K307" s="27"/>
      <c r="L307" s="118"/>
      <c r="M307" s="27" t="str">
        <f t="shared" si="24"/>
        <v/>
      </c>
      <c r="N307" s="27" t="str">
        <f t="shared" si="22"/>
        <v>CHUADO</v>
      </c>
    </row>
    <row r="308" spans="1:14" x14ac:dyDescent="0.3">
      <c r="A308" s="104"/>
      <c r="B308" s="108"/>
      <c r="C308" s="109"/>
      <c r="D308" s="110"/>
      <c r="E308" s="114"/>
      <c r="F308" s="116"/>
      <c r="G308" s="58">
        <f t="shared" si="26"/>
        <v>-88.9</v>
      </c>
      <c r="H308" s="116"/>
      <c r="I308" s="58" t="str">
        <f>I304</f>
        <v>-49</v>
      </c>
      <c r="J308" s="25" t="s">
        <v>187</v>
      </c>
      <c r="K308" s="27"/>
      <c r="L308" s="118"/>
      <c r="M308" s="27" t="str">
        <f t="shared" si="24"/>
        <v/>
      </c>
      <c r="N308" s="27" t="str">
        <f t="shared" si="22"/>
        <v>CHUADO</v>
      </c>
    </row>
    <row r="309" spans="1:14" x14ac:dyDescent="0.3">
      <c r="A309" s="104"/>
      <c r="B309" s="108"/>
      <c r="C309" s="109"/>
      <c r="D309" s="110"/>
      <c r="E309" s="114"/>
      <c r="F309" s="116"/>
      <c r="G309" s="58">
        <f t="shared" si="26"/>
        <v>-88.9</v>
      </c>
      <c r="H309" s="116"/>
      <c r="I309" s="58" t="str">
        <f>I304</f>
        <v>-49</v>
      </c>
      <c r="J309" s="25" t="s">
        <v>188</v>
      </c>
      <c r="K309" s="27"/>
      <c r="L309" s="118"/>
      <c r="M309" s="27" t="str">
        <f t="shared" si="24"/>
        <v/>
      </c>
      <c r="N309" s="27" t="str">
        <f t="shared" si="22"/>
        <v>CHUADO</v>
      </c>
    </row>
    <row r="310" spans="1:14" x14ac:dyDescent="0.3">
      <c r="A310" s="104"/>
      <c r="B310" s="108"/>
      <c r="C310" s="109"/>
      <c r="D310" s="110"/>
      <c r="E310" s="114"/>
      <c r="F310" s="116"/>
      <c r="G310" s="58">
        <f t="shared" si="26"/>
        <v>-88.9</v>
      </c>
      <c r="H310" s="116"/>
      <c r="I310" s="58" t="str">
        <f>I304</f>
        <v>-49</v>
      </c>
      <c r="J310" s="25" t="s">
        <v>189</v>
      </c>
      <c r="K310" s="27"/>
      <c r="L310" s="118"/>
      <c r="M310" s="27" t="str">
        <f t="shared" si="24"/>
        <v/>
      </c>
      <c r="N310" s="27" t="str">
        <f t="shared" si="22"/>
        <v>CHUADO</v>
      </c>
    </row>
    <row r="311" spans="1:14" x14ac:dyDescent="0.3">
      <c r="A311" s="104"/>
      <c r="B311" s="111"/>
      <c r="C311" s="112"/>
      <c r="D311" s="113"/>
      <c r="E311" s="114"/>
      <c r="F311" s="117"/>
      <c r="G311" s="58">
        <f t="shared" si="26"/>
        <v>-88.9</v>
      </c>
      <c r="H311" s="117"/>
      <c r="I311" s="58" t="str">
        <f>I304</f>
        <v>-49</v>
      </c>
      <c r="J311" s="25" t="s">
        <v>190</v>
      </c>
      <c r="K311" s="27"/>
      <c r="L311" s="118"/>
      <c r="M311" s="27" t="str">
        <f t="shared" si="24"/>
        <v/>
      </c>
      <c r="N311" s="27" t="str">
        <f t="shared" si="22"/>
        <v>CHUADO</v>
      </c>
    </row>
    <row r="312" spans="1:14" ht="15.6" customHeight="1" x14ac:dyDescent="0.3">
      <c r="A312" s="104" t="s">
        <v>155</v>
      </c>
      <c r="B312" s="105" t="s">
        <v>156</v>
      </c>
      <c r="C312" s="106"/>
      <c r="D312" s="107"/>
      <c r="E312" s="114" t="s">
        <v>52</v>
      </c>
      <c r="F312" s="115" t="s">
        <v>220</v>
      </c>
      <c r="G312" s="58">
        <f t="shared" si="26"/>
        <v>-88.9</v>
      </c>
      <c r="H312" s="132" t="s">
        <v>207</v>
      </c>
      <c r="I312" s="58" t="s">
        <v>157</v>
      </c>
      <c r="J312" s="25" t="s">
        <v>183</v>
      </c>
      <c r="K312" s="27"/>
      <c r="L312" s="118" t="s">
        <v>158</v>
      </c>
      <c r="M312" s="27" t="str">
        <f t="shared" si="24"/>
        <v/>
      </c>
      <c r="N312" s="27" t="str">
        <f t="shared" si="22"/>
        <v>CHUADO</v>
      </c>
    </row>
    <row r="313" spans="1:14" x14ac:dyDescent="0.3">
      <c r="A313" s="104"/>
      <c r="B313" s="108"/>
      <c r="C313" s="109"/>
      <c r="D313" s="110"/>
      <c r="E313" s="114"/>
      <c r="F313" s="116"/>
      <c r="G313" s="58">
        <f t="shared" si="26"/>
        <v>-88.9</v>
      </c>
      <c r="H313" s="119"/>
      <c r="I313" s="58" t="str">
        <f>I312</f>
        <v>-15</v>
      </c>
      <c r="J313" s="25" t="s">
        <v>184</v>
      </c>
      <c r="K313" s="27"/>
      <c r="L313" s="118"/>
      <c r="M313" s="27" t="str">
        <f t="shared" si="24"/>
        <v/>
      </c>
      <c r="N313" s="27" t="str">
        <f t="shared" si="22"/>
        <v>CHUADO</v>
      </c>
    </row>
    <row r="314" spans="1:14" x14ac:dyDescent="0.3">
      <c r="A314" s="104"/>
      <c r="B314" s="108"/>
      <c r="C314" s="109"/>
      <c r="D314" s="110"/>
      <c r="E314" s="114"/>
      <c r="F314" s="116"/>
      <c r="G314" s="58">
        <f t="shared" si="26"/>
        <v>-88.9</v>
      </c>
      <c r="H314" s="119"/>
      <c r="I314" s="58" t="str">
        <f>I312</f>
        <v>-15</v>
      </c>
      <c r="J314" s="25" t="s">
        <v>185</v>
      </c>
      <c r="K314" s="27"/>
      <c r="L314" s="118"/>
      <c r="M314" s="27" t="str">
        <f t="shared" si="24"/>
        <v/>
      </c>
      <c r="N314" s="27" t="str">
        <f t="shared" si="22"/>
        <v>CHUADO</v>
      </c>
    </row>
    <row r="315" spans="1:14" x14ac:dyDescent="0.3">
      <c r="A315" s="104"/>
      <c r="B315" s="108"/>
      <c r="C315" s="109"/>
      <c r="D315" s="110"/>
      <c r="E315" s="114"/>
      <c r="F315" s="116"/>
      <c r="G315" s="58">
        <f t="shared" si="26"/>
        <v>-88.9</v>
      </c>
      <c r="H315" s="119"/>
      <c r="I315" s="58" t="str">
        <f>I312</f>
        <v>-15</v>
      </c>
      <c r="J315" s="25" t="s">
        <v>186</v>
      </c>
      <c r="K315" s="27"/>
      <c r="L315" s="118"/>
      <c r="M315" s="27" t="str">
        <f t="shared" si="24"/>
        <v/>
      </c>
      <c r="N315" s="27" t="str">
        <f t="shared" si="22"/>
        <v>CHUADO</v>
      </c>
    </row>
    <row r="316" spans="1:14" x14ac:dyDescent="0.3">
      <c r="A316" s="104"/>
      <c r="B316" s="108"/>
      <c r="C316" s="109"/>
      <c r="D316" s="110"/>
      <c r="E316" s="114"/>
      <c r="F316" s="116"/>
      <c r="G316" s="58">
        <f t="shared" si="26"/>
        <v>-88.9</v>
      </c>
      <c r="H316" s="119"/>
      <c r="I316" s="58" t="str">
        <f>I312</f>
        <v>-15</v>
      </c>
      <c r="J316" s="25" t="s">
        <v>187</v>
      </c>
      <c r="K316" s="27"/>
      <c r="L316" s="118"/>
      <c r="M316" s="27" t="str">
        <f t="shared" si="24"/>
        <v/>
      </c>
      <c r="N316" s="27" t="str">
        <f t="shared" si="22"/>
        <v>CHUADO</v>
      </c>
    </row>
    <row r="317" spans="1:14" x14ac:dyDescent="0.3">
      <c r="A317" s="104"/>
      <c r="B317" s="108"/>
      <c r="C317" s="109"/>
      <c r="D317" s="110"/>
      <c r="E317" s="114"/>
      <c r="F317" s="116"/>
      <c r="G317" s="58">
        <f t="shared" si="26"/>
        <v>-88.9</v>
      </c>
      <c r="H317" s="119"/>
      <c r="I317" s="58" t="str">
        <f>I312</f>
        <v>-15</v>
      </c>
      <c r="J317" s="25" t="s">
        <v>188</v>
      </c>
      <c r="K317" s="27"/>
      <c r="L317" s="118"/>
      <c r="M317" s="27" t="str">
        <f t="shared" si="24"/>
        <v/>
      </c>
      <c r="N317" s="27" t="str">
        <f t="shared" si="22"/>
        <v>CHUADO</v>
      </c>
    </row>
    <row r="318" spans="1:14" x14ac:dyDescent="0.3">
      <c r="A318" s="104"/>
      <c r="B318" s="108"/>
      <c r="C318" s="109"/>
      <c r="D318" s="110"/>
      <c r="E318" s="114"/>
      <c r="F318" s="116"/>
      <c r="G318" s="58">
        <f t="shared" si="26"/>
        <v>-88.9</v>
      </c>
      <c r="H318" s="119"/>
      <c r="I318" s="58" t="str">
        <f>I312</f>
        <v>-15</v>
      </c>
      <c r="J318" s="25" t="s">
        <v>189</v>
      </c>
      <c r="K318" s="27"/>
      <c r="L318" s="118"/>
      <c r="M318" s="27" t="str">
        <f t="shared" si="24"/>
        <v/>
      </c>
      <c r="N318" s="27" t="str">
        <f t="shared" si="22"/>
        <v>CHUADO</v>
      </c>
    </row>
    <row r="319" spans="1:14" x14ac:dyDescent="0.3">
      <c r="A319" s="104"/>
      <c r="B319" s="111"/>
      <c r="C319" s="112"/>
      <c r="D319" s="113"/>
      <c r="E319" s="114"/>
      <c r="F319" s="117"/>
      <c r="G319" s="58">
        <f t="shared" si="26"/>
        <v>-88.9</v>
      </c>
      <c r="H319" s="120"/>
      <c r="I319" s="58" t="str">
        <f>I312</f>
        <v>-15</v>
      </c>
      <c r="J319" s="25" t="s">
        <v>190</v>
      </c>
      <c r="K319" s="27"/>
      <c r="L319" s="118"/>
      <c r="M319" s="27" t="str">
        <f t="shared" si="24"/>
        <v/>
      </c>
      <c r="N319" s="27" t="str">
        <f t="shared" si="22"/>
        <v>CHUADO</v>
      </c>
    </row>
    <row r="320" spans="1:14" ht="15.75" customHeight="1" x14ac:dyDescent="0.3">
      <c r="A320" s="115" t="s">
        <v>159</v>
      </c>
      <c r="B320" s="105" t="s">
        <v>160</v>
      </c>
      <c r="C320" s="106"/>
      <c r="D320" s="107"/>
      <c r="E320" s="114" t="s">
        <v>52</v>
      </c>
      <c r="F320" s="115"/>
      <c r="G320" s="123" t="s">
        <v>222</v>
      </c>
      <c r="H320" s="124"/>
      <c r="I320" s="125"/>
      <c r="J320" s="25" t="s">
        <v>183</v>
      </c>
      <c r="K320" s="27"/>
      <c r="L320" s="118" t="s">
        <v>161</v>
      </c>
      <c r="M320" s="27" t="str">
        <f>IF(ISBLANK(K320),"",IF(AND(K320*1&lt;-57),"PASS","FAIL"))</f>
        <v/>
      </c>
      <c r="N320" s="27" t="str">
        <f t="shared" si="22"/>
        <v>CHUADO</v>
      </c>
    </row>
    <row r="321" spans="1:14" x14ac:dyDescent="0.3">
      <c r="A321" s="116"/>
      <c r="B321" s="108"/>
      <c r="C321" s="109"/>
      <c r="D321" s="110"/>
      <c r="E321" s="114"/>
      <c r="F321" s="116"/>
      <c r="G321" s="126"/>
      <c r="H321" s="127"/>
      <c r="I321" s="128"/>
      <c r="J321" s="25" t="s">
        <v>184</v>
      </c>
      <c r="K321" s="27"/>
      <c r="L321" s="118"/>
      <c r="M321" s="27" t="str">
        <f t="shared" ref="M321:M327" si="28">IF(ISBLANK(K321),"",IF(AND(K321*1&lt;-57),"PASS","FAIL"))</f>
        <v/>
      </c>
      <c r="N321" s="27" t="str">
        <f t="shared" si="22"/>
        <v>CHUADO</v>
      </c>
    </row>
    <row r="322" spans="1:14" x14ac:dyDescent="0.3">
      <c r="A322" s="116"/>
      <c r="B322" s="108"/>
      <c r="C322" s="109"/>
      <c r="D322" s="110"/>
      <c r="E322" s="114"/>
      <c r="F322" s="116"/>
      <c r="G322" s="126"/>
      <c r="H322" s="127"/>
      <c r="I322" s="128"/>
      <c r="J322" s="25" t="s">
        <v>185</v>
      </c>
      <c r="K322" s="27"/>
      <c r="L322" s="118"/>
      <c r="M322" s="27" t="str">
        <f t="shared" si="28"/>
        <v/>
      </c>
      <c r="N322" s="27" t="str">
        <f t="shared" si="22"/>
        <v>CHUADO</v>
      </c>
    </row>
    <row r="323" spans="1:14" x14ac:dyDescent="0.3">
      <c r="A323" s="116"/>
      <c r="B323" s="108"/>
      <c r="C323" s="109"/>
      <c r="D323" s="110"/>
      <c r="E323" s="114"/>
      <c r="F323" s="116"/>
      <c r="G323" s="126"/>
      <c r="H323" s="127"/>
      <c r="I323" s="128"/>
      <c r="J323" s="25" t="s">
        <v>186</v>
      </c>
      <c r="K323" s="27"/>
      <c r="L323" s="118"/>
      <c r="M323" s="27" t="str">
        <f t="shared" si="28"/>
        <v/>
      </c>
      <c r="N323" s="27" t="str">
        <f t="shared" si="22"/>
        <v>CHUADO</v>
      </c>
    </row>
    <row r="324" spans="1:14" x14ac:dyDescent="0.3">
      <c r="A324" s="116"/>
      <c r="B324" s="108"/>
      <c r="C324" s="109"/>
      <c r="D324" s="110"/>
      <c r="E324" s="114"/>
      <c r="F324" s="116"/>
      <c r="G324" s="126"/>
      <c r="H324" s="127"/>
      <c r="I324" s="128"/>
      <c r="J324" s="25" t="s">
        <v>187</v>
      </c>
      <c r="K324" s="27"/>
      <c r="L324" s="118"/>
      <c r="M324" s="27" t="str">
        <f t="shared" si="28"/>
        <v/>
      </c>
      <c r="N324" s="27" t="str">
        <f t="shared" si="22"/>
        <v>CHUADO</v>
      </c>
    </row>
    <row r="325" spans="1:14" x14ac:dyDescent="0.3">
      <c r="A325" s="116"/>
      <c r="B325" s="108"/>
      <c r="C325" s="109"/>
      <c r="D325" s="110"/>
      <c r="E325" s="114"/>
      <c r="F325" s="116"/>
      <c r="G325" s="126"/>
      <c r="H325" s="127"/>
      <c r="I325" s="128"/>
      <c r="J325" s="25" t="s">
        <v>188</v>
      </c>
      <c r="K325" s="27"/>
      <c r="L325" s="118"/>
      <c r="M325" s="27" t="str">
        <f t="shared" si="28"/>
        <v/>
      </c>
      <c r="N325" s="27" t="str">
        <f t="shared" si="22"/>
        <v>CHUADO</v>
      </c>
    </row>
    <row r="326" spans="1:14" x14ac:dyDescent="0.3">
      <c r="A326" s="116"/>
      <c r="B326" s="108"/>
      <c r="C326" s="109"/>
      <c r="D326" s="110"/>
      <c r="E326" s="114"/>
      <c r="F326" s="116"/>
      <c r="G326" s="126"/>
      <c r="H326" s="127"/>
      <c r="I326" s="128"/>
      <c r="J326" s="25" t="s">
        <v>189</v>
      </c>
      <c r="K326" s="27"/>
      <c r="L326" s="118"/>
      <c r="M326" s="27" t="str">
        <f t="shared" si="28"/>
        <v/>
      </c>
      <c r="N326" s="27" t="str">
        <f t="shared" si="22"/>
        <v>CHUADO</v>
      </c>
    </row>
    <row r="327" spans="1:14" x14ac:dyDescent="0.3">
      <c r="A327" s="116"/>
      <c r="B327" s="108"/>
      <c r="C327" s="109"/>
      <c r="D327" s="110"/>
      <c r="E327" s="114"/>
      <c r="F327" s="117"/>
      <c r="G327" s="129"/>
      <c r="H327" s="130"/>
      <c r="I327" s="131"/>
      <c r="J327" s="25" t="s">
        <v>190</v>
      </c>
      <c r="K327" s="27"/>
      <c r="L327" s="118"/>
      <c r="M327" s="27" t="str">
        <f t="shared" si="28"/>
        <v/>
      </c>
      <c r="N327" s="27" t="str">
        <f t="shared" si="22"/>
        <v>CHUADO</v>
      </c>
    </row>
    <row r="328" spans="1:14" ht="15.6" customHeight="1" x14ac:dyDescent="0.3">
      <c r="A328" s="116"/>
      <c r="B328" s="108"/>
      <c r="C328" s="109"/>
      <c r="D328" s="110"/>
      <c r="E328" s="114" t="s">
        <v>52</v>
      </c>
      <c r="F328" s="115"/>
      <c r="G328" s="123" t="s">
        <v>223</v>
      </c>
      <c r="H328" s="124"/>
      <c r="I328" s="125"/>
      <c r="J328" s="25" t="s">
        <v>183</v>
      </c>
      <c r="K328" s="27"/>
      <c r="L328" s="118" t="s">
        <v>161</v>
      </c>
      <c r="M328" s="27" t="str">
        <f>IF(ISBLANK(K328),"",IF(AND(K328*1&lt;-47),"PASS","FAIL"))</f>
        <v/>
      </c>
      <c r="N328" s="27" t="str">
        <f t="shared" si="22"/>
        <v>CHUADO</v>
      </c>
    </row>
    <row r="329" spans="1:14" x14ac:dyDescent="0.3">
      <c r="A329" s="116"/>
      <c r="B329" s="108"/>
      <c r="C329" s="109"/>
      <c r="D329" s="110"/>
      <c r="E329" s="114"/>
      <c r="F329" s="116"/>
      <c r="G329" s="126"/>
      <c r="H329" s="127"/>
      <c r="I329" s="128"/>
      <c r="J329" s="25" t="s">
        <v>184</v>
      </c>
      <c r="K329" s="27"/>
      <c r="L329" s="118"/>
      <c r="M329" s="27" t="str">
        <f t="shared" ref="M329:M343" si="29">IF(ISBLANK(K329),"",IF(AND(K329*1&lt;-47),"PASS","FAIL"))</f>
        <v/>
      </c>
      <c r="N329" s="27" t="str">
        <f t="shared" si="22"/>
        <v>CHUADO</v>
      </c>
    </row>
    <row r="330" spans="1:14" x14ac:dyDescent="0.3">
      <c r="A330" s="116"/>
      <c r="B330" s="108"/>
      <c r="C330" s="109"/>
      <c r="D330" s="110"/>
      <c r="E330" s="114"/>
      <c r="F330" s="116"/>
      <c r="G330" s="126"/>
      <c r="H330" s="127"/>
      <c r="I330" s="128"/>
      <c r="J330" s="25" t="s">
        <v>185</v>
      </c>
      <c r="K330" s="27"/>
      <c r="L330" s="118"/>
      <c r="M330" s="27" t="str">
        <f t="shared" si="29"/>
        <v/>
      </c>
      <c r="N330" s="27" t="str">
        <f t="shared" si="22"/>
        <v>CHUADO</v>
      </c>
    </row>
    <row r="331" spans="1:14" x14ac:dyDescent="0.3">
      <c r="A331" s="116"/>
      <c r="B331" s="108"/>
      <c r="C331" s="109"/>
      <c r="D331" s="110"/>
      <c r="E331" s="114"/>
      <c r="F331" s="116"/>
      <c r="G331" s="126"/>
      <c r="H331" s="127"/>
      <c r="I331" s="128"/>
      <c r="J331" s="25" t="s">
        <v>186</v>
      </c>
      <c r="K331" s="27"/>
      <c r="L331" s="118"/>
      <c r="M331" s="27" t="str">
        <f t="shared" si="29"/>
        <v/>
      </c>
      <c r="N331" s="27" t="str">
        <f t="shared" si="22"/>
        <v>CHUADO</v>
      </c>
    </row>
    <row r="332" spans="1:14" x14ac:dyDescent="0.3">
      <c r="A332" s="116"/>
      <c r="B332" s="108"/>
      <c r="C332" s="109"/>
      <c r="D332" s="110"/>
      <c r="E332" s="114"/>
      <c r="F332" s="116"/>
      <c r="G332" s="126"/>
      <c r="H332" s="127"/>
      <c r="I332" s="128"/>
      <c r="J332" s="25" t="s">
        <v>187</v>
      </c>
      <c r="K332" s="27"/>
      <c r="L332" s="118"/>
      <c r="M332" s="27" t="str">
        <f t="shared" si="29"/>
        <v/>
      </c>
      <c r="N332" s="27" t="str">
        <f t="shared" si="22"/>
        <v>CHUADO</v>
      </c>
    </row>
    <row r="333" spans="1:14" x14ac:dyDescent="0.3">
      <c r="A333" s="116"/>
      <c r="B333" s="108"/>
      <c r="C333" s="109"/>
      <c r="D333" s="110"/>
      <c r="E333" s="114"/>
      <c r="F333" s="116"/>
      <c r="G333" s="126"/>
      <c r="H333" s="127"/>
      <c r="I333" s="128"/>
      <c r="J333" s="25" t="s">
        <v>188</v>
      </c>
      <c r="K333" s="27"/>
      <c r="L333" s="118"/>
      <c r="M333" s="27" t="str">
        <f t="shared" si="29"/>
        <v/>
      </c>
      <c r="N333" s="27" t="str">
        <f t="shared" si="22"/>
        <v>CHUADO</v>
      </c>
    </row>
    <row r="334" spans="1:14" x14ac:dyDescent="0.3">
      <c r="A334" s="116"/>
      <c r="B334" s="108"/>
      <c r="C334" s="109"/>
      <c r="D334" s="110"/>
      <c r="E334" s="114"/>
      <c r="F334" s="116"/>
      <c r="G334" s="126"/>
      <c r="H334" s="127"/>
      <c r="I334" s="128"/>
      <c r="J334" s="25" t="s">
        <v>189</v>
      </c>
      <c r="K334" s="27"/>
      <c r="L334" s="118"/>
      <c r="M334" s="27" t="str">
        <f t="shared" si="29"/>
        <v/>
      </c>
      <c r="N334" s="27" t="str">
        <f t="shared" si="22"/>
        <v>CHUADO</v>
      </c>
    </row>
    <row r="335" spans="1:14" x14ac:dyDescent="0.3">
      <c r="A335" s="116"/>
      <c r="B335" s="108"/>
      <c r="C335" s="109"/>
      <c r="D335" s="110"/>
      <c r="E335" s="114"/>
      <c r="F335" s="117"/>
      <c r="G335" s="129"/>
      <c r="H335" s="130"/>
      <c r="I335" s="131"/>
      <c r="J335" s="25" t="s">
        <v>190</v>
      </c>
      <c r="K335" s="27"/>
      <c r="L335" s="118"/>
      <c r="M335" s="27" t="str">
        <f t="shared" si="29"/>
        <v/>
      </c>
      <c r="N335" s="27" t="str">
        <f t="shared" si="22"/>
        <v>CHUADO</v>
      </c>
    </row>
    <row r="336" spans="1:14" ht="15.6" customHeight="1" x14ac:dyDescent="0.3">
      <c r="A336" s="116"/>
      <c r="B336" s="108"/>
      <c r="C336" s="109"/>
      <c r="D336" s="110"/>
      <c r="E336" s="114" t="s">
        <v>52</v>
      </c>
      <c r="F336" s="115"/>
      <c r="G336" s="123" t="s">
        <v>224</v>
      </c>
      <c r="H336" s="124"/>
      <c r="I336" s="125"/>
      <c r="J336" s="25" t="s">
        <v>183</v>
      </c>
      <c r="K336" s="27"/>
      <c r="L336" s="118" t="s">
        <v>161</v>
      </c>
      <c r="M336" s="27" t="str">
        <f t="shared" si="29"/>
        <v/>
      </c>
      <c r="N336" s="27" t="str">
        <f t="shared" si="22"/>
        <v>CHUADO</v>
      </c>
    </row>
    <row r="337" spans="1:14" x14ac:dyDescent="0.3">
      <c r="A337" s="116"/>
      <c r="B337" s="108"/>
      <c r="C337" s="109"/>
      <c r="D337" s="110"/>
      <c r="E337" s="114"/>
      <c r="F337" s="116"/>
      <c r="G337" s="126"/>
      <c r="H337" s="127"/>
      <c r="I337" s="128"/>
      <c r="J337" s="25" t="s">
        <v>184</v>
      </c>
      <c r="K337" s="27"/>
      <c r="L337" s="118"/>
      <c r="M337" s="27" t="str">
        <f t="shared" si="29"/>
        <v/>
      </c>
      <c r="N337" s="27" t="str">
        <f t="shared" ref="N337:N367" si="30">IF(ISBLANK(K337),"CHUADO","")</f>
        <v>CHUADO</v>
      </c>
    </row>
    <row r="338" spans="1:14" x14ac:dyDescent="0.3">
      <c r="A338" s="116"/>
      <c r="B338" s="108"/>
      <c r="C338" s="109"/>
      <c r="D338" s="110"/>
      <c r="E338" s="114"/>
      <c r="F338" s="116"/>
      <c r="G338" s="126"/>
      <c r="H338" s="127"/>
      <c r="I338" s="128"/>
      <c r="J338" s="25" t="s">
        <v>185</v>
      </c>
      <c r="K338" s="27"/>
      <c r="L338" s="118"/>
      <c r="M338" s="27" t="str">
        <f t="shared" si="29"/>
        <v/>
      </c>
      <c r="N338" s="27" t="str">
        <f t="shared" si="30"/>
        <v>CHUADO</v>
      </c>
    </row>
    <row r="339" spans="1:14" x14ac:dyDescent="0.3">
      <c r="A339" s="116"/>
      <c r="B339" s="108"/>
      <c r="C339" s="109"/>
      <c r="D339" s="110"/>
      <c r="E339" s="114"/>
      <c r="F339" s="116"/>
      <c r="G339" s="126"/>
      <c r="H339" s="127"/>
      <c r="I339" s="128"/>
      <c r="J339" s="25" t="s">
        <v>186</v>
      </c>
      <c r="K339" s="27"/>
      <c r="L339" s="118"/>
      <c r="M339" s="27" t="str">
        <f t="shared" si="29"/>
        <v/>
      </c>
      <c r="N339" s="27" t="str">
        <f t="shared" si="30"/>
        <v>CHUADO</v>
      </c>
    </row>
    <row r="340" spans="1:14" x14ac:dyDescent="0.3">
      <c r="A340" s="116"/>
      <c r="B340" s="108"/>
      <c r="C340" s="109"/>
      <c r="D340" s="110"/>
      <c r="E340" s="114"/>
      <c r="F340" s="116"/>
      <c r="G340" s="126"/>
      <c r="H340" s="127"/>
      <c r="I340" s="128"/>
      <c r="J340" s="25" t="s">
        <v>187</v>
      </c>
      <c r="K340" s="27"/>
      <c r="L340" s="118"/>
      <c r="M340" s="27" t="str">
        <f t="shared" si="29"/>
        <v/>
      </c>
      <c r="N340" s="27" t="str">
        <f t="shared" si="30"/>
        <v>CHUADO</v>
      </c>
    </row>
    <row r="341" spans="1:14" x14ac:dyDescent="0.3">
      <c r="A341" s="116"/>
      <c r="B341" s="108"/>
      <c r="C341" s="109"/>
      <c r="D341" s="110"/>
      <c r="E341" s="114"/>
      <c r="F341" s="116"/>
      <c r="G341" s="126"/>
      <c r="H341" s="127"/>
      <c r="I341" s="128"/>
      <c r="J341" s="25" t="s">
        <v>188</v>
      </c>
      <c r="K341" s="27"/>
      <c r="L341" s="118"/>
      <c r="M341" s="27" t="str">
        <f t="shared" si="29"/>
        <v/>
      </c>
      <c r="N341" s="27" t="str">
        <f t="shared" si="30"/>
        <v>CHUADO</v>
      </c>
    </row>
    <row r="342" spans="1:14" x14ac:dyDescent="0.3">
      <c r="A342" s="116"/>
      <c r="B342" s="108"/>
      <c r="C342" s="109"/>
      <c r="D342" s="110"/>
      <c r="E342" s="114"/>
      <c r="F342" s="116"/>
      <c r="G342" s="126"/>
      <c r="H342" s="127"/>
      <c r="I342" s="128"/>
      <c r="J342" s="25" t="s">
        <v>189</v>
      </c>
      <c r="K342" s="27"/>
      <c r="L342" s="118"/>
      <c r="M342" s="27" t="str">
        <f t="shared" si="29"/>
        <v/>
      </c>
      <c r="N342" s="27" t="str">
        <f t="shared" si="30"/>
        <v>CHUADO</v>
      </c>
    </row>
    <row r="343" spans="1:14" x14ac:dyDescent="0.3">
      <c r="A343" s="117"/>
      <c r="B343" s="111"/>
      <c r="C343" s="112"/>
      <c r="D343" s="113"/>
      <c r="E343" s="114"/>
      <c r="F343" s="117"/>
      <c r="G343" s="129"/>
      <c r="H343" s="130"/>
      <c r="I343" s="131"/>
      <c r="J343" s="25" t="s">
        <v>190</v>
      </c>
      <c r="K343" s="27"/>
      <c r="L343" s="118"/>
      <c r="M343" s="27" t="str">
        <f t="shared" si="29"/>
        <v/>
      </c>
      <c r="N343" s="27" t="str">
        <f t="shared" si="30"/>
        <v>CHUADO</v>
      </c>
    </row>
    <row r="344" spans="1:14" ht="15.75" customHeight="1" x14ac:dyDescent="0.3">
      <c r="A344" s="104" t="s">
        <v>162</v>
      </c>
      <c r="B344" s="105" t="s">
        <v>163</v>
      </c>
      <c r="C344" s="106"/>
      <c r="D344" s="107"/>
      <c r="E344" s="114" t="s">
        <v>52</v>
      </c>
      <c r="F344" s="115" t="s">
        <v>220</v>
      </c>
      <c r="G344" s="58">
        <f>$G$272*1+6</f>
        <v>-88.9</v>
      </c>
      <c r="H344" s="115" t="s">
        <v>217</v>
      </c>
      <c r="I344" s="58" t="s">
        <v>145</v>
      </c>
      <c r="J344" s="25" t="s">
        <v>183</v>
      </c>
      <c r="K344" s="27"/>
      <c r="L344" s="118" t="s">
        <v>164</v>
      </c>
      <c r="M344" s="27" t="str">
        <f>IF(ISBLANK(K344),"",IF(AND(K344*1&gt;=H344*1),"PASS","FAIL"))</f>
        <v/>
      </c>
      <c r="N344" s="27" t="str">
        <f t="shared" si="30"/>
        <v>CHUADO</v>
      </c>
    </row>
    <row r="345" spans="1:14" x14ac:dyDescent="0.3">
      <c r="A345" s="104"/>
      <c r="B345" s="108"/>
      <c r="C345" s="109"/>
      <c r="D345" s="110"/>
      <c r="E345" s="114"/>
      <c r="F345" s="116"/>
      <c r="G345" s="58">
        <f t="shared" ref="G345:G359" si="31">$G$272*1+6</f>
        <v>-88.9</v>
      </c>
      <c r="H345" s="119"/>
      <c r="I345" s="58" t="s">
        <v>145</v>
      </c>
      <c r="J345" s="25" t="s">
        <v>184</v>
      </c>
      <c r="K345" s="27"/>
      <c r="L345" s="118"/>
      <c r="M345" s="27" t="str">
        <f t="shared" ref="M345:M367" si="32">IF(ISBLANK(K345),"",IF(AND(K345*1&gt;=H345*1),"PASS","FAIL"))</f>
        <v/>
      </c>
      <c r="N345" s="27" t="str">
        <f t="shared" si="30"/>
        <v>CHUADO</v>
      </c>
    </row>
    <row r="346" spans="1:14" x14ac:dyDescent="0.3">
      <c r="A346" s="104"/>
      <c r="B346" s="108"/>
      <c r="C346" s="109"/>
      <c r="D346" s="110"/>
      <c r="E346" s="114"/>
      <c r="F346" s="116"/>
      <c r="G346" s="58">
        <f t="shared" si="31"/>
        <v>-88.9</v>
      </c>
      <c r="H346" s="119"/>
      <c r="I346" s="58" t="s">
        <v>145</v>
      </c>
      <c r="J346" s="25" t="s">
        <v>185</v>
      </c>
      <c r="K346" s="27"/>
      <c r="L346" s="118"/>
      <c r="M346" s="27" t="str">
        <f t="shared" si="32"/>
        <v/>
      </c>
      <c r="N346" s="27" t="str">
        <f t="shared" si="30"/>
        <v>CHUADO</v>
      </c>
    </row>
    <row r="347" spans="1:14" x14ac:dyDescent="0.3">
      <c r="A347" s="104"/>
      <c r="B347" s="108"/>
      <c r="C347" s="109"/>
      <c r="D347" s="110"/>
      <c r="E347" s="114"/>
      <c r="F347" s="116"/>
      <c r="G347" s="58">
        <f t="shared" si="31"/>
        <v>-88.9</v>
      </c>
      <c r="H347" s="119"/>
      <c r="I347" s="58" t="s">
        <v>145</v>
      </c>
      <c r="J347" s="25" t="s">
        <v>186</v>
      </c>
      <c r="K347" s="27"/>
      <c r="L347" s="118"/>
      <c r="M347" s="27" t="str">
        <f t="shared" si="32"/>
        <v/>
      </c>
      <c r="N347" s="27" t="str">
        <f t="shared" si="30"/>
        <v>CHUADO</v>
      </c>
    </row>
    <row r="348" spans="1:14" x14ac:dyDescent="0.3">
      <c r="A348" s="104"/>
      <c r="B348" s="108"/>
      <c r="C348" s="109"/>
      <c r="D348" s="110"/>
      <c r="E348" s="114"/>
      <c r="F348" s="116"/>
      <c r="G348" s="58">
        <f t="shared" si="31"/>
        <v>-88.9</v>
      </c>
      <c r="H348" s="119"/>
      <c r="I348" s="58" t="s">
        <v>145</v>
      </c>
      <c r="J348" s="25" t="s">
        <v>187</v>
      </c>
      <c r="K348" s="27"/>
      <c r="L348" s="118"/>
      <c r="M348" s="27" t="str">
        <f t="shared" si="32"/>
        <v/>
      </c>
      <c r="N348" s="27" t="str">
        <f t="shared" si="30"/>
        <v>CHUADO</v>
      </c>
    </row>
    <row r="349" spans="1:14" x14ac:dyDescent="0.3">
      <c r="A349" s="104"/>
      <c r="B349" s="108"/>
      <c r="C349" s="109"/>
      <c r="D349" s="110"/>
      <c r="E349" s="114"/>
      <c r="F349" s="116"/>
      <c r="G349" s="58">
        <f t="shared" si="31"/>
        <v>-88.9</v>
      </c>
      <c r="H349" s="119"/>
      <c r="I349" s="58" t="s">
        <v>145</v>
      </c>
      <c r="J349" s="25" t="s">
        <v>188</v>
      </c>
      <c r="K349" s="27"/>
      <c r="L349" s="118"/>
      <c r="M349" s="27" t="str">
        <f t="shared" si="32"/>
        <v/>
      </c>
      <c r="N349" s="27" t="str">
        <f t="shared" si="30"/>
        <v>CHUADO</v>
      </c>
    </row>
    <row r="350" spans="1:14" x14ac:dyDescent="0.3">
      <c r="A350" s="104"/>
      <c r="B350" s="108"/>
      <c r="C350" s="109"/>
      <c r="D350" s="110"/>
      <c r="E350" s="114"/>
      <c r="F350" s="116"/>
      <c r="G350" s="58">
        <f t="shared" si="31"/>
        <v>-88.9</v>
      </c>
      <c r="H350" s="119"/>
      <c r="I350" s="58" t="s">
        <v>145</v>
      </c>
      <c r="J350" s="25" t="s">
        <v>189</v>
      </c>
      <c r="K350" s="27"/>
      <c r="L350" s="118"/>
      <c r="M350" s="27" t="str">
        <f t="shared" si="32"/>
        <v/>
      </c>
      <c r="N350" s="27" t="str">
        <f t="shared" si="30"/>
        <v>CHUADO</v>
      </c>
    </row>
    <row r="351" spans="1:14" x14ac:dyDescent="0.3">
      <c r="A351" s="104"/>
      <c r="B351" s="111"/>
      <c r="C351" s="112"/>
      <c r="D351" s="113"/>
      <c r="E351" s="114"/>
      <c r="F351" s="117"/>
      <c r="G351" s="58">
        <f t="shared" si="31"/>
        <v>-88.9</v>
      </c>
      <c r="H351" s="120"/>
      <c r="I351" s="58" t="s">
        <v>145</v>
      </c>
      <c r="J351" s="25" t="s">
        <v>190</v>
      </c>
      <c r="K351" s="27"/>
      <c r="L351" s="118"/>
      <c r="M351" s="27" t="str">
        <f t="shared" si="32"/>
        <v/>
      </c>
      <c r="N351" s="27" t="str">
        <f t="shared" si="30"/>
        <v>CHUADO</v>
      </c>
    </row>
    <row r="352" spans="1:14" ht="15.6" customHeight="1" x14ac:dyDescent="0.3">
      <c r="A352" s="104" t="s">
        <v>165</v>
      </c>
      <c r="B352" s="105" t="s">
        <v>166</v>
      </c>
      <c r="C352" s="106"/>
      <c r="D352" s="107"/>
      <c r="E352" s="114" t="s">
        <v>52</v>
      </c>
      <c r="F352" s="115" t="s">
        <v>220</v>
      </c>
      <c r="G352" s="58">
        <f t="shared" si="31"/>
        <v>-88.9</v>
      </c>
      <c r="H352" s="115" t="s">
        <v>218</v>
      </c>
      <c r="I352" s="58" t="s">
        <v>145</v>
      </c>
      <c r="J352" s="25" t="s">
        <v>183</v>
      </c>
      <c r="K352" s="27"/>
      <c r="L352" s="118" t="s">
        <v>167</v>
      </c>
      <c r="M352" s="27" t="str">
        <f t="shared" si="32"/>
        <v/>
      </c>
      <c r="N352" s="27" t="str">
        <f t="shared" si="30"/>
        <v>CHUADO</v>
      </c>
    </row>
    <row r="353" spans="1:14" x14ac:dyDescent="0.3">
      <c r="A353" s="104"/>
      <c r="B353" s="108"/>
      <c r="C353" s="109"/>
      <c r="D353" s="110"/>
      <c r="E353" s="114"/>
      <c r="F353" s="116"/>
      <c r="G353" s="58">
        <f t="shared" si="31"/>
        <v>-88.9</v>
      </c>
      <c r="H353" s="119"/>
      <c r="I353" s="58" t="str">
        <f>I352</f>
        <v>-52</v>
      </c>
      <c r="J353" s="25" t="s">
        <v>184</v>
      </c>
      <c r="K353" s="27"/>
      <c r="L353" s="118"/>
      <c r="M353" s="27" t="str">
        <f t="shared" si="32"/>
        <v/>
      </c>
      <c r="N353" s="27" t="str">
        <f t="shared" si="30"/>
        <v>CHUADO</v>
      </c>
    </row>
    <row r="354" spans="1:14" x14ac:dyDescent="0.3">
      <c r="A354" s="104"/>
      <c r="B354" s="108"/>
      <c r="C354" s="109"/>
      <c r="D354" s="110"/>
      <c r="E354" s="114"/>
      <c r="F354" s="116"/>
      <c r="G354" s="58">
        <f t="shared" si="31"/>
        <v>-88.9</v>
      </c>
      <c r="H354" s="119"/>
      <c r="I354" s="58" t="str">
        <f>I352</f>
        <v>-52</v>
      </c>
      <c r="J354" s="25" t="s">
        <v>185</v>
      </c>
      <c r="K354" s="27"/>
      <c r="L354" s="118"/>
      <c r="M354" s="27" t="str">
        <f t="shared" si="32"/>
        <v/>
      </c>
      <c r="N354" s="27" t="str">
        <f t="shared" si="30"/>
        <v>CHUADO</v>
      </c>
    </row>
    <row r="355" spans="1:14" x14ac:dyDescent="0.3">
      <c r="A355" s="104"/>
      <c r="B355" s="108"/>
      <c r="C355" s="109"/>
      <c r="D355" s="110"/>
      <c r="E355" s="114"/>
      <c r="F355" s="116"/>
      <c r="G355" s="58">
        <f t="shared" si="31"/>
        <v>-88.9</v>
      </c>
      <c r="H355" s="119"/>
      <c r="I355" s="58" t="str">
        <f>I352</f>
        <v>-52</v>
      </c>
      <c r="J355" s="25" t="s">
        <v>186</v>
      </c>
      <c r="K355" s="27"/>
      <c r="L355" s="118"/>
      <c r="M355" s="27" t="str">
        <f t="shared" si="32"/>
        <v/>
      </c>
      <c r="N355" s="27" t="str">
        <f t="shared" si="30"/>
        <v>CHUADO</v>
      </c>
    </row>
    <row r="356" spans="1:14" x14ac:dyDescent="0.3">
      <c r="A356" s="104"/>
      <c r="B356" s="108"/>
      <c r="C356" s="109"/>
      <c r="D356" s="110"/>
      <c r="E356" s="114"/>
      <c r="F356" s="116"/>
      <c r="G356" s="58">
        <f t="shared" si="31"/>
        <v>-88.9</v>
      </c>
      <c r="H356" s="119"/>
      <c r="I356" s="58" t="str">
        <f>I352</f>
        <v>-52</v>
      </c>
      <c r="J356" s="25" t="s">
        <v>187</v>
      </c>
      <c r="K356" s="27"/>
      <c r="L356" s="118"/>
      <c r="M356" s="27" t="str">
        <f t="shared" si="32"/>
        <v/>
      </c>
      <c r="N356" s="27" t="str">
        <f t="shared" si="30"/>
        <v>CHUADO</v>
      </c>
    </row>
    <row r="357" spans="1:14" x14ac:dyDescent="0.3">
      <c r="A357" s="104"/>
      <c r="B357" s="108"/>
      <c r="C357" s="109"/>
      <c r="D357" s="110"/>
      <c r="E357" s="114"/>
      <c r="F357" s="116"/>
      <c r="G357" s="58">
        <f t="shared" si="31"/>
        <v>-88.9</v>
      </c>
      <c r="H357" s="119"/>
      <c r="I357" s="58" t="str">
        <f>I352</f>
        <v>-52</v>
      </c>
      <c r="J357" s="25" t="s">
        <v>188</v>
      </c>
      <c r="K357" s="27"/>
      <c r="L357" s="118"/>
      <c r="M357" s="27" t="str">
        <f t="shared" si="32"/>
        <v/>
      </c>
      <c r="N357" s="27" t="str">
        <f t="shared" si="30"/>
        <v>CHUADO</v>
      </c>
    </row>
    <row r="358" spans="1:14" x14ac:dyDescent="0.3">
      <c r="A358" s="104"/>
      <c r="B358" s="108"/>
      <c r="C358" s="109"/>
      <c r="D358" s="110"/>
      <c r="E358" s="114"/>
      <c r="F358" s="116"/>
      <c r="G358" s="58">
        <f t="shared" si="31"/>
        <v>-88.9</v>
      </c>
      <c r="H358" s="119"/>
      <c r="I358" s="58" t="str">
        <f>I352</f>
        <v>-52</v>
      </c>
      <c r="J358" s="25" t="s">
        <v>189</v>
      </c>
      <c r="K358" s="27"/>
      <c r="L358" s="118"/>
      <c r="M358" s="27" t="str">
        <f t="shared" si="32"/>
        <v/>
      </c>
      <c r="N358" s="27" t="str">
        <f t="shared" si="30"/>
        <v>CHUADO</v>
      </c>
    </row>
    <row r="359" spans="1:14" x14ac:dyDescent="0.3">
      <c r="A359" s="104"/>
      <c r="B359" s="111"/>
      <c r="C359" s="112"/>
      <c r="D359" s="113"/>
      <c r="E359" s="114"/>
      <c r="F359" s="117"/>
      <c r="G359" s="58">
        <f t="shared" si="31"/>
        <v>-88.9</v>
      </c>
      <c r="H359" s="120"/>
      <c r="I359" s="58" t="str">
        <f>I352</f>
        <v>-52</v>
      </c>
      <c r="J359" s="25" t="s">
        <v>190</v>
      </c>
      <c r="K359" s="27"/>
      <c r="L359" s="118"/>
      <c r="M359" s="27" t="str">
        <f t="shared" si="32"/>
        <v/>
      </c>
      <c r="N359" s="27" t="str">
        <f t="shared" si="30"/>
        <v>CHUADO</v>
      </c>
    </row>
    <row r="360" spans="1:14" ht="15.6" customHeight="1" x14ac:dyDescent="0.3">
      <c r="A360" s="104" t="s">
        <v>168</v>
      </c>
      <c r="B360" s="105" t="s">
        <v>169</v>
      </c>
      <c r="C360" s="106"/>
      <c r="D360" s="107"/>
      <c r="E360" s="114" t="s">
        <v>52</v>
      </c>
      <c r="F360" s="115" t="s">
        <v>220</v>
      </c>
      <c r="G360" s="58" t="s">
        <v>209</v>
      </c>
      <c r="H360" s="115" t="s">
        <v>208</v>
      </c>
      <c r="I360" s="58" t="s">
        <v>170</v>
      </c>
      <c r="J360" s="25" t="s">
        <v>183</v>
      </c>
      <c r="K360" s="27"/>
      <c r="L360" s="118" t="s">
        <v>171</v>
      </c>
      <c r="M360" s="27" t="str">
        <f t="shared" si="32"/>
        <v/>
      </c>
      <c r="N360" s="27" t="str">
        <f t="shared" si="30"/>
        <v>CHUADO</v>
      </c>
    </row>
    <row r="361" spans="1:14" x14ac:dyDescent="0.3">
      <c r="A361" s="104"/>
      <c r="B361" s="108"/>
      <c r="C361" s="109"/>
      <c r="D361" s="110"/>
      <c r="E361" s="114"/>
      <c r="F361" s="116"/>
      <c r="G361" s="58" t="s">
        <v>210</v>
      </c>
      <c r="H361" s="116"/>
      <c r="I361" s="58" t="str">
        <f>I360</f>
        <v>-71.4</v>
      </c>
      <c r="J361" s="25" t="s">
        <v>184</v>
      </c>
      <c r="K361" s="27"/>
      <c r="L361" s="118"/>
      <c r="M361" s="27" t="str">
        <f t="shared" si="32"/>
        <v/>
      </c>
      <c r="N361" s="27" t="str">
        <f t="shared" si="30"/>
        <v>CHUADO</v>
      </c>
    </row>
    <row r="362" spans="1:14" x14ac:dyDescent="0.3">
      <c r="A362" s="104"/>
      <c r="B362" s="108"/>
      <c r="C362" s="109"/>
      <c r="D362" s="110"/>
      <c r="E362" s="114"/>
      <c r="F362" s="116"/>
      <c r="G362" s="58" t="s">
        <v>211</v>
      </c>
      <c r="H362" s="116"/>
      <c r="I362" s="58" t="str">
        <f>I360</f>
        <v>-71.4</v>
      </c>
      <c r="J362" s="25" t="s">
        <v>185</v>
      </c>
      <c r="K362" s="27"/>
      <c r="L362" s="118"/>
      <c r="M362" s="27" t="str">
        <f t="shared" si="32"/>
        <v/>
      </c>
      <c r="N362" s="27" t="str">
        <f t="shared" si="30"/>
        <v>CHUADO</v>
      </c>
    </row>
    <row r="363" spans="1:14" x14ac:dyDescent="0.3">
      <c r="A363" s="104"/>
      <c r="B363" s="108"/>
      <c r="C363" s="109"/>
      <c r="D363" s="110"/>
      <c r="E363" s="114"/>
      <c r="F363" s="116"/>
      <c r="G363" s="58" t="s">
        <v>212</v>
      </c>
      <c r="H363" s="116"/>
      <c r="I363" s="58" t="str">
        <f>I360</f>
        <v>-71.4</v>
      </c>
      <c r="J363" s="25" t="s">
        <v>186</v>
      </c>
      <c r="K363" s="27"/>
      <c r="L363" s="118"/>
      <c r="M363" s="27" t="str">
        <f t="shared" si="32"/>
        <v/>
      </c>
      <c r="N363" s="27" t="str">
        <f t="shared" si="30"/>
        <v>CHUADO</v>
      </c>
    </row>
    <row r="364" spans="1:14" x14ac:dyDescent="0.3">
      <c r="A364" s="104"/>
      <c r="B364" s="108"/>
      <c r="C364" s="109"/>
      <c r="D364" s="110"/>
      <c r="E364" s="114"/>
      <c r="F364" s="116"/>
      <c r="G364" s="58" t="s">
        <v>213</v>
      </c>
      <c r="H364" s="116"/>
      <c r="I364" s="58" t="str">
        <f>I360</f>
        <v>-71.4</v>
      </c>
      <c r="J364" s="25" t="s">
        <v>187</v>
      </c>
      <c r="K364" s="27"/>
      <c r="L364" s="118"/>
      <c r="M364" s="27" t="str">
        <f t="shared" si="32"/>
        <v/>
      </c>
      <c r="N364" s="27" t="str">
        <f t="shared" si="30"/>
        <v>CHUADO</v>
      </c>
    </row>
    <row r="365" spans="1:14" x14ac:dyDescent="0.3">
      <c r="A365" s="104"/>
      <c r="B365" s="108"/>
      <c r="C365" s="109"/>
      <c r="D365" s="110"/>
      <c r="E365" s="114"/>
      <c r="F365" s="116"/>
      <c r="G365" s="58" t="s">
        <v>214</v>
      </c>
      <c r="H365" s="116"/>
      <c r="I365" s="58" t="str">
        <f>I360</f>
        <v>-71.4</v>
      </c>
      <c r="J365" s="25" t="s">
        <v>188</v>
      </c>
      <c r="K365" s="27"/>
      <c r="L365" s="118"/>
      <c r="M365" s="27" t="str">
        <f t="shared" si="32"/>
        <v/>
      </c>
      <c r="N365" s="27" t="str">
        <f t="shared" si="30"/>
        <v>CHUADO</v>
      </c>
    </row>
    <row r="366" spans="1:14" x14ac:dyDescent="0.3">
      <c r="A366" s="104"/>
      <c r="B366" s="108"/>
      <c r="C366" s="109"/>
      <c r="D366" s="110"/>
      <c r="E366" s="114"/>
      <c r="F366" s="116"/>
      <c r="G366" s="58" t="s">
        <v>215</v>
      </c>
      <c r="H366" s="116"/>
      <c r="I366" s="58" t="str">
        <f>I360</f>
        <v>-71.4</v>
      </c>
      <c r="J366" s="25" t="s">
        <v>189</v>
      </c>
      <c r="K366" s="27"/>
      <c r="L366" s="118"/>
      <c r="M366" s="27" t="str">
        <f t="shared" si="32"/>
        <v/>
      </c>
      <c r="N366" s="27" t="str">
        <f t="shared" si="30"/>
        <v>CHUADO</v>
      </c>
    </row>
    <row r="367" spans="1:14" x14ac:dyDescent="0.3">
      <c r="A367" s="104"/>
      <c r="B367" s="111"/>
      <c r="C367" s="112"/>
      <c r="D367" s="113"/>
      <c r="E367" s="114"/>
      <c r="F367" s="117"/>
      <c r="G367" s="58" t="s">
        <v>216</v>
      </c>
      <c r="H367" s="117"/>
      <c r="I367" s="58" t="str">
        <f>I360</f>
        <v>-71.4</v>
      </c>
      <c r="J367" s="25" t="s">
        <v>190</v>
      </c>
      <c r="K367" s="27"/>
      <c r="L367" s="118"/>
      <c r="M367" s="27" t="str">
        <f t="shared" si="32"/>
        <v/>
      </c>
      <c r="N367" s="27" t="str">
        <f t="shared" si="30"/>
        <v>CHUADO</v>
      </c>
    </row>
    <row r="368" spans="1:14" x14ac:dyDescent="0.3">
      <c r="A368" s="45"/>
      <c r="B368" s="45"/>
      <c r="C368" s="45"/>
      <c r="D368" s="46"/>
      <c r="E368" s="47"/>
      <c r="F368" s="47"/>
      <c r="G368" s="47"/>
      <c r="H368" s="47"/>
      <c r="I368" s="47"/>
      <c r="J368" s="47"/>
      <c r="K368" s="48"/>
      <c r="L368" s="45"/>
      <c r="M368" s="48"/>
      <c r="N368" s="49"/>
    </row>
    <row r="369" spans="1:14" x14ac:dyDescent="0.3">
      <c r="A369" s="50"/>
      <c r="B369" s="50"/>
      <c r="C369" s="50"/>
      <c r="D369" s="51"/>
      <c r="E369" s="52"/>
      <c r="F369" s="52"/>
      <c r="G369" s="52"/>
      <c r="H369" s="52"/>
      <c r="I369" s="52"/>
      <c r="J369" s="52"/>
      <c r="K369" s="53"/>
      <c r="L369" s="50"/>
      <c r="M369" s="53"/>
      <c r="N369" s="54"/>
    </row>
    <row r="370" spans="1:14" ht="15.75" customHeight="1" x14ac:dyDescent="0.3">
      <c r="A370" s="122" t="s">
        <v>172</v>
      </c>
      <c r="B370" s="122"/>
      <c r="C370" s="122"/>
      <c r="D370" s="122"/>
      <c r="E370" s="122"/>
      <c r="F370" s="122"/>
      <c r="G370" s="55"/>
      <c r="H370" s="55"/>
      <c r="I370" s="55"/>
      <c r="J370" s="55"/>
      <c r="K370" s="122" t="s">
        <v>172</v>
      </c>
      <c r="L370" s="122"/>
      <c r="M370" s="122"/>
      <c r="N370" s="122"/>
    </row>
    <row r="371" spans="1:14" ht="15.75" customHeight="1" x14ac:dyDescent="0.3">
      <c r="A371" s="121" t="s">
        <v>173</v>
      </c>
      <c r="B371" s="121"/>
      <c r="C371" s="121"/>
      <c r="D371" s="121"/>
      <c r="E371" s="121"/>
      <c r="F371" s="121"/>
      <c r="G371" s="55"/>
      <c r="H371" s="55"/>
      <c r="I371" s="55"/>
      <c r="J371" s="55"/>
      <c r="K371" s="121" t="s">
        <v>174</v>
      </c>
      <c r="L371" s="121"/>
      <c r="M371" s="121"/>
      <c r="N371" s="121"/>
    </row>
    <row r="372" spans="1:14" x14ac:dyDescent="0.3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4"/>
      <c r="L372" s="52"/>
      <c r="M372" s="54"/>
      <c r="N372" s="54"/>
    </row>
    <row r="373" spans="1:14" x14ac:dyDescent="0.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4"/>
      <c r="L373" s="52"/>
      <c r="M373" s="54"/>
      <c r="N373" s="54"/>
    </row>
    <row r="374" spans="1:14" x14ac:dyDescent="0.3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4"/>
      <c r="L374" s="52"/>
      <c r="M374" s="54"/>
      <c r="N374" s="54"/>
    </row>
    <row r="375" spans="1:14" x14ac:dyDescent="0.3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4"/>
      <c r="L375" s="52"/>
      <c r="M375" s="54"/>
      <c r="N375" s="54"/>
    </row>
    <row r="376" spans="1:14" x14ac:dyDescent="0.3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4"/>
      <c r="L376" s="52"/>
      <c r="M376" s="54"/>
      <c r="N376" s="54"/>
    </row>
    <row r="377" spans="1:14" x14ac:dyDescent="0.3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4"/>
      <c r="L377" s="52"/>
      <c r="M377" s="54"/>
      <c r="N377" s="54"/>
    </row>
  </sheetData>
  <mergeCells count="236">
    <mergeCell ref="A1:D4"/>
    <mergeCell ref="E1:L1"/>
    <mergeCell ref="E2:L3"/>
    <mergeCell ref="E4:L4"/>
    <mergeCell ref="A5:D9"/>
    <mergeCell ref="F5:H5"/>
    <mergeCell ref="J5:K5"/>
    <mergeCell ref="F6:H6"/>
    <mergeCell ref="J6:K6"/>
    <mergeCell ref="F7:H7"/>
    <mergeCell ref="J7:K7"/>
    <mergeCell ref="F8:H8"/>
    <mergeCell ref="J8:K8"/>
    <mergeCell ref="F9:H9"/>
    <mergeCell ref="J9:K9"/>
    <mergeCell ref="A10:D12"/>
    <mergeCell ref="F10:N10"/>
    <mergeCell ref="F11:H11"/>
    <mergeCell ref="I11:K11"/>
    <mergeCell ref="F12:H12"/>
    <mergeCell ref="L13:L14"/>
    <mergeCell ref="M13:M14"/>
    <mergeCell ref="N13:N14"/>
    <mergeCell ref="A16:A23"/>
    <mergeCell ref="B16:D23"/>
    <mergeCell ref="E16:E23"/>
    <mergeCell ref="F16:F23"/>
    <mergeCell ref="L16:L23"/>
    <mergeCell ref="I12:K12"/>
    <mergeCell ref="A13:A14"/>
    <mergeCell ref="B13:D14"/>
    <mergeCell ref="E13:E14"/>
    <mergeCell ref="F13:I13"/>
    <mergeCell ref="J13:K14"/>
    <mergeCell ref="A25:A32"/>
    <mergeCell ref="B25:D32"/>
    <mergeCell ref="E25:E32"/>
    <mergeCell ref="F25:F32"/>
    <mergeCell ref="L25:L32"/>
    <mergeCell ref="A34:A41"/>
    <mergeCell ref="B34:D41"/>
    <mergeCell ref="E34:E41"/>
    <mergeCell ref="F34:F41"/>
    <mergeCell ref="L34:L41"/>
    <mergeCell ref="A42:A49"/>
    <mergeCell ref="B42:D49"/>
    <mergeCell ref="E42:E49"/>
    <mergeCell ref="F42:F49"/>
    <mergeCell ref="L42:L49"/>
    <mergeCell ref="A51:A58"/>
    <mergeCell ref="B51:D58"/>
    <mergeCell ref="E51:E58"/>
    <mergeCell ref="F51:F58"/>
    <mergeCell ref="L51:L58"/>
    <mergeCell ref="A59:A98"/>
    <mergeCell ref="B59:B66"/>
    <mergeCell ref="E59:E66"/>
    <mergeCell ref="F59:F66"/>
    <mergeCell ref="L59:L106"/>
    <mergeCell ref="B67:B74"/>
    <mergeCell ref="E67:E74"/>
    <mergeCell ref="F67:F74"/>
    <mergeCell ref="B91:B106"/>
    <mergeCell ref="E91:E98"/>
    <mergeCell ref="F91:F98"/>
    <mergeCell ref="E99:E106"/>
    <mergeCell ref="F99:F106"/>
    <mergeCell ref="B75:B90"/>
    <mergeCell ref="E75:E82"/>
    <mergeCell ref="F75:F82"/>
    <mergeCell ref="E83:E90"/>
    <mergeCell ref="F83:F90"/>
    <mergeCell ref="C59:D106"/>
    <mergeCell ref="A107:A114"/>
    <mergeCell ref="B107:D114"/>
    <mergeCell ref="E107:E114"/>
    <mergeCell ref="F107:F114"/>
    <mergeCell ref="L107:L114"/>
    <mergeCell ref="A116:A123"/>
    <mergeCell ref="B116:D123"/>
    <mergeCell ref="E116:E123"/>
    <mergeCell ref="F116:F123"/>
    <mergeCell ref="L116:L123"/>
    <mergeCell ref="L132:L139"/>
    <mergeCell ref="E140:E147"/>
    <mergeCell ref="G140:I147"/>
    <mergeCell ref="L140:L147"/>
    <mergeCell ref="E148:E155"/>
    <mergeCell ref="G148:I155"/>
    <mergeCell ref="L148:L155"/>
    <mergeCell ref="A124:A131"/>
    <mergeCell ref="B124:D131"/>
    <mergeCell ref="E124:E131"/>
    <mergeCell ref="F124:F131"/>
    <mergeCell ref="L124:L131"/>
    <mergeCell ref="A132:A155"/>
    <mergeCell ref="B132:D155"/>
    <mergeCell ref="E132:E139"/>
    <mergeCell ref="F132:F155"/>
    <mergeCell ref="G132:I139"/>
    <mergeCell ref="E172:E179"/>
    <mergeCell ref="F172:F179"/>
    <mergeCell ref="G172:I179"/>
    <mergeCell ref="L172:L179"/>
    <mergeCell ref="E180:E187"/>
    <mergeCell ref="F180:F187"/>
    <mergeCell ref="G180:I187"/>
    <mergeCell ref="L180:L187"/>
    <mergeCell ref="A156:A195"/>
    <mergeCell ref="B156:D195"/>
    <mergeCell ref="E156:E163"/>
    <mergeCell ref="F156:F163"/>
    <mergeCell ref="G156:I163"/>
    <mergeCell ref="L156:L163"/>
    <mergeCell ref="E164:E171"/>
    <mergeCell ref="F164:F171"/>
    <mergeCell ref="G164:I171"/>
    <mergeCell ref="L164:L171"/>
    <mergeCell ref="E188:E195"/>
    <mergeCell ref="F188:F195"/>
    <mergeCell ref="G188:I195"/>
    <mergeCell ref="L188:L195"/>
    <mergeCell ref="A196:A267"/>
    <mergeCell ref="B196:C267"/>
    <mergeCell ref="D196:D203"/>
    <mergeCell ref="E196:E203"/>
    <mergeCell ref="F196:F203"/>
    <mergeCell ref="L196:L267"/>
    <mergeCell ref="D204:D227"/>
    <mergeCell ref="E204:E211"/>
    <mergeCell ref="F204:F211"/>
    <mergeCell ref="G204:I211"/>
    <mergeCell ref="E212:E219"/>
    <mergeCell ref="F212:F219"/>
    <mergeCell ref="G212:I219"/>
    <mergeCell ref="E220:E227"/>
    <mergeCell ref="F220:F227"/>
    <mergeCell ref="G220:I227"/>
    <mergeCell ref="E252:E259"/>
    <mergeCell ref="F252:F259"/>
    <mergeCell ref="G252:I259"/>
    <mergeCell ref="E260:E267"/>
    <mergeCell ref="F260:F267"/>
    <mergeCell ref="G260:I267"/>
    <mergeCell ref="D228:D267"/>
    <mergeCell ref="E228:E235"/>
    <mergeCell ref="F228:F235"/>
    <mergeCell ref="G228:I235"/>
    <mergeCell ref="E236:E243"/>
    <mergeCell ref="F236:F243"/>
    <mergeCell ref="G236:I243"/>
    <mergeCell ref="E244:E251"/>
    <mergeCell ref="F244:F251"/>
    <mergeCell ref="G244:I251"/>
    <mergeCell ref="M268:M270"/>
    <mergeCell ref="N268:N270"/>
    <mergeCell ref="A272:A279"/>
    <mergeCell ref="B272:D279"/>
    <mergeCell ref="E272:E279"/>
    <mergeCell ref="F272:F279"/>
    <mergeCell ref="L272:L279"/>
    <mergeCell ref="A268:A270"/>
    <mergeCell ref="B268:D270"/>
    <mergeCell ref="E268:E270"/>
    <mergeCell ref="F268:I268"/>
    <mergeCell ref="J268:K270"/>
    <mergeCell ref="L268:L270"/>
    <mergeCell ref="F269:G269"/>
    <mergeCell ref="H269:I269"/>
    <mergeCell ref="H272:H279"/>
    <mergeCell ref="A280:A287"/>
    <mergeCell ref="B280:D287"/>
    <mergeCell ref="E280:E287"/>
    <mergeCell ref="F280:F287"/>
    <mergeCell ref="L280:L287"/>
    <mergeCell ref="A288:A295"/>
    <mergeCell ref="B288:D295"/>
    <mergeCell ref="E288:E295"/>
    <mergeCell ref="F288:F295"/>
    <mergeCell ref="L288:L295"/>
    <mergeCell ref="H280:H287"/>
    <mergeCell ref="H288:H295"/>
    <mergeCell ref="A296:A303"/>
    <mergeCell ref="B296:D303"/>
    <mergeCell ref="E296:E303"/>
    <mergeCell ref="F296:F303"/>
    <mergeCell ref="L296:L303"/>
    <mergeCell ref="A304:A311"/>
    <mergeCell ref="B304:D311"/>
    <mergeCell ref="E304:E311"/>
    <mergeCell ref="F304:F311"/>
    <mergeCell ref="L304:L311"/>
    <mergeCell ref="H296:H303"/>
    <mergeCell ref="H304:H311"/>
    <mergeCell ref="B312:D319"/>
    <mergeCell ref="E312:E319"/>
    <mergeCell ref="F312:F319"/>
    <mergeCell ref="L312:L319"/>
    <mergeCell ref="A320:A343"/>
    <mergeCell ref="B320:D343"/>
    <mergeCell ref="E320:E327"/>
    <mergeCell ref="F320:F327"/>
    <mergeCell ref="G320:I327"/>
    <mergeCell ref="H312:H319"/>
    <mergeCell ref="L320:L327"/>
    <mergeCell ref="E328:E335"/>
    <mergeCell ref="F328:F335"/>
    <mergeCell ref="G328:I335"/>
    <mergeCell ref="L328:L335"/>
    <mergeCell ref="E336:E343"/>
    <mergeCell ref="F336:F343"/>
    <mergeCell ref="G336:I343"/>
    <mergeCell ref="L336:L343"/>
    <mergeCell ref="A312:A319"/>
    <mergeCell ref="A371:F371"/>
    <mergeCell ref="K371:N371"/>
    <mergeCell ref="A360:A367"/>
    <mergeCell ref="B360:D367"/>
    <mergeCell ref="E360:E367"/>
    <mergeCell ref="F360:F367"/>
    <mergeCell ref="L360:L367"/>
    <mergeCell ref="A370:F370"/>
    <mergeCell ref="K370:N370"/>
    <mergeCell ref="H360:H367"/>
    <mergeCell ref="A344:A351"/>
    <mergeCell ref="B344:D351"/>
    <mergeCell ref="E344:E351"/>
    <mergeCell ref="F344:F351"/>
    <mergeCell ref="L344:L351"/>
    <mergeCell ref="A352:A359"/>
    <mergeCell ref="B352:D359"/>
    <mergeCell ref="E352:E359"/>
    <mergeCell ref="F352:F359"/>
    <mergeCell ref="L352:L359"/>
    <mergeCell ref="H344:H351"/>
    <mergeCell ref="H352:H359"/>
  </mergeCells>
  <phoneticPr fontId="12" type="noConversion"/>
  <conditionalFormatting sqref="E24 M16:M267 M271 N272:N367">
    <cfRule type="containsText" dxfId="15" priority="7" operator="containsText" text="PASS">
      <formula>NOT(ISERROR(SEARCH("PASS",E16)))</formula>
    </cfRule>
    <cfRule type="containsText" dxfId="14" priority="8" operator="containsText" text="FAIL">
      <formula>NOT(ISERROR(SEARCH("FAIL",E16)))</formula>
    </cfRule>
  </conditionalFormatting>
  <conditionalFormatting sqref="M272:M279">
    <cfRule type="containsText" dxfId="13" priority="5" operator="containsText" text="PASS">
      <formula>NOT(ISERROR(SEARCH("PASS",M272)))</formula>
    </cfRule>
    <cfRule type="containsText" dxfId="12" priority="6" operator="containsText" text="FAIL">
      <formula>NOT(ISERROR(SEARCH("FAIL",M272)))</formula>
    </cfRule>
  </conditionalFormatting>
  <conditionalFormatting sqref="M280:M343">
    <cfRule type="containsText" dxfId="11" priority="3" operator="containsText" text="PASS">
      <formula>NOT(ISERROR(SEARCH("PASS",M280)))</formula>
    </cfRule>
    <cfRule type="containsText" dxfId="10" priority="4" operator="containsText" text="FAIL">
      <formula>NOT(ISERROR(SEARCH("FAIL",M280)))</formula>
    </cfRule>
  </conditionalFormatting>
  <conditionalFormatting sqref="M344:M367">
    <cfRule type="containsText" dxfId="9" priority="1" operator="containsText" text="PASS">
      <formula>NOT(ISERROR(SEARCH("PASS",M344)))</formula>
    </cfRule>
    <cfRule type="containsText" dxfId="8" priority="2" operator="containsText" text="FAIL">
      <formula>NOT(ISERROR(SEARCH("FAIL",M344)))</formula>
    </cfRule>
  </conditionalFormatting>
  <dataValidations disablePrompts="1" count="6">
    <dataValidation type="list" allowBlank="1" showInputMessage="1" showErrorMessage="1" sqref="F9:H9">
      <formula1>"2550,2600,2640,3650,3700,3750"</formula1>
    </dataValidation>
    <dataValidation type="list" allowBlank="1" showInputMessage="1" showErrorMessage="1" sqref="J9:K9">
      <formula1>"20,30,40,50,60,70,80,90,100"</formula1>
    </dataValidation>
    <dataValidation type="list" allowBlank="1" showInputMessage="1" showErrorMessage="1" sqref="F8:H8">
      <formula1>"8T8R,32T32R"</formula1>
    </dataValidation>
    <dataValidation type="list" allowBlank="1" showInputMessage="1" showErrorMessage="1" sqref="F5:H5">
      <formula1>"N9020A,FSW26,FSV3030,M9010A"</formula1>
    </dataValidation>
    <dataValidation type="list" allowBlank="1" showInputMessage="1" showErrorMessage="1" sqref="F6:H6">
      <formula1>"N5182B,SMW200A,M9010A"</formula1>
    </dataValidation>
    <dataValidation type="list" allowBlank="1" showInputMessage="1" showErrorMessage="1" sqref="F7:H7">
      <formula1>"DELL188,DELL180,SUPERMICRO192,SUPERMICRO195,SUPERMICRO190"</formula1>
    </dataValidation>
  </dataValidations>
  <pageMargins left="0.7" right="0.7" top="0.75" bottom="0.75" header="0.3" footer="0.3"/>
  <pageSetup scale="5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7"/>
  <sheetViews>
    <sheetView view="pageBreakPreview" topLeftCell="A331" zoomScaleNormal="100" zoomScaleSheetLayoutView="100" workbookViewId="0">
      <selection activeCell="K228" sqref="K228:K267"/>
    </sheetView>
  </sheetViews>
  <sheetFormatPr defaultColWidth="9.109375" defaultRowHeight="15.6" x14ac:dyDescent="0.3"/>
  <cols>
    <col min="1" max="1" width="8.88671875" style="56" customWidth="1"/>
    <col min="2" max="2" width="7.5546875" style="56" customWidth="1"/>
    <col min="3" max="3" width="9.33203125" style="56" customWidth="1"/>
    <col min="4" max="4" width="21" style="56" customWidth="1"/>
    <col min="5" max="5" width="13" style="56" customWidth="1"/>
    <col min="6" max="6" width="9" style="56" customWidth="1"/>
    <col min="7" max="8" width="13.6640625" style="56" customWidth="1"/>
    <col min="9" max="9" width="11.5546875" style="56" customWidth="1"/>
    <col min="10" max="10" width="9.44140625" style="56" customWidth="1"/>
    <col min="11" max="11" width="10.44140625" style="3" customWidth="1"/>
    <col min="12" max="12" width="24.44140625" style="56" customWidth="1"/>
    <col min="13" max="13" width="12.44140625" style="3" customWidth="1"/>
    <col min="14" max="14" width="12.33203125" style="57" customWidth="1"/>
    <col min="15" max="15" width="9.109375" style="3"/>
    <col min="16" max="16" width="10.88671875" style="3" bestFit="1" customWidth="1"/>
    <col min="17" max="16384" width="9.109375" style="3"/>
  </cols>
  <sheetData>
    <row r="1" spans="1:14" x14ac:dyDescent="0.3">
      <c r="A1" s="204"/>
      <c r="B1" s="205"/>
      <c r="C1" s="205"/>
      <c r="D1" s="206"/>
      <c r="E1" s="213" t="s">
        <v>0</v>
      </c>
      <c r="F1" s="214"/>
      <c r="G1" s="214"/>
      <c r="H1" s="214"/>
      <c r="I1" s="214"/>
      <c r="J1" s="214"/>
      <c r="K1" s="214"/>
      <c r="L1" s="215"/>
      <c r="M1" s="1" t="s">
        <v>1</v>
      </c>
      <c r="N1" s="2"/>
    </row>
    <row r="2" spans="1:14" ht="31.2" x14ac:dyDescent="0.3">
      <c r="A2" s="207"/>
      <c r="B2" s="208"/>
      <c r="C2" s="208"/>
      <c r="D2" s="209"/>
      <c r="E2" s="216" t="s">
        <v>2</v>
      </c>
      <c r="F2" s="217"/>
      <c r="G2" s="217"/>
      <c r="H2" s="217"/>
      <c r="I2" s="217"/>
      <c r="J2" s="217"/>
      <c r="K2" s="217"/>
      <c r="L2" s="218"/>
      <c r="M2" s="1" t="s">
        <v>3</v>
      </c>
      <c r="N2" s="4"/>
    </row>
    <row r="3" spans="1:14" ht="31.2" x14ac:dyDescent="0.3">
      <c r="A3" s="207"/>
      <c r="B3" s="208"/>
      <c r="C3" s="208"/>
      <c r="D3" s="209"/>
      <c r="E3" s="216"/>
      <c r="F3" s="217"/>
      <c r="G3" s="217"/>
      <c r="H3" s="217"/>
      <c r="I3" s="217"/>
      <c r="J3" s="217"/>
      <c r="K3" s="217"/>
      <c r="L3" s="218"/>
      <c r="M3" s="1" t="s">
        <v>4</v>
      </c>
      <c r="N3" s="4"/>
    </row>
    <row r="4" spans="1:14" ht="22.5" customHeight="1" x14ac:dyDescent="0.3">
      <c r="A4" s="210"/>
      <c r="B4" s="211"/>
      <c r="C4" s="211"/>
      <c r="D4" s="212"/>
      <c r="E4" s="216" t="s">
        <v>5</v>
      </c>
      <c r="F4" s="217"/>
      <c r="G4" s="217"/>
      <c r="H4" s="217"/>
      <c r="I4" s="217"/>
      <c r="J4" s="217"/>
      <c r="K4" s="217"/>
      <c r="L4" s="218"/>
      <c r="M4" s="1" t="s">
        <v>6</v>
      </c>
      <c r="N4" s="5" t="s">
        <v>7</v>
      </c>
    </row>
    <row r="5" spans="1:14" x14ac:dyDescent="0.3">
      <c r="A5" s="223" t="s">
        <v>8</v>
      </c>
      <c r="B5" s="223"/>
      <c r="C5" s="223"/>
      <c r="D5" s="223"/>
      <c r="E5" s="61" t="s">
        <v>9</v>
      </c>
      <c r="F5" s="220" t="s">
        <v>10</v>
      </c>
      <c r="G5" s="220"/>
      <c r="H5" s="220"/>
      <c r="I5" s="61" t="s">
        <v>11</v>
      </c>
      <c r="J5" s="220"/>
      <c r="K5" s="220"/>
      <c r="L5" s="61" t="s">
        <v>12</v>
      </c>
      <c r="M5" s="62">
        <v>2023</v>
      </c>
      <c r="N5" s="63"/>
    </row>
    <row r="6" spans="1:14" x14ac:dyDescent="0.3">
      <c r="A6" s="223"/>
      <c r="B6" s="223"/>
      <c r="C6" s="223"/>
      <c r="D6" s="223"/>
      <c r="E6" s="61" t="s">
        <v>13</v>
      </c>
      <c r="F6" s="220" t="s">
        <v>14</v>
      </c>
      <c r="G6" s="220"/>
      <c r="H6" s="220"/>
      <c r="I6" s="61" t="s">
        <v>11</v>
      </c>
      <c r="J6" s="220" t="s">
        <v>15</v>
      </c>
      <c r="K6" s="220"/>
      <c r="L6" s="61" t="s">
        <v>12</v>
      </c>
      <c r="M6" s="62">
        <v>2023</v>
      </c>
      <c r="N6" s="63"/>
    </row>
    <row r="7" spans="1:14" x14ac:dyDescent="0.3">
      <c r="A7" s="223"/>
      <c r="B7" s="223"/>
      <c r="C7" s="223"/>
      <c r="D7" s="223"/>
      <c r="E7" s="61" t="s">
        <v>16</v>
      </c>
      <c r="F7" s="220" t="s">
        <v>226</v>
      </c>
      <c r="G7" s="220"/>
      <c r="H7" s="220"/>
      <c r="I7" s="61" t="s">
        <v>17</v>
      </c>
      <c r="J7" s="220" t="s">
        <v>18</v>
      </c>
      <c r="K7" s="220"/>
      <c r="L7" s="61" t="s">
        <v>19</v>
      </c>
      <c r="M7" s="62"/>
      <c r="N7" s="63"/>
    </row>
    <row r="8" spans="1:14" x14ac:dyDescent="0.3">
      <c r="A8" s="223"/>
      <c r="B8" s="223"/>
      <c r="C8" s="223"/>
      <c r="D8" s="223"/>
      <c r="E8" s="61" t="s">
        <v>20</v>
      </c>
      <c r="F8" s="220" t="s">
        <v>7</v>
      </c>
      <c r="G8" s="220"/>
      <c r="H8" s="220"/>
      <c r="I8" s="61" t="s">
        <v>21</v>
      </c>
      <c r="J8" s="220" t="str">
        <f>'CH1-CH8'!$J$8</f>
        <v>31</v>
      </c>
      <c r="K8" s="233"/>
      <c r="L8" s="61" t="s">
        <v>19</v>
      </c>
      <c r="M8" s="62" t="str">
        <f>'CH1-CH8'!M8</f>
        <v>3.4.10</v>
      </c>
      <c r="N8" s="63"/>
    </row>
    <row r="9" spans="1:14" x14ac:dyDescent="0.3">
      <c r="A9" s="223"/>
      <c r="B9" s="223"/>
      <c r="C9" s="223"/>
      <c r="D9" s="223"/>
      <c r="E9" s="64" t="s">
        <v>23</v>
      </c>
      <c r="F9" s="220" t="s">
        <v>24</v>
      </c>
      <c r="G9" s="220"/>
      <c r="H9" s="220"/>
      <c r="I9" s="60" t="s">
        <v>219</v>
      </c>
      <c r="J9" s="220" t="s">
        <v>25</v>
      </c>
      <c r="K9" s="220"/>
      <c r="L9" s="61" t="s">
        <v>26</v>
      </c>
      <c r="M9" s="62"/>
      <c r="N9" s="63"/>
    </row>
    <row r="10" spans="1:14" x14ac:dyDescent="0.3">
      <c r="A10" s="223" t="s">
        <v>27</v>
      </c>
      <c r="B10" s="223"/>
      <c r="C10" s="223"/>
      <c r="D10" s="223"/>
      <c r="E10" s="65" t="s">
        <v>28</v>
      </c>
      <c r="F10" s="220" t="s">
        <v>29</v>
      </c>
      <c r="G10" s="220"/>
      <c r="H10" s="220"/>
      <c r="I10" s="220"/>
      <c r="J10" s="220"/>
      <c r="K10" s="220"/>
      <c r="L10" s="220"/>
      <c r="M10" s="220"/>
      <c r="N10" s="220"/>
    </row>
    <row r="11" spans="1:14" x14ac:dyDescent="0.3">
      <c r="A11" s="223"/>
      <c r="B11" s="223"/>
      <c r="C11" s="223"/>
      <c r="D11" s="223"/>
      <c r="E11" s="65" t="s">
        <v>30</v>
      </c>
      <c r="F11" s="220" t="s">
        <v>31</v>
      </c>
      <c r="G11" s="220"/>
      <c r="H11" s="220"/>
      <c r="I11" s="224" t="s">
        <v>32</v>
      </c>
      <c r="J11" s="225"/>
      <c r="K11" s="226"/>
      <c r="L11" s="61" t="s">
        <v>33</v>
      </c>
      <c r="M11" s="62"/>
      <c r="N11" s="63"/>
    </row>
    <row r="12" spans="1:14" x14ac:dyDescent="0.3">
      <c r="A12" s="223"/>
      <c r="B12" s="223"/>
      <c r="C12" s="223"/>
      <c r="D12" s="223"/>
      <c r="E12" s="66" t="s">
        <v>34</v>
      </c>
      <c r="F12" s="227" t="s">
        <v>35</v>
      </c>
      <c r="G12" s="228"/>
      <c r="H12" s="229"/>
      <c r="I12" s="230" t="s">
        <v>36</v>
      </c>
      <c r="J12" s="231"/>
      <c r="K12" s="232"/>
      <c r="L12" s="67" t="s">
        <v>37</v>
      </c>
      <c r="M12" s="68"/>
      <c r="N12" s="69"/>
    </row>
    <row r="13" spans="1:14" x14ac:dyDescent="0.3">
      <c r="A13" s="148" t="s">
        <v>38</v>
      </c>
      <c r="B13" s="151" t="s">
        <v>39</v>
      </c>
      <c r="C13" s="152"/>
      <c r="D13" s="153"/>
      <c r="E13" s="148" t="s">
        <v>40</v>
      </c>
      <c r="F13" s="160" t="s">
        <v>41</v>
      </c>
      <c r="G13" s="161"/>
      <c r="H13" s="161"/>
      <c r="I13" s="162"/>
      <c r="J13" s="151" t="s">
        <v>42</v>
      </c>
      <c r="K13" s="153"/>
      <c r="L13" s="148" t="s">
        <v>43</v>
      </c>
      <c r="M13" s="133" t="s">
        <v>44</v>
      </c>
      <c r="N13" s="133" t="s">
        <v>45</v>
      </c>
    </row>
    <row r="14" spans="1:14" x14ac:dyDescent="0.3">
      <c r="A14" s="150"/>
      <c r="B14" s="157"/>
      <c r="C14" s="158"/>
      <c r="D14" s="159"/>
      <c r="E14" s="150"/>
      <c r="F14" s="79" t="s">
        <v>46</v>
      </c>
      <c r="G14" s="79" t="s">
        <v>47</v>
      </c>
      <c r="H14" s="79" t="s">
        <v>48</v>
      </c>
      <c r="I14" s="79" t="s">
        <v>49</v>
      </c>
      <c r="J14" s="157"/>
      <c r="K14" s="159"/>
      <c r="L14" s="150"/>
      <c r="M14" s="135"/>
      <c r="N14" s="135"/>
    </row>
    <row r="15" spans="1:14" ht="16.2" x14ac:dyDescent="0.3">
      <c r="A15" s="79" t="s">
        <v>50</v>
      </c>
      <c r="B15" s="15" t="s">
        <v>51</v>
      </c>
      <c r="C15" s="16"/>
      <c r="D15" s="16"/>
      <c r="E15" s="16"/>
      <c r="F15" s="16"/>
      <c r="G15" s="17"/>
      <c r="H15" s="18"/>
      <c r="I15" s="19"/>
      <c r="J15" s="20"/>
      <c r="K15" s="21"/>
      <c r="L15" s="22"/>
      <c r="M15" s="23"/>
      <c r="N15" s="24"/>
    </row>
    <row r="16" spans="1:14" ht="15.6" customHeight="1" x14ac:dyDescent="0.3">
      <c r="A16" s="115">
        <v>1.1000000000000001</v>
      </c>
      <c r="B16" s="174" t="s">
        <v>227</v>
      </c>
      <c r="C16" s="175"/>
      <c r="D16" s="176"/>
      <c r="E16" s="132" t="s">
        <v>52</v>
      </c>
      <c r="F16" s="164" t="s">
        <v>53</v>
      </c>
      <c r="G16" s="76" t="s">
        <v>54</v>
      </c>
      <c r="H16" s="76" t="s">
        <v>55</v>
      </c>
      <c r="I16" s="76" t="s">
        <v>56</v>
      </c>
      <c r="J16" s="76" t="s">
        <v>191</v>
      </c>
      <c r="K16" s="26">
        <f>VLOOKUP($B$16&amp;J16&amp;$F$16,TXRESULT!$A$1:$J$1004,6,FALSE)</f>
        <v>39.799999999999997</v>
      </c>
      <c r="L16" s="145" t="s">
        <v>58</v>
      </c>
      <c r="M16" s="27" t="str">
        <f>IF(ISBLANK(K16),"",IF(AND(K16*1&gt;H16*1,K16*1&lt;I16*1),"PASS","FAIL"))</f>
        <v>PASS</v>
      </c>
      <c r="N16" s="27" t="str">
        <f>IF(ISBLANK(K16),"CHUADO","")</f>
        <v/>
      </c>
    </row>
    <row r="17" spans="1:14" x14ac:dyDescent="0.3">
      <c r="A17" s="116"/>
      <c r="B17" s="177"/>
      <c r="C17" s="178"/>
      <c r="D17" s="179"/>
      <c r="E17" s="119"/>
      <c r="F17" s="165"/>
      <c r="G17" s="76" t="s">
        <v>54</v>
      </c>
      <c r="H17" s="76" t="s">
        <v>55</v>
      </c>
      <c r="I17" s="76" t="s">
        <v>56</v>
      </c>
      <c r="J17" s="76" t="s">
        <v>192</v>
      </c>
      <c r="K17" s="26">
        <f>VLOOKUP($B$16&amp;J17&amp;$F$16,TXRESULT!$A$1:$J$1004,6,FALSE)</f>
        <v>39.700000000000003</v>
      </c>
      <c r="L17" s="146"/>
      <c r="M17" s="27" t="str">
        <f t="shared" ref="M17:M23" si="0">IF(ISBLANK(K17),"",IF(AND(K17*1&gt;H17*1,K17*1&lt;I17*1),"PASS","FAIL"))</f>
        <v>PASS</v>
      </c>
      <c r="N17" s="27" t="str">
        <f t="shared" ref="N17:N80" si="1">IF(ISBLANK(K17),"CHUADO","")</f>
        <v/>
      </c>
    </row>
    <row r="18" spans="1:14" x14ac:dyDescent="0.3">
      <c r="A18" s="116"/>
      <c r="B18" s="177"/>
      <c r="C18" s="178"/>
      <c r="D18" s="179"/>
      <c r="E18" s="119"/>
      <c r="F18" s="165"/>
      <c r="G18" s="76" t="s">
        <v>54</v>
      </c>
      <c r="H18" s="76" t="s">
        <v>55</v>
      </c>
      <c r="I18" s="76" t="s">
        <v>56</v>
      </c>
      <c r="J18" s="76" t="s">
        <v>193</v>
      </c>
      <c r="K18" s="26">
        <f>VLOOKUP($B$16&amp;J18&amp;$F$16,TXRESULT!$A$1:$J$1004,6,FALSE)</f>
        <v>39.700000000000003</v>
      </c>
      <c r="L18" s="146"/>
      <c r="M18" s="27" t="str">
        <f t="shared" si="0"/>
        <v>PASS</v>
      </c>
      <c r="N18" s="27" t="str">
        <f t="shared" si="1"/>
        <v/>
      </c>
    </row>
    <row r="19" spans="1:14" x14ac:dyDescent="0.3">
      <c r="A19" s="116"/>
      <c r="B19" s="177"/>
      <c r="C19" s="178"/>
      <c r="D19" s="179"/>
      <c r="E19" s="119"/>
      <c r="F19" s="165"/>
      <c r="G19" s="76" t="s">
        <v>54</v>
      </c>
      <c r="H19" s="76" t="s">
        <v>55</v>
      </c>
      <c r="I19" s="76" t="s">
        <v>56</v>
      </c>
      <c r="J19" s="76" t="s">
        <v>194</v>
      </c>
      <c r="K19" s="26">
        <f>VLOOKUP($B$16&amp;J19&amp;$F$16,TXRESULT!$A$1:$J$1004,6,FALSE)</f>
        <v>39.6</v>
      </c>
      <c r="L19" s="146"/>
      <c r="M19" s="27" t="str">
        <f t="shared" si="0"/>
        <v>PASS</v>
      </c>
      <c r="N19" s="27" t="str">
        <f t="shared" si="1"/>
        <v/>
      </c>
    </row>
    <row r="20" spans="1:14" x14ac:dyDescent="0.3">
      <c r="A20" s="116"/>
      <c r="B20" s="177"/>
      <c r="C20" s="178"/>
      <c r="D20" s="179"/>
      <c r="E20" s="119"/>
      <c r="F20" s="165"/>
      <c r="G20" s="76" t="s">
        <v>54</v>
      </c>
      <c r="H20" s="76" t="s">
        <v>55</v>
      </c>
      <c r="I20" s="76" t="s">
        <v>56</v>
      </c>
      <c r="J20" s="76" t="s">
        <v>195</v>
      </c>
      <c r="K20" s="26">
        <f>VLOOKUP($B$16&amp;J20&amp;$F$16,TXRESULT!$A$1:$J$1004,6,FALSE)</f>
        <v>39.9</v>
      </c>
      <c r="L20" s="146"/>
      <c r="M20" s="27" t="str">
        <f t="shared" si="0"/>
        <v>PASS</v>
      </c>
      <c r="N20" s="27" t="str">
        <f t="shared" si="1"/>
        <v/>
      </c>
    </row>
    <row r="21" spans="1:14" x14ac:dyDescent="0.3">
      <c r="A21" s="116"/>
      <c r="B21" s="177"/>
      <c r="C21" s="178"/>
      <c r="D21" s="179"/>
      <c r="E21" s="119"/>
      <c r="F21" s="165"/>
      <c r="G21" s="76" t="s">
        <v>54</v>
      </c>
      <c r="H21" s="76" t="s">
        <v>55</v>
      </c>
      <c r="I21" s="76" t="s">
        <v>56</v>
      </c>
      <c r="J21" s="76" t="s">
        <v>196</v>
      </c>
      <c r="K21" s="26">
        <f>VLOOKUP($B$16&amp;J21&amp;$F$16,TXRESULT!$A$1:$J$1004,6,FALSE)</f>
        <v>39.799999999999997</v>
      </c>
      <c r="L21" s="146"/>
      <c r="M21" s="27" t="str">
        <f t="shared" si="0"/>
        <v>PASS</v>
      </c>
      <c r="N21" s="27" t="str">
        <f t="shared" si="1"/>
        <v/>
      </c>
    </row>
    <row r="22" spans="1:14" x14ac:dyDescent="0.3">
      <c r="A22" s="116"/>
      <c r="B22" s="177"/>
      <c r="C22" s="178"/>
      <c r="D22" s="179"/>
      <c r="E22" s="119"/>
      <c r="F22" s="165"/>
      <c r="G22" s="76" t="s">
        <v>54</v>
      </c>
      <c r="H22" s="76" t="s">
        <v>55</v>
      </c>
      <c r="I22" s="76" t="s">
        <v>56</v>
      </c>
      <c r="J22" s="76" t="s">
        <v>197</v>
      </c>
      <c r="K22" s="26">
        <f>VLOOKUP($B$16&amp;J22&amp;$F$16,TXRESULT!$A$1:$J$1004,6,FALSE)</f>
        <v>39.6</v>
      </c>
      <c r="L22" s="146"/>
      <c r="M22" s="27" t="str">
        <f t="shared" si="0"/>
        <v>PASS</v>
      </c>
      <c r="N22" s="27" t="str">
        <f t="shared" si="1"/>
        <v/>
      </c>
    </row>
    <row r="23" spans="1:14" x14ac:dyDescent="0.3">
      <c r="A23" s="117"/>
      <c r="B23" s="180"/>
      <c r="C23" s="181"/>
      <c r="D23" s="182"/>
      <c r="E23" s="120"/>
      <c r="F23" s="166"/>
      <c r="G23" s="76" t="s">
        <v>54</v>
      </c>
      <c r="H23" s="76" t="s">
        <v>55</v>
      </c>
      <c r="I23" s="76" t="s">
        <v>56</v>
      </c>
      <c r="J23" s="76" t="s">
        <v>198</v>
      </c>
      <c r="K23" s="26">
        <f>VLOOKUP($B$16&amp;J23&amp;$F$16,TXRESULT!$A$1:$J$1004,6,FALSE)</f>
        <v>39.4</v>
      </c>
      <c r="L23" s="147"/>
      <c r="M23" s="27" t="str">
        <f t="shared" si="0"/>
        <v>PASS</v>
      </c>
      <c r="N23" s="27" t="str">
        <f t="shared" si="1"/>
        <v/>
      </c>
    </row>
    <row r="24" spans="1:14" x14ac:dyDescent="0.3">
      <c r="A24" s="75"/>
      <c r="B24" s="29" t="s">
        <v>66</v>
      </c>
      <c r="C24" s="30"/>
      <c r="D24" s="31"/>
      <c r="E24" s="32" t="str">
        <f>IF(OR(K24="",AND(H24="",I24="")),"",IF(OR(AND(K24&lt;&gt;"",I24&lt;&gt;"",K24&gt;I24),AND(K24&lt;&gt;"",H24&lt;&gt;"",K24&lt;H24)),"FAIL","PASS"))</f>
        <v/>
      </c>
      <c r="F24" s="32"/>
      <c r="G24" s="32"/>
      <c r="H24" s="32"/>
      <c r="I24" s="32"/>
      <c r="J24" s="32"/>
      <c r="K24" s="33"/>
      <c r="L24" s="32"/>
      <c r="M24" s="27"/>
      <c r="N24" s="27"/>
    </row>
    <row r="25" spans="1:14" ht="15.6" customHeight="1" x14ac:dyDescent="0.3">
      <c r="A25" s="115" t="s">
        <v>67</v>
      </c>
      <c r="B25" s="174" t="s">
        <v>228</v>
      </c>
      <c r="C25" s="175"/>
      <c r="D25" s="176"/>
      <c r="E25" s="132" t="s">
        <v>68</v>
      </c>
      <c r="F25" s="164" t="s">
        <v>269</v>
      </c>
      <c r="G25" s="76" t="s">
        <v>69</v>
      </c>
      <c r="H25" s="76" t="str">
        <f>G25</f>
        <v>23.9</v>
      </c>
      <c r="I25" s="76" t="str">
        <f>IF(ISBLANK('[1]CH1-CH8'!G11),"",('[1]CH1-CH8'!G11))</f>
        <v/>
      </c>
      <c r="J25" s="76" t="s">
        <v>191</v>
      </c>
      <c r="K25" s="26">
        <f>VLOOKUP($B$25&amp;J25&amp;$F$25,TXRESULT!$A$1:$J$1004,6,FALSE)</f>
        <v>26.2</v>
      </c>
      <c r="L25" s="145" t="s">
        <v>70</v>
      </c>
      <c r="M25" s="27" t="str">
        <f>IF(ISBLANK(K25),"",IF(AND(K25*1&gt;H25*1),"PASS","FAIL"))</f>
        <v>PASS</v>
      </c>
      <c r="N25" s="27" t="str">
        <f t="shared" si="1"/>
        <v/>
      </c>
    </row>
    <row r="26" spans="1:14" x14ac:dyDescent="0.3">
      <c r="A26" s="116"/>
      <c r="B26" s="177"/>
      <c r="C26" s="178"/>
      <c r="D26" s="179"/>
      <c r="E26" s="119"/>
      <c r="F26" s="165"/>
      <c r="G26" s="76" t="str">
        <f>G25</f>
        <v>23.9</v>
      </c>
      <c r="H26" s="76" t="str">
        <f>H25</f>
        <v>23.9</v>
      </c>
      <c r="I26" s="76" t="str">
        <f>I25</f>
        <v/>
      </c>
      <c r="J26" s="76" t="s">
        <v>192</v>
      </c>
      <c r="K26" s="26">
        <f>VLOOKUP($B$25&amp;J26&amp;$F$25,TXRESULT!$A$1:$J$1004,6,FALSE)</f>
        <v>26</v>
      </c>
      <c r="L26" s="146"/>
      <c r="M26" s="27" t="str">
        <f t="shared" ref="M26:M33" si="2">IF(ISBLANK(K26),"",IF(AND(K26*1&gt;H26*1),"PASS","FAIL"))</f>
        <v>PASS</v>
      </c>
      <c r="N26" s="27" t="str">
        <f t="shared" si="1"/>
        <v/>
      </c>
    </row>
    <row r="27" spans="1:14" x14ac:dyDescent="0.3">
      <c r="A27" s="116"/>
      <c r="B27" s="177"/>
      <c r="C27" s="178"/>
      <c r="D27" s="179"/>
      <c r="E27" s="119"/>
      <c r="F27" s="165"/>
      <c r="G27" s="76" t="str">
        <f>G25</f>
        <v>23.9</v>
      </c>
      <c r="H27" s="76" t="str">
        <f>H25</f>
        <v>23.9</v>
      </c>
      <c r="I27" s="76" t="str">
        <f>I25</f>
        <v/>
      </c>
      <c r="J27" s="76" t="s">
        <v>193</v>
      </c>
      <c r="K27" s="26">
        <f>VLOOKUP($B$25&amp;J27&amp;$F$25,TXRESULT!$A$1:$J$1004,6,FALSE)</f>
        <v>26.2</v>
      </c>
      <c r="L27" s="146"/>
      <c r="M27" s="27" t="str">
        <f t="shared" si="2"/>
        <v>PASS</v>
      </c>
      <c r="N27" s="27" t="str">
        <f t="shared" si="1"/>
        <v/>
      </c>
    </row>
    <row r="28" spans="1:14" x14ac:dyDescent="0.3">
      <c r="A28" s="116"/>
      <c r="B28" s="177"/>
      <c r="C28" s="178"/>
      <c r="D28" s="179"/>
      <c r="E28" s="119"/>
      <c r="F28" s="165"/>
      <c r="G28" s="76" t="str">
        <f>G25</f>
        <v>23.9</v>
      </c>
      <c r="H28" s="76" t="str">
        <f>H25</f>
        <v>23.9</v>
      </c>
      <c r="I28" s="76" t="str">
        <f>I25</f>
        <v/>
      </c>
      <c r="J28" s="76" t="s">
        <v>194</v>
      </c>
      <c r="K28" s="26">
        <f>VLOOKUP($B$25&amp;J28&amp;$F$25,TXRESULT!$A$1:$J$1004,6,FALSE)</f>
        <v>26.4</v>
      </c>
      <c r="L28" s="146"/>
      <c r="M28" s="27" t="str">
        <f t="shared" si="2"/>
        <v>PASS</v>
      </c>
      <c r="N28" s="27" t="str">
        <f t="shared" si="1"/>
        <v/>
      </c>
    </row>
    <row r="29" spans="1:14" x14ac:dyDescent="0.3">
      <c r="A29" s="116"/>
      <c r="B29" s="177"/>
      <c r="C29" s="178"/>
      <c r="D29" s="179"/>
      <c r="E29" s="119"/>
      <c r="F29" s="165"/>
      <c r="G29" s="76" t="str">
        <f>G25</f>
        <v>23.9</v>
      </c>
      <c r="H29" s="76" t="str">
        <f>H25</f>
        <v>23.9</v>
      </c>
      <c r="I29" s="76" t="str">
        <f>I25</f>
        <v/>
      </c>
      <c r="J29" s="76" t="s">
        <v>195</v>
      </c>
      <c r="K29" s="26">
        <f>VLOOKUP($B$25&amp;J29&amp;$F$25,TXRESULT!$A$1:$J$1004,6,FALSE)</f>
        <v>26</v>
      </c>
      <c r="L29" s="146"/>
      <c r="M29" s="27" t="str">
        <f t="shared" si="2"/>
        <v>PASS</v>
      </c>
      <c r="N29" s="27" t="str">
        <f t="shared" si="1"/>
        <v/>
      </c>
    </row>
    <row r="30" spans="1:14" x14ac:dyDescent="0.3">
      <c r="A30" s="116"/>
      <c r="B30" s="177"/>
      <c r="C30" s="178"/>
      <c r="D30" s="179"/>
      <c r="E30" s="119"/>
      <c r="F30" s="165"/>
      <c r="G30" s="76" t="str">
        <f>G25</f>
        <v>23.9</v>
      </c>
      <c r="H30" s="76" t="str">
        <f>H25</f>
        <v>23.9</v>
      </c>
      <c r="I30" s="76" t="str">
        <f>I25</f>
        <v/>
      </c>
      <c r="J30" s="76" t="s">
        <v>196</v>
      </c>
      <c r="K30" s="26">
        <f>VLOOKUP($B$25&amp;J30&amp;$F$25,TXRESULT!$A$1:$J$1004,6,FALSE)</f>
        <v>25.8</v>
      </c>
      <c r="L30" s="146"/>
      <c r="M30" s="27" t="str">
        <f t="shared" si="2"/>
        <v>PASS</v>
      </c>
      <c r="N30" s="27" t="str">
        <f t="shared" si="1"/>
        <v/>
      </c>
    </row>
    <row r="31" spans="1:14" x14ac:dyDescent="0.3">
      <c r="A31" s="116"/>
      <c r="B31" s="177"/>
      <c r="C31" s="178"/>
      <c r="D31" s="179"/>
      <c r="E31" s="119"/>
      <c r="F31" s="165"/>
      <c r="G31" s="76" t="str">
        <f>G25</f>
        <v>23.9</v>
      </c>
      <c r="H31" s="76" t="str">
        <f>H25</f>
        <v>23.9</v>
      </c>
      <c r="I31" s="76" t="str">
        <f>I25</f>
        <v/>
      </c>
      <c r="J31" s="76" t="s">
        <v>197</v>
      </c>
      <c r="K31" s="26">
        <f>VLOOKUP($B$25&amp;J31&amp;$F$25,TXRESULT!$A$1:$J$1004,6,FALSE)</f>
        <v>26</v>
      </c>
      <c r="L31" s="146"/>
      <c r="M31" s="27" t="str">
        <f t="shared" si="2"/>
        <v>PASS</v>
      </c>
      <c r="N31" s="27" t="str">
        <f t="shared" si="1"/>
        <v/>
      </c>
    </row>
    <row r="32" spans="1:14" x14ac:dyDescent="0.3">
      <c r="A32" s="117"/>
      <c r="B32" s="180"/>
      <c r="C32" s="181"/>
      <c r="D32" s="182"/>
      <c r="E32" s="120"/>
      <c r="F32" s="166"/>
      <c r="G32" s="76" t="str">
        <f>G25</f>
        <v>23.9</v>
      </c>
      <c r="H32" s="76" t="str">
        <f>H25</f>
        <v>23.9</v>
      </c>
      <c r="I32" s="76" t="str">
        <f>I25</f>
        <v/>
      </c>
      <c r="J32" s="76" t="s">
        <v>198</v>
      </c>
      <c r="K32" s="26">
        <f>VLOOKUP($B$25&amp;J32&amp;$F$25,TXRESULT!$A$1:$J$1004,6,FALSE)</f>
        <v>26</v>
      </c>
      <c r="L32" s="146"/>
      <c r="M32" s="27" t="str">
        <f t="shared" si="2"/>
        <v>PASS</v>
      </c>
      <c r="N32" s="27" t="str">
        <f t="shared" si="1"/>
        <v/>
      </c>
    </row>
    <row r="33" spans="1:14" x14ac:dyDescent="0.3">
      <c r="A33" s="75"/>
      <c r="B33" s="29" t="s">
        <v>71</v>
      </c>
      <c r="C33" s="30"/>
      <c r="D33" s="31"/>
      <c r="E33" s="31"/>
      <c r="F33" s="31"/>
      <c r="G33" s="31"/>
      <c r="H33" s="31"/>
      <c r="I33" s="31"/>
      <c r="J33" s="31"/>
      <c r="K33" s="34"/>
      <c r="L33" s="31"/>
      <c r="M33" s="27" t="str">
        <f t="shared" si="2"/>
        <v/>
      </c>
      <c r="N33" s="27"/>
    </row>
    <row r="34" spans="1:14" ht="15.6" customHeight="1" x14ac:dyDescent="0.3">
      <c r="A34" s="115" t="s">
        <v>72</v>
      </c>
      <c r="B34" s="174" t="s">
        <v>253</v>
      </c>
      <c r="C34" s="175"/>
      <c r="D34" s="176"/>
      <c r="E34" s="115" t="s">
        <v>73</v>
      </c>
      <c r="F34" s="164" t="s">
        <v>53</v>
      </c>
      <c r="G34" s="76" t="s">
        <v>74</v>
      </c>
      <c r="H34" s="76" t="str">
        <f>IF(ISBLANK('[1]CH1-CH8'!F17),"",('[1]CH1-CH8'!F17))</f>
        <v/>
      </c>
      <c r="I34" s="76" t="s">
        <v>74</v>
      </c>
      <c r="J34" s="76" t="s">
        <v>191</v>
      </c>
      <c r="K34" s="26" t="e">
        <f>VLOOKUP($B$34&amp;J34&amp;$F$34,TXRESULT!$A$1:$J$1004,6,FALSE)</f>
        <v>#N/A</v>
      </c>
      <c r="L34" s="145" t="s">
        <v>75</v>
      </c>
      <c r="M34" s="27" t="e">
        <f>IF(ISBLANK(K34),"",IF(AND(K34*1&lt;I34*1),"PASS","FAIL"))</f>
        <v>#N/A</v>
      </c>
      <c r="N34" s="27" t="str">
        <f t="shared" si="1"/>
        <v/>
      </c>
    </row>
    <row r="35" spans="1:14" x14ac:dyDescent="0.3">
      <c r="A35" s="116"/>
      <c r="B35" s="177"/>
      <c r="C35" s="178"/>
      <c r="D35" s="179"/>
      <c r="E35" s="116"/>
      <c r="F35" s="165"/>
      <c r="G35" s="76" t="str">
        <f>G34</f>
        <v>-82.5</v>
      </c>
      <c r="H35" s="76" t="str">
        <f>H34</f>
        <v/>
      </c>
      <c r="I35" s="76" t="str">
        <f>I34</f>
        <v>-82.5</v>
      </c>
      <c r="J35" s="76" t="s">
        <v>192</v>
      </c>
      <c r="K35" s="26" t="e">
        <f>VLOOKUP($B$34&amp;J35&amp;$F$34,TXRESULT!$A$1:$J$1004,6,FALSE)</f>
        <v>#N/A</v>
      </c>
      <c r="L35" s="146"/>
      <c r="M35" s="27" t="e">
        <f t="shared" ref="M35:M41" si="3">IF(ISBLANK(K35),"",IF(AND(K35*1&lt;I35*1),"PASS","FAIL"))</f>
        <v>#N/A</v>
      </c>
      <c r="N35" s="27" t="str">
        <f t="shared" si="1"/>
        <v/>
      </c>
    </row>
    <row r="36" spans="1:14" x14ac:dyDescent="0.3">
      <c r="A36" s="116"/>
      <c r="B36" s="177"/>
      <c r="C36" s="178"/>
      <c r="D36" s="179"/>
      <c r="E36" s="116"/>
      <c r="F36" s="165"/>
      <c r="G36" s="76" t="str">
        <f>G34</f>
        <v>-82.5</v>
      </c>
      <c r="H36" s="76" t="str">
        <f>H34</f>
        <v/>
      </c>
      <c r="I36" s="76" t="str">
        <f>I34</f>
        <v>-82.5</v>
      </c>
      <c r="J36" s="76" t="s">
        <v>193</v>
      </c>
      <c r="K36" s="26" t="e">
        <f>VLOOKUP($B$34&amp;J36&amp;$F$34,TXRESULT!$A$1:$J$1004,6,FALSE)</f>
        <v>#N/A</v>
      </c>
      <c r="L36" s="146"/>
      <c r="M36" s="27" t="e">
        <f t="shared" si="3"/>
        <v>#N/A</v>
      </c>
      <c r="N36" s="27" t="str">
        <f t="shared" si="1"/>
        <v/>
      </c>
    </row>
    <row r="37" spans="1:14" x14ac:dyDescent="0.3">
      <c r="A37" s="116"/>
      <c r="B37" s="177"/>
      <c r="C37" s="178"/>
      <c r="D37" s="179"/>
      <c r="E37" s="116"/>
      <c r="F37" s="165"/>
      <c r="G37" s="76" t="str">
        <f>G34</f>
        <v>-82.5</v>
      </c>
      <c r="H37" s="76" t="str">
        <f>H34</f>
        <v/>
      </c>
      <c r="I37" s="76" t="str">
        <f>I34</f>
        <v>-82.5</v>
      </c>
      <c r="J37" s="76" t="s">
        <v>194</v>
      </c>
      <c r="K37" s="26" t="e">
        <f>VLOOKUP($B$34&amp;J37&amp;$F$34,TXRESULT!$A$1:$J$1004,6,FALSE)</f>
        <v>#N/A</v>
      </c>
      <c r="L37" s="146"/>
      <c r="M37" s="27" t="e">
        <f t="shared" si="3"/>
        <v>#N/A</v>
      </c>
      <c r="N37" s="27" t="str">
        <f t="shared" si="1"/>
        <v/>
      </c>
    </row>
    <row r="38" spans="1:14" x14ac:dyDescent="0.3">
      <c r="A38" s="116"/>
      <c r="B38" s="177"/>
      <c r="C38" s="178"/>
      <c r="D38" s="179"/>
      <c r="E38" s="116"/>
      <c r="F38" s="165"/>
      <c r="G38" s="76" t="str">
        <f>G34</f>
        <v>-82.5</v>
      </c>
      <c r="H38" s="76" t="str">
        <f>H34</f>
        <v/>
      </c>
      <c r="I38" s="76" t="str">
        <f>I34</f>
        <v>-82.5</v>
      </c>
      <c r="J38" s="76" t="s">
        <v>195</v>
      </c>
      <c r="K38" s="26" t="e">
        <f>VLOOKUP($B$34&amp;J38&amp;$F$34,TXRESULT!$A$1:$J$1004,6,FALSE)</f>
        <v>#N/A</v>
      </c>
      <c r="L38" s="146"/>
      <c r="M38" s="27" t="e">
        <f t="shared" si="3"/>
        <v>#N/A</v>
      </c>
      <c r="N38" s="27" t="str">
        <f t="shared" si="1"/>
        <v/>
      </c>
    </row>
    <row r="39" spans="1:14" x14ac:dyDescent="0.3">
      <c r="A39" s="116"/>
      <c r="B39" s="177"/>
      <c r="C39" s="178"/>
      <c r="D39" s="179"/>
      <c r="E39" s="116"/>
      <c r="F39" s="165"/>
      <c r="G39" s="76" t="str">
        <f>G34</f>
        <v>-82.5</v>
      </c>
      <c r="H39" s="76" t="str">
        <f>H34</f>
        <v/>
      </c>
      <c r="I39" s="76" t="str">
        <f>I34</f>
        <v>-82.5</v>
      </c>
      <c r="J39" s="76" t="s">
        <v>196</v>
      </c>
      <c r="K39" s="26" t="e">
        <f>VLOOKUP($B$34&amp;J39&amp;$F$34,TXRESULT!$A$1:$J$1004,6,FALSE)</f>
        <v>#N/A</v>
      </c>
      <c r="L39" s="146"/>
      <c r="M39" s="27" t="e">
        <f t="shared" si="3"/>
        <v>#N/A</v>
      </c>
      <c r="N39" s="27" t="str">
        <f t="shared" si="1"/>
        <v/>
      </c>
    </row>
    <row r="40" spans="1:14" x14ac:dyDescent="0.3">
      <c r="A40" s="116"/>
      <c r="B40" s="177"/>
      <c r="C40" s="178"/>
      <c r="D40" s="179"/>
      <c r="E40" s="116"/>
      <c r="F40" s="165"/>
      <c r="G40" s="76" t="str">
        <f>G34</f>
        <v>-82.5</v>
      </c>
      <c r="H40" s="76" t="str">
        <f>H34</f>
        <v/>
      </c>
      <c r="I40" s="76" t="str">
        <f>I34</f>
        <v>-82.5</v>
      </c>
      <c r="J40" s="76" t="s">
        <v>197</v>
      </c>
      <c r="K40" s="26" t="e">
        <f>VLOOKUP($B$34&amp;J40&amp;$F$34,TXRESULT!$A$1:$J$1004,6,FALSE)</f>
        <v>#N/A</v>
      </c>
      <c r="L40" s="146"/>
      <c r="M40" s="27" t="e">
        <f t="shared" si="3"/>
        <v>#N/A</v>
      </c>
      <c r="N40" s="27" t="str">
        <f t="shared" si="1"/>
        <v/>
      </c>
    </row>
    <row r="41" spans="1:14" x14ac:dyDescent="0.3">
      <c r="A41" s="117"/>
      <c r="B41" s="180"/>
      <c r="C41" s="181"/>
      <c r="D41" s="182"/>
      <c r="E41" s="117"/>
      <c r="F41" s="166"/>
      <c r="G41" s="76" t="str">
        <f>G34</f>
        <v>-82.5</v>
      </c>
      <c r="H41" s="76" t="str">
        <f>H34</f>
        <v/>
      </c>
      <c r="I41" s="76" t="str">
        <f>I34</f>
        <v>-82.5</v>
      </c>
      <c r="J41" s="76" t="s">
        <v>198</v>
      </c>
      <c r="K41" s="26" t="e">
        <f>VLOOKUP($B$34&amp;J41&amp;$F$34,TXRESULT!$A$1:$J$1004,6,FALSE)</f>
        <v>#N/A</v>
      </c>
      <c r="L41" s="147"/>
      <c r="M41" s="27" t="e">
        <f t="shared" si="3"/>
        <v>#N/A</v>
      </c>
      <c r="N41" s="27" t="str">
        <f t="shared" si="1"/>
        <v/>
      </c>
    </row>
    <row r="42" spans="1:14" ht="15.6" customHeight="1" x14ac:dyDescent="0.3">
      <c r="A42" s="115" t="s">
        <v>76</v>
      </c>
      <c r="B42" s="174" t="s">
        <v>77</v>
      </c>
      <c r="C42" s="175"/>
      <c r="D42" s="176"/>
      <c r="E42" s="132" t="s">
        <v>78</v>
      </c>
      <c r="F42" s="164" t="s">
        <v>53</v>
      </c>
      <c r="G42" s="76" t="s">
        <v>79</v>
      </c>
      <c r="H42" s="76" t="s">
        <v>80</v>
      </c>
      <c r="I42" s="76" t="s">
        <v>79</v>
      </c>
      <c r="J42" s="76" t="s">
        <v>191</v>
      </c>
      <c r="K42" s="26" t="e">
        <f>VLOOKUP($B$42&amp;J42&amp;$F$42,TXRESULT!$A$1:$J$1004,6,FALSE)</f>
        <v>#N/A</v>
      </c>
      <c r="L42" s="145" t="s">
        <v>81</v>
      </c>
      <c r="M42" s="27" t="e">
        <f>IF(ISBLANK(K42),"",IF(AND(K42*1&gt;H42*1,K42*1&lt;I42*1),"PASS","FAIL"))</f>
        <v>#N/A</v>
      </c>
      <c r="N42" s="27" t="str">
        <f t="shared" si="1"/>
        <v/>
      </c>
    </row>
    <row r="43" spans="1:14" x14ac:dyDescent="0.3">
      <c r="A43" s="116"/>
      <c r="B43" s="177"/>
      <c r="C43" s="178"/>
      <c r="D43" s="179"/>
      <c r="E43" s="119"/>
      <c r="F43" s="165"/>
      <c r="G43" s="76" t="s">
        <v>79</v>
      </c>
      <c r="H43" s="76" t="s">
        <v>80</v>
      </c>
      <c r="I43" s="76" t="s">
        <v>79</v>
      </c>
      <c r="J43" s="76" t="s">
        <v>192</v>
      </c>
      <c r="K43" s="26" t="e">
        <f>VLOOKUP($B$42&amp;J43&amp;$F$42,TXRESULT!$A$1:$J$1004,6,FALSE)</f>
        <v>#N/A</v>
      </c>
      <c r="L43" s="146"/>
      <c r="M43" s="27" t="e">
        <f t="shared" ref="M43:M49" si="4">IF(ISBLANK(K43),"",IF(AND(K43*1&gt;H43*1,K43*1&lt;I43*1),"PASS","FAIL"))</f>
        <v>#N/A</v>
      </c>
      <c r="N43" s="27" t="str">
        <f t="shared" si="1"/>
        <v/>
      </c>
    </row>
    <row r="44" spans="1:14" x14ac:dyDescent="0.3">
      <c r="A44" s="116"/>
      <c r="B44" s="177"/>
      <c r="C44" s="178"/>
      <c r="D44" s="179"/>
      <c r="E44" s="119"/>
      <c r="F44" s="165"/>
      <c r="G44" s="76" t="s">
        <v>79</v>
      </c>
      <c r="H44" s="76" t="s">
        <v>80</v>
      </c>
      <c r="I44" s="76" t="s">
        <v>79</v>
      </c>
      <c r="J44" s="76" t="s">
        <v>193</v>
      </c>
      <c r="K44" s="26" t="e">
        <f>VLOOKUP($B$42&amp;J44&amp;$F$42,TXRESULT!$A$1:$J$1004,6,FALSE)</f>
        <v>#N/A</v>
      </c>
      <c r="L44" s="146"/>
      <c r="M44" s="27" t="e">
        <f t="shared" si="4"/>
        <v>#N/A</v>
      </c>
      <c r="N44" s="27" t="str">
        <f t="shared" si="1"/>
        <v/>
      </c>
    </row>
    <row r="45" spans="1:14" x14ac:dyDescent="0.3">
      <c r="A45" s="116"/>
      <c r="B45" s="177"/>
      <c r="C45" s="178"/>
      <c r="D45" s="179"/>
      <c r="E45" s="119"/>
      <c r="F45" s="165"/>
      <c r="G45" s="76" t="s">
        <v>79</v>
      </c>
      <c r="H45" s="76" t="s">
        <v>80</v>
      </c>
      <c r="I45" s="76" t="s">
        <v>79</v>
      </c>
      <c r="J45" s="76" t="s">
        <v>194</v>
      </c>
      <c r="K45" s="26" t="e">
        <f>VLOOKUP($B$42&amp;J45&amp;$F$42,TXRESULT!$A$1:$J$1004,6,FALSE)</f>
        <v>#N/A</v>
      </c>
      <c r="L45" s="146"/>
      <c r="M45" s="27" t="e">
        <f t="shared" si="4"/>
        <v>#N/A</v>
      </c>
      <c r="N45" s="27" t="str">
        <f t="shared" si="1"/>
        <v/>
      </c>
    </row>
    <row r="46" spans="1:14" x14ac:dyDescent="0.3">
      <c r="A46" s="116"/>
      <c r="B46" s="177"/>
      <c r="C46" s="178"/>
      <c r="D46" s="179"/>
      <c r="E46" s="119"/>
      <c r="F46" s="165"/>
      <c r="G46" s="76" t="s">
        <v>79</v>
      </c>
      <c r="H46" s="76" t="s">
        <v>80</v>
      </c>
      <c r="I46" s="76" t="s">
        <v>79</v>
      </c>
      <c r="J46" s="76" t="s">
        <v>195</v>
      </c>
      <c r="K46" s="26" t="e">
        <f>VLOOKUP($B$42&amp;J46&amp;$F$42,TXRESULT!$A$1:$J$1004,6,FALSE)</f>
        <v>#N/A</v>
      </c>
      <c r="L46" s="146"/>
      <c r="M46" s="27" t="e">
        <f t="shared" si="4"/>
        <v>#N/A</v>
      </c>
      <c r="N46" s="27" t="str">
        <f t="shared" si="1"/>
        <v/>
      </c>
    </row>
    <row r="47" spans="1:14" x14ac:dyDescent="0.3">
      <c r="A47" s="116"/>
      <c r="B47" s="177"/>
      <c r="C47" s="178"/>
      <c r="D47" s="179"/>
      <c r="E47" s="119"/>
      <c r="F47" s="165"/>
      <c r="G47" s="76" t="s">
        <v>79</v>
      </c>
      <c r="H47" s="76" t="s">
        <v>80</v>
      </c>
      <c r="I47" s="76" t="s">
        <v>79</v>
      </c>
      <c r="J47" s="76" t="s">
        <v>196</v>
      </c>
      <c r="K47" s="26" t="e">
        <f>VLOOKUP($B$42&amp;J47&amp;$F$42,TXRESULT!$A$1:$J$1004,6,FALSE)</f>
        <v>#N/A</v>
      </c>
      <c r="L47" s="146"/>
      <c r="M47" s="27" t="e">
        <f t="shared" si="4"/>
        <v>#N/A</v>
      </c>
      <c r="N47" s="27" t="str">
        <f t="shared" si="1"/>
        <v/>
      </c>
    </row>
    <row r="48" spans="1:14" x14ac:dyDescent="0.3">
      <c r="A48" s="116"/>
      <c r="B48" s="177"/>
      <c r="C48" s="178"/>
      <c r="D48" s="179"/>
      <c r="E48" s="119"/>
      <c r="F48" s="165"/>
      <c r="G48" s="76" t="s">
        <v>79</v>
      </c>
      <c r="H48" s="76" t="s">
        <v>80</v>
      </c>
      <c r="I48" s="76" t="s">
        <v>79</v>
      </c>
      <c r="J48" s="76" t="s">
        <v>197</v>
      </c>
      <c r="K48" s="26" t="e">
        <f>VLOOKUP($B$42&amp;J48&amp;$F$42,TXRESULT!$A$1:$J$1004,6,FALSE)</f>
        <v>#N/A</v>
      </c>
      <c r="L48" s="146"/>
      <c r="M48" s="27" t="e">
        <f t="shared" si="4"/>
        <v>#N/A</v>
      </c>
      <c r="N48" s="27" t="str">
        <f t="shared" si="1"/>
        <v/>
      </c>
    </row>
    <row r="49" spans="1:14" x14ac:dyDescent="0.3">
      <c r="A49" s="117"/>
      <c r="B49" s="180"/>
      <c r="C49" s="181"/>
      <c r="D49" s="182"/>
      <c r="E49" s="120"/>
      <c r="F49" s="166"/>
      <c r="G49" s="76" t="s">
        <v>79</v>
      </c>
      <c r="H49" s="76" t="s">
        <v>80</v>
      </c>
      <c r="I49" s="76" t="s">
        <v>79</v>
      </c>
      <c r="J49" s="76" t="s">
        <v>198</v>
      </c>
      <c r="K49" s="26" t="e">
        <f>VLOOKUP($B$42&amp;J49&amp;$F$42,TXRESULT!$A$1:$J$1004,6,FALSE)</f>
        <v>#N/A</v>
      </c>
      <c r="L49" s="147"/>
      <c r="M49" s="27" t="e">
        <f t="shared" si="4"/>
        <v>#N/A</v>
      </c>
      <c r="N49" s="27" t="str">
        <f t="shared" si="1"/>
        <v/>
      </c>
    </row>
    <row r="50" spans="1:14" x14ac:dyDescent="0.3">
      <c r="A50" s="75"/>
      <c r="B50" s="29" t="s">
        <v>82</v>
      </c>
      <c r="C50" s="30"/>
      <c r="D50" s="30"/>
      <c r="E50" s="30"/>
      <c r="F50" s="30"/>
      <c r="G50" s="30"/>
      <c r="H50" s="30"/>
      <c r="I50" s="30"/>
      <c r="J50" s="30"/>
      <c r="K50" s="26"/>
      <c r="L50" s="30"/>
      <c r="M50" s="35"/>
      <c r="N50" s="27"/>
    </row>
    <row r="51" spans="1:14" ht="15.6" customHeight="1" x14ac:dyDescent="0.3">
      <c r="A51" s="115" t="s">
        <v>83</v>
      </c>
      <c r="B51" s="174" t="s">
        <v>84</v>
      </c>
      <c r="C51" s="175"/>
      <c r="D51" s="176"/>
      <c r="E51" s="132" t="s">
        <v>85</v>
      </c>
      <c r="F51" s="164" t="s">
        <v>86</v>
      </c>
      <c r="G51" s="76" t="s">
        <v>80</v>
      </c>
      <c r="H51" s="36">
        <f>-$F$9*1*0.05-12</f>
        <v>-139.5</v>
      </c>
      <c r="I51" s="76">
        <f>$F$9*0.05+12</f>
        <v>139.5</v>
      </c>
      <c r="J51" s="76" t="s">
        <v>191</v>
      </c>
      <c r="K51" s="26">
        <f t="array" ref="K51">MAX(IF((LEFT(TXRESULT!$C$1:$C$1004,15)='CH25-CH32'!$B$51)*(TXRESULT!$B$1:$B$1004='CH25-CH32'!J52),TXRESULT!$F$1:$F$1004,""))</f>
        <v>7.3</v>
      </c>
      <c r="L51" s="145" t="s">
        <v>87</v>
      </c>
      <c r="M51" s="27" t="str">
        <f>IF(ISBLANK(K51),"",IF(AND(K51*1&gt;H51*1,K51*1&lt;I51*1),"PASS","FAIL"))</f>
        <v>PASS</v>
      </c>
      <c r="N51" s="27" t="str">
        <f t="shared" si="1"/>
        <v/>
      </c>
    </row>
    <row r="52" spans="1:14" x14ac:dyDescent="0.3">
      <c r="A52" s="116"/>
      <c r="B52" s="177"/>
      <c r="C52" s="178"/>
      <c r="D52" s="179"/>
      <c r="E52" s="119"/>
      <c r="F52" s="165"/>
      <c r="G52" s="76" t="s">
        <v>80</v>
      </c>
      <c r="H52" s="36">
        <f>H51</f>
        <v>-139.5</v>
      </c>
      <c r="I52" s="36">
        <f>I51</f>
        <v>139.5</v>
      </c>
      <c r="J52" s="76" t="s">
        <v>192</v>
      </c>
      <c r="K52" s="26">
        <f t="array" ref="K52">MAX(IF((LEFT(TXRESULT!$C$1:$C$1004,15)='CH25-CH32'!$B$51)*(TXRESULT!$B$1:$B$1004='CH25-CH32'!J53),TXRESULT!$F$1:$F$1004,""))</f>
        <v>3.5</v>
      </c>
      <c r="L52" s="146"/>
      <c r="M52" s="27" t="str">
        <f t="shared" ref="M52:M58" si="5">IF(ISBLANK(K52),"",IF(AND(K52*1&gt;H52*1,K52*1&lt;I52*1),"PASS","FAIL"))</f>
        <v>PASS</v>
      </c>
      <c r="N52" s="27" t="str">
        <f t="shared" si="1"/>
        <v/>
      </c>
    </row>
    <row r="53" spans="1:14" x14ac:dyDescent="0.3">
      <c r="A53" s="116"/>
      <c r="B53" s="177"/>
      <c r="C53" s="178"/>
      <c r="D53" s="179"/>
      <c r="E53" s="119"/>
      <c r="F53" s="165"/>
      <c r="G53" s="76" t="s">
        <v>80</v>
      </c>
      <c r="H53" s="36">
        <f>H51</f>
        <v>-139.5</v>
      </c>
      <c r="I53" s="36">
        <f>I51</f>
        <v>139.5</v>
      </c>
      <c r="J53" s="76" t="s">
        <v>193</v>
      </c>
      <c r="K53" s="26">
        <f t="array" ref="K53">MAX(IF((LEFT(TXRESULT!$C$1:$C$1004,15)='CH25-CH32'!$B$51)*(TXRESULT!$B$1:$B$1004='CH25-CH32'!J54),TXRESULT!$F$1:$F$1004,""))</f>
        <v>1.2</v>
      </c>
      <c r="L53" s="146"/>
      <c r="M53" s="27" t="str">
        <f t="shared" si="5"/>
        <v>PASS</v>
      </c>
      <c r="N53" s="27" t="str">
        <f t="shared" si="1"/>
        <v/>
      </c>
    </row>
    <row r="54" spans="1:14" x14ac:dyDescent="0.3">
      <c r="A54" s="116"/>
      <c r="B54" s="177"/>
      <c r="C54" s="178"/>
      <c r="D54" s="179"/>
      <c r="E54" s="119"/>
      <c r="F54" s="165"/>
      <c r="G54" s="76" t="s">
        <v>80</v>
      </c>
      <c r="H54" s="36">
        <f>H51</f>
        <v>-139.5</v>
      </c>
      <c r="I54" s="36">
        <f>I51</f>
        <v>139.5</v>
      </c>
      <c r="J54" s="76" t="s">
        <v>194</v>
      </c>
      <c r="K54" s="26">
        <f t="array" ref="K54">MAX(IF((LEFT(TXRESULT!$C$1:$C$1004,15)='CH25-CH32'!$B$51)*(TXRESULT!$B$1:$B$1004='CH25-CH32'!J55),TXRESULT!$F$1:$F$1004,""))</f>
        <v>3.7</v>
      </c>
      <c r="L54" s="146"/>
      <c r="M54" s="27" t="str">
        <f t="shared" si="5"/>
        <v>PASS</v>
      </c>
      <c r="N54" s="27" t="str">
        <f t="shared" si="1"/>
        <v/>
      </c>
    </row>
    <row r="55" spans="1:14" x14ac:dyDescent="0.3">
      <c r="A55" s="116"/>
      <c r="B55" s="177"/>
      <c r="C55" s="178"/>
      <c r="D55" s="179"/>
      <c r="E55" s="119"/>
      <c r="F55" s="165"/>
      <c r="G55" s="76" t="s">
        <v>80</v>
      </c>
      <c r="H55" s="36">
        <f>H51</f>
        <v>-139.5</v>
      </c>
      <c r="I55" s="36">
        <f>I51</f>
        <v>139.5</v>
      </c>
      <c r="J55" s="76" t="s">
        <v>195</v>
      </c>
      <c r="K55" s="26">
        <f t="array" ref="K55">MAX(IF((LEFT(TXRESULT!$C$1:$C$1004,15)='CH25-CH32'!$B$51)*(TXRESULT!$B$1:$B$1004='CH25-CH32'!J56),TXRESULT!$F$1:$F$1004,""))</f>
        <v>3.5</v>
      </c>
      <c r="L55" s="146"/>
      <c r="M55" s="27" t="str">
        <f t="shared" si="5"/>
        <v>PASS</v>
      </c>
      <c r="N55" s="27" t="str">
        <f t="shared" si="1"/>
        <v/>
      </c>
    </row>
    <row r="56" spans="1:14" x14ac:dyDescent="0.3">
      <c r="A56" s="116"/>
      <c r="B56" s="177"/>
      <c r="C56" s="178"/>
      <c r="D56" s="179"/>
      <c r="E56" s="119"/>
      <c r="F56" s="165"/>
      <c r="G56" s="76" t="s">
        <v>80</v>
      </c>
      <c r="H56" s="36">
        <f>H51</f>
        <v>-139.5</v>
      </c>
      <c r="I56" s="36">
        <f>I51</f>
        <v>139.5</v>
      </c>
      <c r="J56" s="76" t="s">
        <v>196</v>
      </c>
      <c r="K56" s="26">
        <f t="array" ref="K56">MAX(IF((LEFT(TXRESULT!$C$1:$C$1004,15)='CH25-CH32'!$B$51)*(TXRESULT!$B$1:$B$1004='CH25-CH32'!J57),TXRESULT!$F$1:$F$1004,""))</f>
        <v>3</v>
      </c>
      <c r="L56" s="146"/>
      <c r="M56" s="27" t="str">
        <f t="shared" si="5"/>
        <v>PASS</v>
      </c>
      <c r="N56" s="27" t="str">
        <f t="shared" si="1"/>
        <v/>
      </c>
    </row>
    <row r="57" spans="1:14" x14ac:dyDescent="0.3">
      <c r="A57" s="116"/>
      <c r="B57" s="177"/>
      <c r="C57" s="178"/>
      <c r="D57" s="179"/>
      <c r="E57" s="119"/>
      <c r="F57" s="165"/>
      <c r="G57" s="76" t="s">
        <v>80</v>
      </c>
      <c r="H57" s="36">
        <f>H51</f>
        <v>-139.5</v>
      </c>
      <c r="I57" s="36">
        <f>I51</f>
        <v>139.5</v>
      </c>
      <c r="J57" s="76" t="s">
        <v>197</v>
      </c>
      <c r="K57" s="26">
        <f t="array" ref="K57">MAX(IF((LEFT(TXRESULT!$C$1:$C$1004,15)='CH25-CH32'!$B$51)*(TXRESULT!$B$1:$B$1004='CH25-CH32'!J58),TXRESULT!$F$1:$F$1004,""))</f>
        <v>3.7</v>
      </c>
      <c r="L57" s="146"/>
      <c r="M57" s="27" t="str">
        <f t="shared" si="5"/>
        <v>PASS</v>
      </c>
      <c r="N57" s="27" t="str">
        <f t="shared" si="1"/>
        <v/>
      </c>
    </row>
    <row r="58" spans="1:14" x14ac:dyDescent="0.3">
      <c r="A58" s="117"/>
      <c r="B58" s="180"/>
      <c r="C58" s="181"/>
      <c r="D58" s="182"/>
      <c r="E58" s="120"/>
      <c r="F58" s="166"/>
      <c r="G58" s="76" t="s">
        <v>80</v>
      </c>
      <c r="H58" s="36">
        <f>H51</f>
        <v>-139.5</v>
      </c>
      <c r="I58" s="36">
        <f>I51</f>
        <v>139.5</v>
      </c>
      <c r="J58" s="76" t="s">
        <v>198</v>
      </c>
      <c r="K58" s="26">
        <f t="array" ref="K58">MAX(IF((LEFT(TXRESULT!$C$1:$C$1004,15)='CH25-CH32'!$B$51)*(TXRESULT!$B$1:$B$1004='CH25-CH32'!J59),TXRESULT!$F$1:$F$1004,""))</f>
        <v>3</v>
      </c>
      <c r="L58" s="146"/>
      <c r="M58" s="27" t="str">
        <f t="shared" si="5"/>
        <v>PASS</v>
      </c>
      <c r="N58" s="27" t="str">
        <f t="shared" si="1"/>
        <v/>
      </c>
    </row>
    <row r="59" spans="1:14" ht="17.25" customHeight="1" x14ac:dyDescent="0.3">
      <c r="A59" s="115" t="s">
        <v>88</v>
      </c>
      <c r="B59" s="115" t="s">
        <v>89</v>
      </c>
      <c r="C59" s="174" t="s">
        <v>229</v>
      </c>
      <c r="D59" s="176"/>
      <c r="E59" s="132" t="s">
        <v>90</v>
      </c>
      <c r="F59" s="164" t="s">
        <v>91</v>
      </c>
      <c r="G59" s="76" t="s">
        <v>92</v>
      </c>
      <c r="H59" s="76" t="s">
        <v>80</v>
      </c>
      <c r="I59" s="76" t="s">
        <v>92</v>
      </c>
      <c r="J59" s="76" t="s">
        <v>191</v>
      </c>
      <c r="K59" s="26">
        <f>VLOOKUP($C$59&amp;" "&amp;$F$59&amp;J59&amp;$F$59,TXRESULT!$A$1:$I$1004,6,FALSE)</f>
        <v>3.1</v>
      </c>
      <c r="L59" s="145" t="s">
        <v>93</v>
      </c>
      <c r="M59" s="27" t="str">
        <f>IF(ISBLANK(K59),"",IF(AND(K59*1&gt;H59*1,K59*1&lt;I59*1),"PASS","FAIL"))</f>
        <v>PASS</v>
      </c>
      <c r="N59" s="27" t="str">
        <f t="shared" si="1"/>
        <v/>
      </c>
    </row>
    <row r="60" spans="1:14" x14ac:dyDescent="0.3">
      <c r="A60" s="116"/>
      <c r="B60" s="116"/>
      <c r="C60" s="177"/>
      <c r="D60" s="179"/>
      <c r="E60" s="119"/>
      <c r="F60" s="165"/>
      <c r="G60" s="76" t="str">
        <f>G59</f>
        <v>18.5</v>
      </c>
      <c r="H60" s="76" t="str">
        <f>H59</f>
        <v>0</v>
      </c>
      <c r="I60" s="76" t="str">
        <f>I59</f>
        <v>18.5</v>
      </c>
      <c r="J60" s="76" t="s">
        <v>192</v>
      </c>
      <c r="K60" s="26">
        <f>VLOOKUP($C$59&amp;" "&amp;$F$59&amp;J60&amp;$F$59,TXRESULT!$A$1:$I$1004,6,FALSE)</f>
        <v>3.2</v>
      </c>
      <c r="L60" s="146"/>
      <c r="M60" s="27" t="str">
        <f t="shared" ref="M60:M73" si="6">IF(ISBLANK(K60),"",IF(AND(K60*1&gt;H60*1,K60*1&lt;I60*1),"PASS","FAIL"))</f>
        <v>PASS</v>
      </c>
      <c r="N60" s="27" t="str">
        <f t="shared" si="1"/>
        <v/>
      </c>
    </row>
    <row r="61" spans="1:14" x14ac:dyDescent="0.3">
      <c r="A61" s="116"/>
      <c r="B61" s="116"/>
      <c r="C61" s="177"/>
      <c r="D61" s="179"/>
      <c r="E61" s="119"/>
      <c r="F61" s="165"/>
      <c r="G61" s="76" t="str">
        <f>G59</f>
        <v>18.5</v>
      </c>
      <c r="H61" s="76" t="str">
        <f>H59</f>
        <v>0</v>
      </c>
      <c r="I61" s="76" t="str">
        <f>I59</f>
        <v>18.5</v>
      </c>
      <c r="J61" s="76" t="s">
        <v>193</v>
      </c>
      <c r="K61" s="26">
        <f>VLOOKUP($C$59&amp;" "&amp;$F$59&amp;J61&amp;$F$59,TXRESULT!$A$1:$I$1004,6,FALSE)</f>
        <v>3.1</v>
      </c>
      <c r="L61" s="146"/>
      <c r="M61" s="27" t="str">
        <f t="shared" si="6"/>
        <v>PASS</v>
      </c>
      <c r="N61" s="27" t="str">
        <f t="shared" si="1"/>
        <v/>
      </c>
    </row>
    <row r="62" spans="1:14" x14ac:dyDescent="0.3">
      <c r="A62" s="116"/>
      <c r="B62" s="116"/>
      <c r="C62" s="177"/>
      <c r="D62" s="179"/>
      <c r="E62" s="119"/>
      <c r="F62" s="165"/>
      <c r="G62" s="76" t="str">
        <f>G59</f>
        <v>18.5</v>
      </c>
      <c r="H62" s="76" t="str">
        <f>H59</f>
        <v>0</v>
      </c>
      <c r="I62" s="76" t="str">
        <f>I59</f>
        <v>18.5</v>
      </c>
      <c r="J62" s="76" t="s">
        <v>194</v>
      </c>
      <c r="K62" s="26">
        <f>VLOOKUP($C$59&amp;" "&amp;$F$59&amp;J62&amp;$F$59,TXRESULT!$A$1:$I$1004,6,FALSE)</f>
        <v>3.1</v>
      </c>
      <c r="L62" s="146"/>
      <c r="M62" s="27" t="str">
        <f t="shared" si="6"/>
        <v>PASS</v>
      </c>
      <c r="N62" s="27" t="str">
        <f t="shared" si="1"/>
        <v/>
      </c>
    </row>
    <row r="63" spans="1:14" x14ac:dyDescent="0.3">
      <c r="A63" s="116"/>
      <c r="B63" s="116"/>
      <c r="C63" s="177"/>
      <c r="D63" s="179"/>
      <c r="E63" s="119"/>
      <c r="F63" s="165"/>
      <c r="G63" s="76" t="str">
        <f>G59</f>
        <v>18.5</v>
      </c>
      <c r="H63" s="76" t="str">
        <f>H59</f>
        <v>0</v>
      </c>
      <c r="I63" s="76" t="str">
        <f>I59</f>
        <v>18.5</v>
      </c>
      <c r="J63" s="76" t="s">
        <v>195</v>
      </c>
      <c r="K63" s="26">
        <f>VLOOKUP($C$59&amp;" "&amp;$F$59&amp;J63&amp;$F$59,TXRESULT!$A$1:$I$1004,6,FALSE)</f>
        <v>3.1</v>
      </c>
      <c r="L63" s="146"/>
      <c r="M63" s="27" t="str">
        <f t="shared" si="6"/>
        <v>PASS</v>
      </c>
      <c r="N63" s="27" t="str">
        <f t="shared" si="1"/>
        <v/>
      </c>
    </row>
    <row r="64" spans="1:14" x14ac:dyDescent="0.3">
      <c r="A64" s="116"/>
      <c r="B64" s="116"/>
      <c r="C64" s="177"/>
      <c r="D64" s="179"/>
      <c r="E64" s="119"/>
      <c r="F64" s="165"/>
      <c r="G64" s="76" t="str">
        <f>G59</f>
        <v>18.5</v>
      </c>
      <c r="H64" s="76" t="str">
        <f>H59</f>
        <v>0</v>
      </c>
      <c r="I64" s="76" t="str">
        <f>I59</f>
        <v>18.5</v>
      </c>
      <c r="J64" s="76" t="s">
        <v>196</v>
      </c>
      <c r="K64" s="26">
        <f>VLOOKUP($C$59&amp;" "&amp;$F$59&amp;J64&amp;$F$59,TXRESULT!$A$1:$I$1004,6,FALSE)</f>
        <v>3.1</v>
      </c>
      <c r="L64" s="146"/>
      <c r="M64" s="27" t="str">
        <f t="shared" si="6"/>
        <v>PASS</v>
      </c>
      <c r="N64" s="27" t="str">
        <f t="shared" si="1"/>
        <v/>
      </c>
    </row>
    <row r="65" spans="1:14" x14ac:dyDescent="0.3">
      <c r="A65" s="116"/>
      <c r="B65" s="116"/>
      <c r="C65" s="177"/>
      <c r="D65" s="179"/>
      <c r="E65" s="119"/>
      <c r="F65" s="165"/>
      <c r="G65" s="76" t="str">
        <f>G59</f>
        <v>18.5</v>
      </c>
      <c r="H65" s="76" t="str">
        <f>H59</f>
        <v>0</v>
      </c>
      <c r="I65" s="76" t="str">
        <f>I59</f>
        <v>18.5</v>
      </c>
      <c r="J65" s="76" t="s">
        <v>197</v>
      </c>
      <c r="K65" s="26">
        <f>VLOOKUP($C$59&amp;" "&amp;$F$59&amp;J65&amp;$F$59,TXRESULT!$A$1:$I$1004,6,FALSE)</f>
        <v>3.1</v>
      </c>
      <c r="L65" s="146"/>
      <c r="M65" s="27" t="str">
        <f t="shared" si="6"/>
        <v>PASS</v>
      </c>
      <c r="N65" s="27" t="str">
        <f t="shared" si="1"/>
        <v/>
      </c>
    </row>
    <row r="66" spans="1:14" x14ac:dyDescent="0.3">
      <c r="A66" s="116"/>
      <c r="B66" s="117"/>
      <c r="C66" s="177"/>
      <c r="D66" s="179"/>
      <c r="E66" s="120"/>
      <c r="F66" s="166"/>
      <c r="G66" s="76" t="str">
        <f>G59</f>
        <v>18.5</v>
      </c>
      <c r="H66" s="76" t="str">
        <f>H59</f>
        <v>0</v>
      </c>
      <c r="I66" s="76" t="str">
        <f>I59</f>
        <v>18.5</v>
      </c>
      <c r="J66" s="76" t="s">
        <v>198</v>
      </c>
      <c r="K66" s="26">
        <f>VLOOKUP($C$59&amp;" "&amp;$F$59&amp;J66&amp;$F$59,TXRESULT!$A$1:$I$1004,6,FALSE)</f>
        <v>3.1</v>
      </c>
      <c r="L66" s="146"/>
      <c r="M66" s="27" t="str">
        <f t="shared" si="6"/>
        <v>PASS</v>
      </c>
      <c r="N66" s="27" t="str">
        <f t="shared" si="1"/>
        <v/>
      </c>
    </row>
    <row r="67" spans="1:14" ht="15.6" customHeight="1" x14ac:dyDescent="0.3">
      <c r="A67" s="116"/>
      <c r="B67" s="115" t="s">
        <v>94</v>
      </c>
      <c r="C67" s="177"/>
      <c r="D67" s="179"/>
      <c r="E67" s="132" t="s">
        <v>90</v>
      </c>
      <c r="F67" s="164" t="s">
        <v>95</v>
      </c>
      <c r="G67" s="76" t="s">
        <v>96</v>
      </c>
      <c r="H67" s="76" t="s">
        <v>80</v>
      </c>
      <c r="I67" s="76" t="s">
        <v>96</v>
      </c>
      <c r="J67" s="76" t="s">
        <v>191</v>
      </c>
      <c r="K67" s="26">
        <f>VLOOKUP($C$59&amp;" "&amp;$F$67&amp;J67&amp;$F$67,TXRESULT!$A$1:$I$1004,6,FALSE)</f>
        <v>2.2000000000000002</v>
      </c>
      <c r="L67" s="146"/>
      <c r="M67" s="27" t="str">
        <f t="shared" si="6"/>
        <v>PASS</v>
      </c>
      <c r="N67" s="27" t="str">
        <f t="shared" si="1"/>
        <v/>
      </c>
    </row>
    <row r="68" spans="1:14" x14ac:dyDescent="0.3">
      <c r="A68" s="116"/>
      <c r="B68" s="116"/>
      <c r="C68" s="177"/>
      <c r="D68" s="179"/>
      <c r="E68" s="119"/>
      <c r="F68" s="165"/>
      <c r="G68" s="76" t="str">
        <f>G67</f>
        <v>13.5</v>
      </c>
      <c r="H68" s="76" t="str">
        <f>H67</f>
        <v>0</v>
      </c>
      <c r="I68" s="76" t="str">
        <f>I67</f>
        <v>13.5</v>
      </c>
      <c r="J68" s="76" t="s">
        <v>192</v>
      </c>
      <c r="K68" s="26">
        <f>VLOOKUP($C$59&amp;" "&amp;$F$67&amp;J68&amp;$F$67,TXRESULT!$A$1:$I$1004,6,FALSE)</f>
        <v>2.2999999999999998</v>
      </c>
      <c r="L68" s="146"/>
      <c r="M68" s="27" t="str">
        <f t="shared" si="6"/>
        <v>PASS</v>
      </c>
      <c r="N68" s="27" t="str">
        <f t="shared" si="1"/>
        <v/>
      </c>
    </row>
    <row r="69" spans="1:14" x14ac:dyDescent="0.3">
      <c r="A69" s="116"/>
      <c r="B69" s="116"/>
      <c r="C69" s="177"/>
      <c r="D69" s="179"/>
      <c r="E69" s="119"/>
      <c r="F69" s="165"/>
      <c r="G69" s="76" t="str">
        <f>G67</f>
        <v>13.5</v>
      </c>
      <c r="H69" s="76" t="str">
        <f>H67</f>
        <v>0</v>
      </c>
      <c r="I69" s="76" t="str">
        <f>I67</f>
        <v>13.5</v>
      </c>
      <c r="J69" s="76" t="s">
        <v>193</v>
      </c>
      <c r="K69" s="26">
        <f>VLOOKUP($C$59&amp;" "&amp;$F$67&amp;J69&amp;$F$67,TXRESULT!$A$1:$I$1004,6,FALSE)</f>
        <v>2.2000000000000002</v>
      </c>
      <c r="L69" s="146"/>
      <c r="M69" s="27" t="str">
        <f t="shared" si="6"/>
        <v>PASS</v>
      </c>
      <c r="N69" s="27" t="str">
        <f t="shared" si="1"/>
        <v/>
      </c>
    </row>
    <row r="70" spans="1:14" x14ac:dyDescent="0.3">
      <c r="A70" s="116"/>
      <c r="B70" s="116"/>
      <c r="C70" s="177"/>
      <c r="D70" s="179"/>
      <c r="E70" s="119"/>
      <c r="F70" s="165"/>
      <c r="G70" s="76" t="str">
        <f>G67</f>
        <v>13.5</v>
      </c>
      <c r="H70" s="76" t="str">
        <f>H67</f>
        <v>0</v>
      </c>
      <c r="I70" s="76" t="str">
        <f>I67</f>
        <v>13.5</v>
      </c>
      <c r="J70" s="76" t="s">
        <v>194</v>
      </c>
      <c r="K70" s="26">
        <f>VLOOKUP($C$59&amp;" "&amp;$F$67&amp;J70&amp;$F$67,TXRESULT!$A$1:$I$1004,6,FALSE)</f>
        <v>2.2000000000000002</v>
      </c>
      <c r="L70" s="146"/>
      <c r="M70" s="27" t="str">
        <f t="shared" si="6"/>
        <v>PASS</v>
      </c>
      <c r="N70" s="27" t="str">
        <f t="shared" si="1"/>
        <v/>
      </c>
    </row>
    <row r="71" spans="1:14" x14ac:dyDescent="0.3">
      <c r="A71" s="116"/>
      <c r="B71" s="116"/>
      <c r="C71" s="177"/>
      <c r="D71" s="179"/>
      <c r="E71" s="119"/>
      <c r="F71" s="165"/>
      <c r="G71" s="76" t="str">
        <f>G67</f>
        <v>13.5</v>
      </c>
      <c r="H71" s="76" t="str">
        <f>H67</f>
        <v>0</v>
      </c>
      <c r="I71" s="76" t="str">
        <f>I67</f>
        <v>13.5</v>
      </c>
      <c r="J71" s="76" t="s">
        <v>195</v>
      </c>
      <c r="K71" s="26">
        <f>VLOOKUP($C$59&amp;" "&amp;$F$67&amp;J71&amp;$F$67,TXRESULT!$A$1:$I$1004,6,FALSE)</f>
        <v>2.2000000000000002</v>
      </c>
      <c r="L71" s="146"/>
      <c r="M71" s="27" t="str">
        <f t="shared" si="6"/>
        <v>PASS</v>
      </c>
      <c r="N71" s="27" t="str">
        <f t="shared" si="1"/>
        <v/>
      </c>
    </row>
    <row r="72" spans="1:14" x14ac:dyDescent="0.3">
      <c r="A72" s="116"/>
      <c r="B72" s="116"/>
      <c r="C72" s="177"/>
      <c r="D72" s="179"/>
      <c r="E72" s="119"/>
      <c r="F72" s="165"/>
      <c r="G72" s="76" t="str">
        <f>G67</f>
        <v>13.5</v>
      </c>
      <c r="H72" s="76" t="str">
        <f>H67</f>
        <v>0</v>
      </c>
      <c r="I72" s="76" t="str">
        <f>I67</f>
        <v>13.5</v>
      </c>
      <c r="J72" s="76" t="s">
        <v>196</v>
      </c>
      <c r="K72" s="26">
        <f>VLOOKUP($C$59&amp;" "&amp;$F$67&amp;J72&amp;$F$67,TXRESULT!$A$1:$I$1004,6,FALSE)</f>
        <v>2.2999999999999998</v>
      </c>
      <c r="L72" s="146"/>
      <c r="M72" s="27" t="str">
        <f t="shared" si="6"/>
        <v>PASS</v>
      </c>
      <c r="N72" s="27" t="str">
        <f t="shared" si="1"/>
        <v/>
      </c>
    </row>
    <row r="73" spans="1:14" x14ac:dyDescent="0.3">
      <c r="A73" s="116"/>
      <c r="B73" s="116"/>
      <c r="C73" s="177"/>
      <c r="D73" s="179"/>
      <c r="E73" s="119"/>
      <c r="F73" s="165"/>
      <c r="G73" s="76" t="str">
        <f>G67</f>
        <v>13.5</v>
      </c>
      <c r="H73" s="76" t="str">
        <f>H67</f>
        <v>0</v>
      </c>
      <c r="I73" s="76" t="str">
        <f>I67</f>
        <v>13.5</v>
      </c>
      <c r="J73" s="76" t="s">
        <v>197</v>
      </c>
      <c r="K73" s="26">
        <f>VLOOKUP($C$59&amp;" "&amp;$F$67&amp;J73&amp;$F$67,TXRESULT!$A$1:$I$1004,6,FALSE)</f>
        <v>2.2999999999999998</v>
      </c>
      <c r="L73" s="146"/>
      <c r="M73" s="27" t="str">
        <f t="shared" si="6"/>
        <v>PASS</v>
      </c>
      <c r="N73" s="27" t="str">
        <f t="shared" si="1"/>
        <v/>
      </c>
    </row>
    <row r="74" spans="1:14" x14ac:dyDescent="0.3">
      <c r="A74" s="116"/>
      <c r="B74" s="117"/>
      <c r="C74" s="177"/>
      <c r="D74" s="179"/>
      <c r="E74" s="120"/>
      <c r="F74" s="166"/>
      <c r="G74" s="76" t="str">
        <f>G67</f>
        <v>13.5</v>
      </c>
      <c r="H74" s="76" t="str">
        <f>H67</f>
        <v>0</v>
      </c>
      <c r="I74" s="76" t="str">
        <f>I67</f>
        <v>13.5</v>
      </c>
      <c r="J74" s="76" t="s">
        <v>198</v>
      </c>
      <c r="K74" s="26">
        <f>VLOOKUP($C$59&amp;" "&amp;$F$67&amp;J74&amp;$F$67,TXRESULT!$A$1:$I$1004,6,FALSE)</f>
        <v>2.2999999999999998</v>
      </c>
      <c r="L74" s="146"/>
      <c r="M74" s="27" t="str">
        <f>IF(ISBLANK(K74),"",IF(AND(K74*1&gt;H74*1,K74*1&lt;I74*1),"PASS","FAIL"))</f>
        <v>PASS</v>
      </c>
      <c r="N74" s="27" t="str">
        <f t="shared" si="1"/>
        <v/>
      </c>
    </row>
    <row r="75" spans="1:14" ht="15.6" customHeight="1" x14ac:dyDescent="0.3">
      <c r="A75" s="116"/>
      <c r="B75" s="115" t="s">
        <v>97</v>
      </c>
      <c r="C75" s="177"/>
      <c r="D75" s="179"/>
      <c r="E75" s="132" t="s">
        <v>90</v>
      </c>
      <c r="F75" s="164" t="s">
        <v>98</v>
      </c>
      <c r="G75" s="76" t="s">
        <v>99</v>
      </c>
      <c r="H75" s="76" t="s">
        <v>80</v>
      </c>
      <c r="I75" s="76" t="s">
        <v>99</v>
      </c>
      <c r="J75" s="76" t="s">
        <v>191</v>
      </c>
      <c r="K75" s="26">
        <f>VLOOKUP($C$59&amp;" "&amp;$F$75&amp;J75&amp;$F$75,TXRESULT!$A$1:$I$1004,6,FALSE)</f>
        <v>0.5</v>
      </c>
      <c r="L75" s="146"/>
      <c r="M75" s="27" t="str">
        <f t="shared" ref="M75:M131" si="7">IF(ISBLANK(K75),"",IF(AND(K75*1&gt;H75*1,K75*1&lt;I75*1),"PASS","FAIL"))</f>
        <v>PASS</v>
      </c>
      <c r="N75" s="27" t="str">
        <f t="shared" si="1"/>
        <v/>
      </c>
    </row>
    <row r="76" spans="1:14" x14ac:dyDescent="0.3">
      <c r="A76" s="116"/>
      <c r="B76" s="116"/>
      <c r="C76" s="177"/>
      <c r="D76" s="179"/>
      <c r="E76" s="119"/>
      <c r="F76" s="165"/>
      <c r="G76" s="76" t="str">
        <f>G75</f>
        <v>9</v>
      </c>
      <c r="H76" s="76" t="str">
        <f>H75</f>
        <v>0</v>
      </c>
      <c r="I76" s="76" t="str">
        <f>I75</f>
        <v>9</v>
      </c>
      <c r="J76" s="76" t="s">
        <v>192</v>
      </c>
      <c r="K76" s="26">
        <f>VLOOKUP($C$59&amp;" "&amp;$F$75&amp;J76&amp;$F$75,TXRESULT!$A$1:$I$1004,6,FALSE)</f>
        <v>0.7</v>
      </c>
      <c r="L76" s="146"/>
      <c r="M76" s="27" t="str">
        <f t="shared" si="7"/>
        <v>PASS</v>
      </c>
      <c r="N76" s="27" t="str">
        <f t="shared" si="1"/>
        <v/>
      </c>
    </row>
    <row r="77" spans="1:14" x14ac:dyDescent="0.3">
      <c r="A77" s="116"/>
      <c r="B77" s="116"/>
      <c r="C77" s="177"/>
      <c r="D77" s="179"/>
      <c r="E77" s="119"/>
      <c r="F77" s="165"/>
      <c r="G77" s="76" t="str">
        <f>G75</f>
        <v>9</v>
      </c>
      <c r="H77" s="76" t="str">
        <f>H75</f>
        <v>0</v>
      </c>
      <c r="I77" s="76" t="str">
        <f>I75</f>
        <v>9</v>
      </c>
      <c r="J77" s="76" t="s">
        <v>193</v>
      </c>
      <c r="K77" s="26">
        <f>VLOOKUP($C$59&amp;" "&amp;$F$75&amp;J77&amp;$F$75,TXRESULT!$A$1:$I$1004,6,FALSE)</f>
        <v>0.5</v>
      </c>
      <c r="L77" s="146"/>
      <c r="M77" s="27" t="str">
        <f t="shared" si="7"/>
        <v>PASS</v>
      </c>
      <c r="N77" s="27" t="str">
        <f t="shared" si="1"/>
        <v/>
      </c>
    </row>
    <row r="78" spans="1:14" x14ac:dyDescent="0.3">
      <c r="A78" s="116"/>
      <c r="B78" s="116"/>
      <c r="C78" s="177"/>
      <c r="D78" s="179"/>
      <c r="E78" s="119"/>
      <c r="F78" s="165"/>
      <c r="G78" s="76" t="str">
        <f>G75</f>
        <v>9</v>
      </c>
      <c r="H78" s="76" t="str">
        <f>H75</f>
        <v>0</v>
      </c>
      <c r="I78" s="76" t="str">
        <f>I75</f>
        <v>9</v>
      </c>
      <c r="J78" s="76" t="s">
        <v>194</v>
      </c>
      <c r="K78" s="26">
        <f>VLOOKUP($C$59&amp;" "&amp;$F$75&amp;J78&amp;$F$75,TXRESULT!$A$1:$I$1004,6,FALSE)</f>
        <v>0.5</v>
      </c>
      <c r="L78" s="146"/>
      <c r="M78" s="27" t="str">
        <f t="shared" si="7"/>
        <v>PASS</v>
      </c>
      <c r="N78" s="27" t="str">
        <f t="shared" si="1"/>
        <v/>
      </c>
    </row>
    <row r="79" spans="1:14" x14ac:dyDescent="0.3">
      <c r="A79" s="116"/>
      <c r="B79" s="116"/>
      <c r="C79" s="177"/>
      <c r="D79" s="179"/>
      <c r="E79" s="119"/>
      <c r="F79" s="165"/>
      <c r="G79" s="76" t="str">
        <f>G75</f>
        <v>9</v>
      </c>
      <c r="H79" s="76" t="str">
        <f>H75</f>
        <v>0</v>
      </c>
      <c r="I79" s="76" t="str">
        <f>I75</f>
        <v>9</v>
      </c>
      <c r="J79" s="76" t="s">
        <v>195</v>
      </c>
      <c r="K79" s="26">
        <f>VLOOKUP($C$59&amp;" "&amp;$F$75&amp;J79&amp;$F$75,TXRESULT!$A$1:$I$1004,6,FALSE)</f>
        <v>0.6</v>
      </c>
      <c r="L79" s="146"/>
      <c r="M79" s="27" t="str">
        <f t="shared" si="7"/>
        <v>PASS</v>
      </c>
      <c r="N79" s="27" t="str">
        <f t="shared" si="1"/>
        <v/>
      </c>
    </row>
    <row r="80" spans="1:14" x14ac:dyDescent="0.3">
      <c r="A80" s="116"/>
      <c r="B80" s="116"/>
      <c r="C80" s="177"/>
      <c r="D80" s="179"/>
      <c r="E80" s="119"/>
      <c r="F80" s="165"/>
      <c r="G80" s="76" t="str">
        <f>G75</f>
        <v>9</v>
      </c>
      <c r="H80" s="76" t="str">
        <f>H75</f>
        <v>0</v>
      </c>
      <c r="I80" s="76" t="str">
        <f>I75</f>
        <v>9</v>
      </c>
      <c r="J80" s="76" t="s">
        <v>196</v>
      </c>
      <c r="K80" s="26">
        <f>VLOOKUP($C$59&amp;" "&amp;$F$75&amp;J80&amp;$F$75,TXRESULT!$A$1:$I$1004,6,FALSE)</f>
        <v>0.6</v>
      </c>
      <c r="L80" s="146"/>
      <c r="M80" s="27" t="str">
        <f t="shared" si="7"/>
        <v>PASS</v>
      </c>
      <c r="N80" s="27" t="str">
        <f t="shared" si="1"/>
        <v/>
      </c>
    </row>
    <row r="81" spans="1:14" x14ac:dyDescent="0.3">
      <c r="A81" s="116"/>
      <c r="B81" s="116"/>
      <c r="C81" s="177"/>
      <c r="D81" s="179"/>
      <c r="E81" s="119"/>
      <c r="F81" s="165"/>
      <c r="G81" s="76" t="str">
        <f>G75</f>
        <v>9</v>
      </c>
      <c r="H81" s="76" t="str">
        <f>H75</f>
        <v>0</v>
      </c>
      <c r="I81" s="76" t="str">
        <f>I75</f>
        <v>9</v>
      </c>
      <c r="J81" s="76" t="s">
        <v>197</v>
      </c>
      <c r="K81" s="26">
        <f>VLOOKUP($C$59&amp;" "&amp;$F$75&amp;J81&amp;$F$75,TXRESULT!$A$1:$I$1004,6,FALSE)</f>
        <v>0.5</v>
      </c>
      <c r="L81" s="146"/>
      <c r="M81" s="27" t="str">
        <f t="shared" si="7"/>
        <v>PASS</v>
      </c>
      <c r="N81" s="27" t="str">
        <f t="shared" ref="N81:N160" si="8">IF(ISBLANK(K81),"CHUADO","")</f>
        <v/>
      </c>
    </row>
    <row r="82" spans="1:14" x14ac:dyDescent="0.3">
      <c r="A82" s="116"/>
      <c r="B82" s="116"/>
      <c r="C82" s="177"/>
      <c r="D82" s="179"/>
      <c r="E82" s="120"/>
      <c r="F82" s="166"/>
      <c r="G82" s="76" t="str">
        <f>G75</f>
        <v>9</v>
      </c>
      <c r="H82" s="76" t="str">
        <f>H75</f>
        <v>0</v>
      </c>
      <c r="I82" s="76" t="str">
        <f>I75</f>
        <v>9</v>
      </c>
      <c r="J82" s="76" t="s">
        <v>198</v>
      </c>
      <c r="K82" s="26">
        <f>VLOOKUP($C$59&amp;" "&amp;$F$75&amp;J82&amp;$F$75,TXRESULT!$A$1:$I$1004,6,FALSE)</f>
        <v>0.5</v>
      </c>
      <c r="L82" s="146"/>
      <c r="M82" s="27" t="str">
        <f t="shared" si="7"/>
        <v>PASS</v>
      </c>
      <c r="N82" s="27" t="str">
        <f t="shared" si="8"/>
        <v/>
      </c>
    </row>
    <row r="83" spans="1:14" ht="15.6" customHeight="1" x14ac:dyDescent="0.3">
      <c r="A83" s="116"/>
      <c r="B83" s="116"/>
      <c r="C83" s="177"/>
      <c r="D83" s="179"/>
      <c r="E83" s="132" t="s">
        <v>90</v>
      </c>
      <c r="F83" s="164" t="s">
        <v>100</v>
      </c>
      <c r="G83" s="76" t="s">
        <v>99</v>
      </c>
      <c r="H83" s="76" t="s">
        <v>80</v>
      </c>
      <c r="I83" s="76" t="s">
        <v>99</v>
      </c>
      <c r="J83" s="76" t="s">
        <v>191</v>
      </c>
      <c r="K83" s="26">
        <f>VLOOKUP($C$59&amp;" "&amp;$F$83&amp;J83&amp;$F$83,TXRESULT!$A$1:$I$1004,6,FALSE)</f>
        <v>1.7</v>
      </c>
      <c r="L83" s="146"/>
      <c r="M83" s="27" t="str">
        <f t="shared" si="7"/>
        <v>PASS</v>
      </c>
      <c r="N83" s="27" t="str">
        <f t="shared" si="8"/>
        <v/>
      </c>
    </row>
    <row r="84" spans="1:14" x14ac:dyDescent="0.3">
      <c r="A84" s="116"/>
      <c r="B84" s="116"/>
      <c r="C84" s="177"/>
      <c r="D84" s="179"/>
      <c r="E84" s="119"/>
      <c r="F84" s="165"/>
      <c r="G84" s="76" t="str">
        <f>G83</f>
        <v>9</v>
      </c>
      <c r="H84" s="76" t="str">
        <f>H83</f>
        <v>0</v>
      </c>
      <c r="I84" s="76" t="str">
        <f>I83</f>
        <v>9</v>
      </c>
      <c r="J84" s="76" t="s">
        <v>192</v>
      </c>
      <c r="K84" s="26">
        <f>VLOOKUP($C$59&amp;" "&amp;$F$83&amp;J84&amp;$F$83,TXRESULT!$A$1:$I$1004,6,FALSE)</f>
        <v>1.8</v>
      </c>
      <c r="L84" s="146"/>
      <c r="M84" s="27" t="str">
        <f t="shared" si="7"/>
        <v>PASS</v>
      </c>
      <c r="N84" s="27" t="str">
        <f t="shared" si="8"/>
        <v/>
      </c>
    </row>
    <row r="85" spans="1:14" x14ac:dyDescent="0.3">
      <c r="A85" s="116"/>
      <c r="B85" s="116"/>
      <c r="C85" s="177"/>
      <c r="D85" s="179"/>
      <c r="E85" s="119"/>
      <c r="F85" s="165"/>
      <c r="G85" s="76" t="str">
        <f>G83</f>
        <v>9</v>
      </c>
      <c r="H85" s="76" t="str">
        <f>H83</f>
        <v>0</v>
      </c>
      <c r="I85" s="76" t="str">
        <f>I83</f>
        <v>9</v>
      </c>
      <c r="J85" s="76" t="s">
        <v>193</v>
      </c>
      <c r="K85" s="26">
        <f>VLOOKUP($C$59&amp;" "&amp;$F$83&amp;J85&amp;$F$83,TXRESULT!$A$1:$I$1004,6,FALSE)</f>
        <v>1.7</v>
      </c>
      <c r="L85" s="146"/>
      <c r="M85" s="27" t="str">
        <f t="shared" si="7"/>
        <v>PASS</v>
      </c>
      <c r="N85" s="27" t="str">
        <f t="shared" si="8"/>
        <v/>
      </c>
    </row>
    <row r="86" spans="1:14" x14ac:dyDescent="0.3">
      <c r="A86" s="116"/>
      <c r="B86" s="116"/>
      <c r="C86" s="177"/>
      <c r="D86" s="179"/>
      <c r="E86" s="119"/>
      <c r="F86" s="165"/>
      <c r="G86" s="76" t="str">
        <f>G83</f>
        <v>9</v>
      </c>
      <c r="H86" s="76" t="str">
        <f>H83</f>
        <v>0</v>
      </c>
      <c r="I86" s="76" t="str">
        <f>I83</f>
        <v>9</v>
      </c>
      <c r="J86" s="76" t="s">
        <v>194</v>
      </c>
      <c r="K86" s="26">
        <f>VLOOKUP($C$59&amp;" "&amp;$F$83&amp;J86&amp;$F$83,TXRESULT!$A$1:$I$1004,6,FALSE)</f>
        <v>1.7</v>
      </c>
      <c r="L86" s="146"/>
      <c r="M86" s="27" t="str">
        <f t="shared" si="7"/>
        <v>PASS</v>
      </c>
      <c r="N86" s="27" t="str">
        <f t="shared" si="8"/>
        <v/>
      </c>
    </row>
    <row r="87" spans="1:14" x14ac:dyDescent="0.3">
      <c r="A87" s="116"/>
      <c r="B87" s="116"/>
      <c r="C87" s="177"/>
      <c r="D87" s="179"/>
      <c r="E87" s="119"/>
      <c r="F87" s="165"/>
      <c r="G87" s="76" t="str">
        <f>G83</f>
        <v>9</v>
      </c>
      <c r="H87" s="76" t="str">
        <f>H83</f>
        <v>0</v>
      </c>
      <c r="I87" s="76" t="str">
        <f>I83</f>
        <v>9</v>
      </c>
      <c r="J87" s="76" t="s">
        <v>195</v>
      </c>
      <c r="K87" s="26">
        <f>VLOOKUP($C$59&amp;" "&amp;$F$83&amp;J87&amp;$F$83,TXRESULT!$A$1:$I$1004,6,FALSE)</f>
        <v>1.7</v>
      </c>
      <c r="L87" s="146"/>
      <c r="M87" s="27" t="str">
        <f t="shared" si="7"/>
        <v>PASS</v>
      </c>
      <c r="N87" s="27" t="str">
        <f t="shared" si="8"/>
        <v/>
      </c>
    </row>
    <row r="88" spans="1:14" x14ac:dyDescent="0.3">
      <c r="A88" s="116"/>
      <c r="B88" s="116"/>
      <c r="C88" s="177"/>
      <c r="D88" s="179"/>
      <c r="E88" s="119"/>
      <c r="F88" s="165"/>
      <c r="G88" s="76" t="str">
        <f>G83</f>
        <v>9</v>
      </c>
      <c r="H88" s="76" t="str">
        <f>H83</f>
        <v>0</v>
      </c>
      <c r="I88" s="76" t="str">
        <f>I83</f>
        <v>9</v>
      </c>
      <c r="J88" s="76" t="s">
        <v>196</v>
      </c>
      <c r="K88" s="26">
        <f>VLOOKUP($C$59&amp;" "&amp;$F$83&amp;J88&amp;$F$83,TXRESULT!$A$1:$I$1004,6,FALSE)</f>
        <v>1.8</v>
      </c>
      <c r="L88" s="146"/>
      <c r="M88" s="27" t="str">
        <f t="shared" si="7"/>
        <v>PASS</v>
      </c>
      <c r="N88" s="27" t="str">
        <f t="shared" si="8"/>
        <v/>
      </c>
    </row>
    <row r="89" spans="1:14" x14ac:dyDescent="0.3">
      <c r="A89" s="116"/>
      <c r="B89" s="116"/>
      <c r="C89" s="177"/>
      <c r="D89" s="179"/>
      <c r="E89" s="119"/>
      <c r="F89" s="165"/>
      <c r="G89" s="76" t="str">
        <f>G83</f>
        <v>9</v>
      </c>
      <c r="H89" s="76" t="str">
        <f>H83</f>
        <v>0</v>
      </c>
      <c r="I89" s="76" t="str">
        <f>I83</f>
        <v>9</v>
      </c>
      <c r="J89" s="76" t="s">
        <v>197</v>
      </c>
      <c r="K89" s="26">
        <f>VLOOKUP($C$59&amp;" "&amp;$F$83&amp;J89&amp;$F$83,TXRESULT!$A$1:$I$1004,6,FALSE)</f>
        <v>1.7</v>
      </c>
      <c r="L89" s="146"/>
      <c r="M89" s="27" t="str">
        <f t="shared" si="7"/>
        <v>PASS</v>
      </c>
      <c r="N89" s="27" t="str">
        <f t="shared" si="8"/>
        <v/>
      </c>
    </row>
    <row r="90" spans="1:14" x14ac:dyDescent="0.3">
      <c r="A90" s="116"/>
      <c r="B90" s="117"/>
      <c r="C90" s="177"/>
      <c r="D90" s="179"/>
      <c r="E90" s="120"/>
      <c r="F90" s="166"/>
      <c r="G90" s="76" t="str">
        <f>G83</f>
        <v>9</v>
      </c>
      <c r="H90" s="76" t="str">
        <f>H83</f>
        <v>0</v>
      </c>
      <c r="I90" s="76" t="str">
        <f>I83</f>
        <v>9</v>
      </c>
      <c r="J90" s="76" t="s">
        <v>198</v>
      </c>
      <c r="K90" s="26">
        <f>VLOOKUP($C$59&amp;" "&amp;$F$83&amp;J90&amp;$F$83,TXRESULT!$A$1:$I$1004,6,FALSE)</f>
        <v>1.7</v>
      </c>
      <c r="L90" s="146"/>
      <c r="M90" s="27" t="str">
        <f t="shared" si="7"/>
        <v>PASS</v>
      </c>
      <c r="N90" s="27" t="str">
        <f t="shared" si="8"/>
        <v/>
      </c>
    </row>
    <row r="91" spans="1:14" ht="15.6" customHeight="1" x14ac:dyDescent="0.3">
      <c r="A91" s="116"/>
      <c r="B91" s="115" t="s">
        <v>101</v>
      </c>
      <c r="C91" s="177"/>
      <c r="D91" s="179"/>
      <c r="E91" s="132" t="s">
        <v>90</v>
      </c>
      <c r="F91" s="164" t="s">
        <v>102</v>
      </c>
      <c r="G91" s="76" t="s">
        <v>103</v>
      </c>
      <c r="H91" s="76" t="s">
        <v>80</v>
      </c>
      <c r="I91" s="76" t="s">
        <v>103</v>
      </c>
      <c r="J91" s="76" t="s">
        <v>191</v>
      </c>
      <c r="K91" s="26">
        <f>VLOOKUP($C$59&amp;" "&amp;$F$91&amp;J91&amp;$F$91,TXRESULT!$A$1:$I$1004,6,FALSE)</f>
        <v>1.1000000000000001</v>
      </c>
      <c r="L91" s="146"/>
      <c r="M91" s="27" t="str">
        <f t="shared" si="7"/>
        <v>PASS</v>
      </c>
      <c r="N91" s="27" t="str">
        <f t="shared" si="8"/>
        <v/>
      </c>
    </row>
    <row r="92" spans="1:14" x14ac:dyDescent="0.3">
      <c r="A92" s="116"/>
      <c r="B92" s="116"/>
      <c r="C92" s="177"/>
      <c r="D92" s="179"/>
      <c r="E92" s="119"/>
      <c r="F92" s="165"/>
      <c r="G92" s="76" t="str">
        <f>G91</f>
        <v>4.5</v>
      </c>
      <c r="H92" s="76" t="str">
        <f>H91</f>
        <v>0</v>
      </c>
      <c r="I92" s="76" t="str">
        <f>I91</f>
        <v>4.5</v>
      </c>
      <c r="J92" s="76" t="s">
        <v>192</v>
      </c>
      <c r="K92" s="26">
        <f>VLOOKUP($C$59&amp;" "&amp;$F$91&amp;J92&amp;$F$91,TXRESULT!$A$1:$I$1004,6,FALSE)</f>
        <v>1.2</v>
      </c>
      <c r="L92" s="146"/>
      <c r="M92" s="27" t="str">
        <f t="shared" si="7"/>
        <v>PASS</v>
      </c>
      <c r="N92" s="27" t="str">
        <f t="shared" si="8"/>
        <v/>
      </c>
    </row>
    <row r="93" spans="1:14" x14ac:dyDescent="0.3">
      <c r="A93" s="116"/>
      <c r="B93" s="116"/>
      <c r="C93" s="177"/>
      <c r="D93" s="179"/>
      <c r="E93" s="119"/>
      <c r="F93" s="165"/>
      <c r="G93" s="76" t="str">
        <f>G91</f>
        <v>4.5</v>
      </c>
      <c r="H93" s="76" t="str">
        <f>H91</f>
        <v>0</v>
      </c>
      <c r="I93" s="76" t="str">
        <f>I91</f>
        <v>4.5</v>
      </c>
      <c r="J93" s="76" t="s">
        <v>193</v>
      </c>
      <c r="K93" s="26">
        <f>VLOOKUP($C$59&amp;" "&amp;$F$91&amp;J93&amp;$F$91,TXRESULT!$A$1:$I$1004,6,FALSE)</f>
        <v>1.1000000000000001</v>
      </c>
      <c r="L93" s="146"/>
      <c r="M93" s="27" t="str">
        <f t="shared" si="7"/>
        <v>PASS</v>
      </c>
      <c r="N93" s="27" t="str">
        <f t="shared" si="8"/>
        <v/>
      </c>
    </row>
    <row r="94" spans="1:14" x14ac:dyDescent="0.3">
      <c r="A94" s="116"/>
      <c r="B94" s="116"/>
      <c r="C94" s="177"/>
      <c r="D94" s="179"/>
      <c r="E94" s="119"/>
      <c r="F94" s="165"/>
      <c r="G94" s="76" t="str">
        <f>G91</f>
        <v>4.5</v>
      </c>
      <c r="H94" s="76" t="str">
        <f>H91</f>
        <v>0</v>
      </c>
      <c r="I94" s="76" t="str">
        <f>I91</f>
        <v>4.5</v>
      </c>
      <c r="J94" s="76" t="s">
        <v>194</v>
      </c>
      <c r="K94" s="26">
        <f>VLOOKUP($C$59&amp;" "&amp;$F$91&amp;J94&amp;$F$91,TXRESULT!$A$1:$I$1004,6,FALSE)</f>
        <v>1</v>
      </c>
      <c r="L94" s="146"/>
      <c r="M94" s="27" t="str">
        <f t="shared" si="7"/>
        <v>PASS</v>
      </c>
      <c r="N94" s="27" t="str">
        <f t="shared" si="8"/>
        <v/>
      </c>
    </row>
    <row r="95" spans="1:14" x14ac:dyDescent="0.3">
      <c r="A95" s="116"/>
      <c r="B95" s="116"/>
      <c r="C95" s="177"/>
      <c r="D95" s="179"/>
      <c r="E95" s="119"/>
      <c r="F95" s="165"/>
      <c r="G95" s="76" t="str">
        <f>G91</f>
        <v>4.5</v>
      </c>
      <c r="H95" s="76" t="str">
        <f>H91</f>
        <v>0</v>
      </c>
      <c r="I95" s="76" t="str">
        <f>I91</f>
        <v>4.5</v>
      </c>
      <c r="J95" s="76" t="s">
        <v>195</v>
      </c>
      <c r="K95" s="26">
        <f>VLOOKUP($C$59&amp;" "&amp;$F$91&amp;J95&amp;$F$91,TXRESULT!$A$1:$I$1004,6,FALSE)</f>
        <v>1.3</v>
      </c>
      <c r="L95" s="146"/>
      <c r="M95" s="27" t="str">
        <f t="shared" si="7"/>
        <v>PASS</v>
      </c>
      <c r="N95" s="27" t="str">
        <f t="shared" si="8"/>
        <v/>
      </c>
    </row>
    <row r="96" spans="1:14" x14ac:dyDescent="0.3">
      <c r="A96" s="116"/>
      <c r="B96" s="116"/>
      <c r="C96" s="177"/>
      <c r="D96" s="179"/>
      <c r="E96" s="119"/>
      <c r="F96" s="165"/>
      <c r="G96" s="76" t="str">
        <f>G91</f>
        <v>4.5</v>
      </c>
      <c r="H96" s="76" t="str">
        <f>H91</f>
        <v>0</v>
      </c>
      <c r="I96" s="76" t="str">
        <f>I91</f>
        <v>4.5</v>
      </c>
      <c r="J96" s="76" t="s">
        <v>196</v>
      </c>
      <c r="K96" s="26">
        <f>VLOOKUP($C$59&amp;" "&amp;$F$91&amp;J96&amp;$F$91,TXRESULT!$A$1:$I$1004,6,FALSE)</f>
        <v>1.1000000000000001</v>
      </c>
      <c r="L96" s="146"/>
      <c r="M96" s="27" t="str">
        <f t="shared" si="7"/>
        <v>PASS</v>
      </c>
      <c r="N96" s="27" t="str">
        <f t="shared" si="8"/>
        <v/>
      </c>
    </row>
    <row r="97" spans="1:14" x14ac:dyDescent="0.3">
      <c r="A97" s="116"/>
      <c r="B97" s="116"/>
      <c r="C97" s="177"/>
      <c r="D97" s="179"/>
      <c r="E97" s="119"/>
      <c r="F97" s="165"/>
      <c r="G97" s="76" t="str">
        <f>G91</f>
        <v>4.5</v>
      </c>
      <c r="H97" s="76" t="str">
        <f>H91</f>
        <v>0</v>
      </c>
      <c r="I97" s="76" t="str">
        <f>I91</f>
        <v>4.5</v>
      </c>
      <c r="J97" s="76" t="s">
        <v>197</v>
      </c>
      <c r="K97" s="26">
        <f>VLOOKUP($C$59&amp;" "&amp;$F$91&amp;J97&amp;$F$91,TXRESULT!$A$1:$I$1004,6,FALSE)</f>
        <v>1.1000000000000001</v>
      </c>
      <c r="L97" s="146"/>
      <c r="M97" s="27" t="str">
        <f t="shared" si="7"/>
        <v>PASS</v>
      </c>
      <c r="N97" s="27" t="str">
        <f t="shared" si="8"/>
        <v/>
      </c>
    </row>
    <row r="98" spans="1:14" x14ac:dyDescent="0.3">
      <c r="A98" s="116"/>
      <c r="B98" s="116"/>
      <c r="C98" s="177"/>
      <c r="D98" s="179"/>
      <c r="E98" s="120"/>
      <c r="F98" s="166"/>
      <c r="G98" s="76" t="str">
        <f>G91</f>
        <v>4.5</v>
      </c>
      <c r="H98" s="76" t="str">
        <f>H91</f>
        <v>0</v>
      </c>
      <c r="I98" s="76" t="str">
        <f>I91</f>
        <v>4.5</v>
      </c>
      <c r="J98" s="76" t="s">
        <v>198</v>
      </c>
      <c r="K98" s="26">
        <f>VLOOKUP($C$59&amp;" "&amp;$F$91&amp;J98&amp;$F$91,TXRESULT!$A$1:$I$1004,6,FALSE)</f>
        <v>1.1000000000000001</v>
      </c>
      <c r="L98" s="146"/>
      <c r="M98" s="27" t="str">
        <f t="shared" si="7"/>
        <v>PASS</v>
      </c>
      <c r="N98" s="27" t="str">
        <f t="shared" si="8"/>
        <v/>
      </c>
    </row>
    <row r="99" spans="1:14" ht="15.6" customHeight="1" x14ac:dyDescent="0.3">
      <c r="A99" s="77"/>
      <c r="B99" s="116"/>
      <c r="C99" s="177"/>
      <c r="D99" s="179"/>
      <c r="E99" s="132" t="s">
        <v>90</v>
      </c>
      <c r="F99" s="164" t="s">
        <v>246</v>
      </c>
      <c r="G99" s="76" t="s">
        <v>103</v>
      </c>
      <c r="H99" s="76" t="s">
        <v>80</v>
      </c>
      <c r="I99" s="76" t="s">
        <v>103</v>
      </c>
      <c r="J99" s="76" t="s">
        <v>191</v>
      </c>
      <c r="K99" s="26">
        <f>VLOOKUP($C$59&amp;" "&amp;$F$99&amp;J99&amp;$F$99,TXRESULT!$A$1:$I$1004,6,FALSE)</f>
        <v>1.6</v>
      </c>
      <c r="L99" s="146"/>
      <c r="M99" s="27" t="str">
        <f t="shared" si="7"/>
        <v>PASS</v>
      </c>
      <c r="N99" s="27" t="str">
        <f t="shared" si="8"/>
        <v/>
      </c>
    </row>
    <row r="100" spans="1:14" x14ac:dyDescent="0.3">
      <c r="A100" s="77"/>
      <c r="B100" s="116"/>
      <c r="C100" s="177"/>
      <c r="D100" s="179"/>
      <c r="E100" s="119"/>
      <c r="F100" s="165"/>
      <c r="G100" s="76" t="str">
        <f>G99</f>
        <v>4.5</v>
      </c>
      <c r="H100" s="76" t="str">
        <f>H99</f>
        <v>0</v>
      </c>
      <c r="I100" s="76" t="str">
        <f>I99</f>
        <v>4.5</v>
      </c>
      <c r="J100" s="76" t="s">
        <v>192</v>
      </c>
      <c r="K100" s="26">
        <f>VLOOKUP($C$59&amp;" "&amp;$F$99&amp;J100&amp;$F$99,TXRESULT!$A$1:$I$1004,6,FALSE)</f>
        <v>1.7</v>
      </c>
      <c r="L100" s="146"/>
      <c r="M100" s="27" t="str">
        <f t="shared" si="7"/>
        <v>PASS</v>
      </c>
      <c r="N100" s="27" t="str">
        <f t="shared" si="8"/>
        <v/>
      </c>
    </row>
    <row r="101" spans="1:14" x14ac:dyDescent="0.3">
      <c r="A101" s="77"/>
      <c r="B101" s="116"/>
      <c r="C101" s="177"/>
      <c r="D101" s="179"/>
      <c r="E101" s="119"/>
      <c r="F101" s="165"/>
      <c r="G101" s="76" t="str">
        <f>G99</f>
        <v>4.5</v>
      </c>
      <c r="H101" s="76" t="str">
        <f>H99</f>
        <v>0</v>
      </c>
      <c r="I101" s="76" t="str">
        <f>I99</f>
        <v>4.5</v>
      </c>
      <c r="J101" s="76" t="s">
        <v>193</v>
      </c>
      <c r="K101" s="26">
        <f>VLOOKUP($C$59&amp;" "&amp;$F$99&amp;J101&amp;$F$99,TXRESULT!$A$1:$I$1004,6,FALSE)</f>
        <v>1.6</v>
      </c>
      <c r="L101" s="146"/>
      <c r="M101" s="27" t="str">
        <f t="shared" si="7"/>
        <v>PASS</v>
      </c>
      <c r="N101" s="27" t="str">
        <f t="shared" si="8"/>
        <v/>
      </c>
    </row>
    <row r="102" spans="1:14" x14ac:dyDescent="0.3">
      <c r="A102" s="77"/>
      <c r="B102" s="116"/>
      <c r="C102" s="177"/>
      <c r="D102" s="179"/>
      <c r="E102" s="119"/>
      <c r="F102" s="165"/>
      <c r="G102" s="76" t="str">
        <f>G99</f>
        <v>4.5</v>
      </c>
      <c r="H102" s="76" t="str">
        <f>H99</f>
        <v>0</v>
      </c>
      <c r="I102" s="76" t="str">
        <f>I99</f>
        <v>4.5</v>
      </c>
      <c r="J102" s="76" t="s">
        <v>194</v>
      </c>
      <c r="K102" s="26">
        <f>VLOOKUP($C$59&amp;" "&amp;$F$99&amp;J102&amp;$F$99,TXRESULT!$A$1:$I$1004,6,FALSE)</f>
        <v>1.7</v>
      </c>
      <c r="L102" s="146"/>
      <c r="M102" s="27" t="str">
        <f t="shared" si="7"/>
        <v>PASS</v>
      </c>
      <c r="N102" s="27" t="str">
        <f t="shared" si="8"/>
        <v/>
      </c>
    </row>
    <row r="103" spans="1:14" x14ac:dyDescent="0.3">
      <c r="A103" s="77"/>
      <c r="B103" s="116"/>
      <c r="C103" s="177"/>
      <c r="D103" s="179"/>
      <c r="E103" s="119"/>
      <c r="F103" s="165"/>
      <c r="G103" s="76" t="str">
        <f>G99</f>
        <v>4.5</v>
      </c>
      <c r="H103" s="76" t="str">
        <f>H99</f>
        <v>0</v>
      </c>
      <c r="I103" s="76" t="str">
        <f>I99</f>
        <v>4.5</v>
      </c>
      <c r="J103" s="76" t="s">
        <v>195</v>
      </c>
      <c r="K103" s="26">
        <f>VLOOKUP($C$59&amp;" "&amp;$F$99&amp;J103&amp;$F$99,TXRESULT!$A$1:$I$1004,6,FALSE)</f>
        <v>1.7</v>
      </c>
      <c r="L103" s="146"/>
      <c r="M103" s="27" t="str">
        <f t="shared" si="7"/>
        <v>PASS</v>
      </c>
      <c r="N103" s="27" t="str">
        <f t="shared" si="8"/>
        <v/>
      </c>
    </row>
    <row r="104" spans="1:14" x14ac:dyDescent="0.3">
      <c r="A104" s="77"/>
      <c r="B104" s="116"/>
      <c r="C104" s="177"/>
      <c r="D104" s="179"/>
      <c r="E104" s="119"/>
      <c r="F104" s="165"/>
      <c r="G104" s="76" t="str">
        <f>G99</f>
        <v>4.5</v>
      </c>
      <c r="H104" s="76" t="str">
        <f>H99</f>
        <v>0</v>
      </c>
      <c r="I104" s="76" t="str">
        <f>I99</f>
        <v>4.5</v>
      </c>
      <c r="J104" s="76" t="s">
        <v>196</v>
      </c>
      <c r="K104" s="26">
        <f>VLOOKUP($C$59&amp;" "&amp;$F$99&amp;J104&amp;$F$99,TXRESULT!$A$1:$I$1004,6,FALSE)</f>
        <v>1.7</v>
      </c>
      <c r="L104" s="146"/>
      <c r="M104" s="27" t="str">
        <f t="shared" si="7"/>
        <v>PASS</v>
      </c>
      <c r="N104" s="27" t="str">
        <f t="shared" si="8"/>
        <v/>
      </c>
    </row>
    <row r="105" spans="1:14" x14ac:dyDescent="0.3">
      <c r="A105" s="77"/>
      <c r="B105" s="116"/>
      <c r="C105" s="177"/>
      <c r="D105" s="179"/>
      <c r="E105" s="119"/>
      <c r="F105" s="165"/>
      <c r="G105" s="76" t="str">
        <f>G99</f>
        <v>4.5</v>
      </c>
      <c r="H105" s="76" t="str">
        <f>H99</f>
        <v>0</v>
      </c>
      <c r="I105" s="76" t="str">
        <f>I99</f>
        <v>4.5</v>
      </c>
      <c r="J105" s="76" t="s">
        <v>197</v>
      </c>
      <c r="K105" s="26">
        <f>VLOOKUP($C$59&amp;" "&amp;$F$99&amp;J105&amp;$F$99,TXRESULT!$A$1:$I$1004,6,FALSE)</f>
        <v>1.6</v>
      </c>
      <c r="L105" s="146"/>
      <c r="M105" s="27" t="str">
        <f t="shared" si="7"/>
        <v>PASS</v>
      </c>
      <c r="N105" s="27" t="str">
        <f t="shared" si="8"/>
        <v/>
      </c>
    </row>
    <row r="106" spans="1:14" x14ac:dyDescent="0.3">
      <c r="A106" s="77"/>
      <c r="B106" s="117"/>
      <c r="C106" s="180"/>
      <c r="D106" s="182"/>
      <c r="E106" s="120"/>
      <c r="F106" s="166"/>
      <c r="G106" s="76" t="str">
        <f>G99</f>
        <v>4.5</v>
      </c>
      <c r="H106" s="76" t="str">
        <f>H99</f>
        <v>0</v>
      </c>
      <c r="I106" s="76" t="str">
        <f>I99</f>
        <v>4.5</v>
      </c>
      <c r="J106" s="76" t="s">
        <v>198</v>
      </c>
      <c r="K106" s="26">
        <f>VLOOKUP($C$59&amp;" "&amp;$F$99&amp;J106&amp;$F$99,TXRESULT!$A$1:$I$1004,6,FALSE)</f>
        <v>1.7</v>
      </c>
      <c r="L106" s="147"/>
      <c r="M106" s="27" t="str">
        <f t="shared" si="7"/>
        <v>PASS</v>
      </c>
      <c r="N106" s="27" t="str">
        <f t="shared" si="8"/>
        <v/>
      </c>
    </row>
    <row r="107" spans="1:14" ht="15.6" customHeight="1" x14ac:dyDescent="0.3">
      <c r="A107" s="115" t="s">
        <v>104</v>
      </c>
      <c r="B107" s="174" t="s">
        <v>254</v>
      </c>
      <c r="C107" s="175"/>
      <c r="D107" s="176"/>
      <c r="E107" s="132" t="s">
        <v>105</v>
      </c>
      <c r="F107" s="164" t="s">
        <v>53</v>
      </c>
      <c r="G107" s="76" t="s">
        <v>106</v>
      </c>
      <c r="H107" s="76" t="s">
        <v>80</v>
      </c>
      <c r="I107" s="76" t="s">
        <v>106</v>
      </c>
      <c r="J107" s="76" t="s">
        <v>191</v>
      </c>
      <c r="K107" s="26" t="e">
        <f>VLOOKUP($B$107&amp;J107&amp;$F$107,TXRESULT!$A$1:$H$1004,6,FALSE)</f>
        <v>#N/A</v>
      </c>
      <c r="L107" s="145" t="s">
        <v>107</v>
      </c>
      <c r="M107" s="27" t="e">
        <f t="shared" si="7"/>
        <v>#N/A</v>
      </c>
      <c r="N107" s="27" t="str">
        <f t="shared" si="8"/>
        <v/>
      </c>
    </row>
    <row r="108" spans="1:14" x14ac:dyDescent="0.3">
      <c r="A108" s="116"/>
      <c r="B108" s="177"/>
      <c r="C108" s="178"/>
      <c r="D108" s="179"/>
      <c r="E108" s="119"/>
      <c r="F108" s="165"/>
      <c r="G108" s="76" t="str">
        <f>G107</f>
        <v>90</v>
      </c>
      <c r="H108" s="76" t="s">
        <v>80</v>
      </c>
      <c r="I108" s="76" t="str">
        <f>I107</f>
        <v>90</v>
      </c>
      <c r="J108" s="76" t="s">
        <v>192</v>
      </c>
      <c r="K108" s="26" t="e">
        <f>VLOOKUP($B$107&amp;J108&amp;$F$107,TXRESULT!$A$1:$H$1004,6,FALSE)</f>
        <v>#N/A</v>
      </c>
      <c r="L108" s="146"/>
      <c r="M108" s="27" t="e">
        <f t="shared" si="7"/>
        <v>#N/A</v>
      </c>
      <c r="N108" s="27" t="str">
        <f t="shared" si="8"/>
        <v/>
      </c>
    </row>
    <row r="109" spans="1:14" x14ac:dyDescent="0.3">
      <c r="A109" s="116"/>
      <c r="B109" s="177"/>
      <c r="C109" s="178"/>
      <c r="D109" s="179"/>
      <c r="E109" s="119"/>
      <c r="F109" s="165"/>
      <c r="G109" s="76" t="str">
        <f>G107</f>
        <v>90</v>
      </c>
      <c r="H109" s="76" t="s">
        <v>80</v>
      </c>
      <c r="I109" s="76" t="str">
        <f>I107</f>
        <v>90</v>
      </c>
      <c r="J109" s="76" t="s">
        <v>193</v>
      </c>
      <c r="K109" s="26" t="e">
        <f>VLOOKUP($B$107&amp;J109&amp;$F$107,TXRESULT!$A$1:$H$1004,6,FALSE)</f>
        <v>#N/A</v>
      </c>
      <c r="L109" s="146"/>
      <c r="M109" s="27" t="e">
        <f t="shared" si="7"/>
        <v>#N/A</v>
      </c>
      <c r="N109" s="27" t="str">
        <f t="shared" si="8"/>
        <v/>
      </c>
    </row>
    <row r="110" spans="1:14" x14ac:dyDescent="0.3">
      <c r="A110" s="116"/>
      <c r="B110" s="177"/>
      <c r="C110" s="178"/>
      <c r="D110" s="179"/>
      <c r="E110" s="119"/>
      <c r="F110" s="165"/>
      <c r="G110" s="76" t="str">
        <f>G107</f>
        <v>90</v>
      </c>
      <c r="H110" s="76" t="s">
        <v>80</v>
      </c>
      <c r="I110" s="76" t="str">
        <f>I107</f>
        <v>90</v>
      </c>
      <c r="J110" s="76" t="s">
        <v>194</v>
      </c>
      <c r="K110" s="26" t="e">
        <f>VLOOKUP($B$107&amp;J110&amp;$F$107,TXRESULT!$A$1:$H$1004,6,FALSE)</f>
        <v>#N/A</v>
      </c>
      <c r="L110" s="146"/>
      <c r="M110" s="27" t="e">
        <f t="shared" si="7"/>
        <v>#N/A</v>
      </c>
      <c r="N110" s="27" t="str">
        <f t="shared" si="8"/>
        <v/>
      </c>
    </row>
    <row r="111" spans="1:14" x14ac:dyDescent="0.3">
      <c r="A111" s="116"/>
      <c r="B111" s="177"/>
      <c r="C111" s="178"/>
      <c r="D111" s="179"/>
      <c r="E111" s="119"/>
      <c r="F111" s="165"/>
      <c r="G111" s="76" t="str">
        <f>G107</f>
        <v>90</v>
      </c>
      <c r="H111" s="76" t="s">
        <v>80</v>
      </c>
      <c r="I111" s="76" t="str">
        <f>I107</f>
        <v>90</v>
      </c>
      <c r="J111" s="76" t="s">
        <v>195</v>
      </c>
      <c r="K111" s="26" t="e">
        <f>VLOOKUP($B$107&amp;J111&amp;$F$107,TXRESULT!$A$1:$H$1004,6,FALSE)</f>
        <v>#N/A</v>
      </c>
      <c r="L111" s="146"/>
      <c r="M111" s="27" t="e">
        <f t="shared" si="7"/>
        <v>#N/A</v>
      </c>
      <c r="N111" s="27" t="str">
        <f t="shared" si="8"/>
        <v/>
      </c>
    </row>
    <row r="112" spans="1:14" x14ac:dyDescent="0.3">
      <c r="A112" s="116"/>
      <c r="B112" s="177"/>
      <c r="C112" s="178"/>
      <c r="D112" s="179"/>
      <c r="E112" s="119"/>
      <c r="F112" s="165"/>
      <c r="G112" s="76" t="str">
        <f>G107</f>
        <v>90</v>
      </c>
      <c r="H112" s="76" t="s">
        <v>80</v>
      </c>
      <c r="I112" s="76" t="str">
        <f>I107</f>
        <v>90</v>
      </c>
      <c r="J112" s="76" t="s">
        <v>196</v>
      </c>
      <c r="K112" s="26" t="e">
        <f>VLOOKUP($B$107&amp;J112&amp;$F$107,TXRESULT!$A$1:$H$1004,6,FALSE)</f>
        <v>#N/A</v>
      </c>
      <c r="L112" s="146"/>
      <c r="M112" s="27" t="e">
        <f t="shared" si="7"/>
        <v>#N/A</v>
      </c>
      <c r="N112" s="27" t="str">
        <f t="shared" si="8"/>
        <v/>
      </c>
    </row>
    <row r="113" spans="1:14" x14ac:dyDescent="0.3">
      <c r="A113" s="116"/>
      <c r="B113" s="177"/>
      <c r="C113" s="178"/>
      <c r="D113" s="179"/>
      <c r="E113" s="119"/>
      <c r="F113" s="165"/>
      <c r="G113" s="76" t="str">
        <f>G107</f>
        <v>90</v>
      </c>
      <c r="H113" s="76" t="s">
        <v>80</v>
      </c>
      <c r="I113" s="76" t="str">
        <f>I107</f>
        <v>90</v>
      </c>
      <c r="J113" s="76" t="s">
        <v>197</v>
      </c>
      <c r="K113" s="26" t="e">
        <f>VLOOKUP($B$107&amp;J113&amp;$F$107,TXRESULT!$A$1:$H$1004,6,FALSE)</f>
        <v>#N/A</v>
      </c>
      <c r="L113" s="146"/>
      <c r="M113" s="27" t="e">
        <f t="shared" si="7"/>
        <v>#N/A</v>
      </c>
      <c r="N113" s="27" t="str">
        <f t="shared" si="8"/>
        <v/>
      </c>
    </row>
    <row r="114" spans="1:14" x14ac:dyDescent="0.3">
      <c r="A114" s="117"/>
      <c r="B114" s="180"/>
      <c r="C114" s="181"/>
      <c r="D114" s="182"/>
      <c r="E114" s="120"/>
      <c r="F114" s="166"/>
      <c r="G114" s="76" t="str">
        <f>G107</f>
        <v>90</v>
      </c>
      <c r="H114" s="76" t="s">
        <v>80</v>
      </c>
      <c r="I114" s="76" t="str">
        <f>I107</f>
        <v>90</v>
      </c>
      <c r="J114" s="76" t="s">
        <v>198</v>
      </c>
      <c r="K114" s="26" t="e">
        <f>VLOOKUP($B$107&amp;J114&amp;$F$107,TXRESULT!$A$1:$H$1004,6,FALSE)</f>
        <v>#N/A</v>
      </c>
      <c r="L114" s="147"/>
      <c r="M114" s="27" t="e">
        <f t="shared" si="7"/>
        <v>#N/A</v>
      </c>
      <c r="N114" s="27" t="str">
        <f t="shared" si="8"/>
        <v/>
      </c>
    </row>
    <row r="115" spans="1:14" x14ac:dyDescent="0.3">
      <c r="A115" s="75"/>
      <c r="B115" s="38" t="s">
        <v>108</v>
      </c>
      <c r="C115" s="39"/>
      <c r="D115" s="30"/>
      <c r="E115" s="30"/>
      <c r="F115" s="30"/>
      <c r="G115" s="30"/>
      <c r="H115" s="30"/>
      <c r="I115" s="30"/>
      <c r="J115" s="30"/>
      <c r="K115" s="26"/>
      <c r="L115" s="30"/>
      <c r="M115" s="27"/>
      <c r="N115" s="27"/>
    </row>
    <row r="116" spans="1:14" ht="15.6" customHeight="1" x14ac:dyDescent="0.3">
      <c r="A116" s="115" t="s">
        <v>109</v>
      </c>
      <c r="B116" s="174" t="s">
        <v>242</v>
      </c>
      <c r="C116" s="175"/>
      <c r="D116" s="176"/>
      <c r="E116" s="132" t="s">
        <v>110</v>
      </c>
      <c r="F116" s="164" t="s">
        <v>53</v>
      </c>
      <c r="G116" s="76" t="s">
        <v>112</v>
      </c>
      <c r="H116" s="76" t="s">
        <v>113</v>
      </c>
      <c r="I116" s="76" t="s">
        <v>112</v>
      </c>
      <c r="J116" s="76" t="s">
        <v>191</v>
      </c>
      <c r="K116" s="26">
        <f>VLOOKUP($B$116&amp;J116&amp;$F$116,TXRESULT!$A$1:$I$1004,6,FALSE)</f>
        <v>0</v>
      </c>
      <c r="L116" s="145" t="s">
        <v>114</v>
      </c>
      <c r="M116" s="27" t="str">
        <f t="shared" si="7"/>
        <v>FAIL</v>
      </c>
      <c r="N116" s="27" t="str">
        <f t="shared" si="8"/>
        <v/>
      </c>
    </row>
    <row r="117" spans="1:14" x14ac:dyDescent="0.3">
      <c r="A117" s="116"/>
      <c r="B117" s="177"/>
      <c r="C117" s="178"/>
      <c r="D117" s="179"/>
      <c r="E117" s="119"/>
      <c r="F117" s="165"/>
      <c r="G117" s="76" t="s">
        <v>112</v>
      </c>
      <c r="H117" s="76" t="s">
        <v>113</v>
      </c>
      <c r="I117" s="76" t="s">
        <v>112</v>
      </c>
      <c r="J117" s="76" t="s">
        <v>192</v>
      </c>
      <c r="K117" s="26">
        <f>VLOOKUP($B$116&amp;J117&amp;$F$116,TXRESULT!$A$1:$I$1004,6,FALSE)</f>
        <v>0</v>
      </c>
      <c r="L117" s="146"/>
      <c r="M117" s="27" t="str">
        <f t="shared" si="7"/>
        <v>FAIL</v>
      </c>
      <c r="N117" s="27" t="str">
        <f t="shared" si="8"/>
        <v/>
      </c>
    </row>
    <row r="118" spans="1:14" x14ac:dyDescent="0.3">
      <c r="A118" s="116"/>
      <c r="B118" s="177"/>
      <c r="C118" s="178"/>
      <c r="D118" s="179"/>
      <c r="E118" s="119"/>
      <c r="F118" s="165"/>
      <c r="G118" s="76" t="s">
        <v>112</v>
      </c>
      <c r="H118" s="76" t="s">
        <v>113</v>
      </c>
      <c r="I118" s="76" t="s">
        <v>112</v>
      </c>
      <c r="J118" s="76" t="s">
        <v>193</v>
      </c>
      <c r="K118" s="26">
        <f>VLOOKUP($B$116&amp;J118&amp;$F$116,TXRESULT!$A$1:$I$1004,6,FALSE)</f>
        <v>0</v>
      </c>
      <c r="L118" s="146"/>
      <c r="M118" s="27" t="str">
        <f t="shared" si="7"/>
        <v>FAIL</v>
      </c>
      <c r="N118" s="27" t="str">
        <f t="shared" si="8"/>
        <v/>
      </c>
    </row>
    <row r="119" spans="1:14" x14ac:dyDescent="0.3">
      <c r="A119" s="116"/>
      <c r="B119" s="177"/>
      <c r="C119" s="178"/>
      <c r="D119" s="179"/>
      <c r="E119" s="119"/>
      <c r="F119" s="165"/>
      <c r="G119" s="76" t="s">
        <v>112</v>
      </c>
      <c r="H119" s="76" t="s">
        <v>113</v>
      </c>
      <c r="I119" s="76" t="s">
        <v>112</v>
      </c>
      <c r="J119" s="76" t="s">
        <v>194</v>
      </c>
      <c r="K119" s="26">
        <f>VLOOKUP($B$116&amp;J119&amp;$F$116,TXRESULT!$A$1:$I$1004,6,FALSE)</f>
        <v>0</v>
      </c>
      <c r="L119" s="146"/>
      <c r="M119" s="27" t="str">
        <f t="shared" si="7"/>
        <v>FAIL</v>
      </c>
      <c r="N119" s="27" t="str">
        <f t="shared" si="8"/>
        <v/>
      </c>
    </row>
    <row r="120" spans="1:14" x14ac:dyDescent="0.3">
      <c r="A120" s="116"/>
      <c r="B120" s="177"/>
      <c r="C120" s="178"/>
      <c r="D120" s="179"/>
      <c r="E120" s="119"/>
      <c r="F120" s="165"/>
      <c r="G120" s="76" t="s">
        <v>112</v>
      </c>
      <c r="H120" s="76" t="s">
        <v>113</v>
      </c>
      <c r="I120" s="76" t="s">
        <v>112</v>
      </c>
      <c r="J120" s="76" t="s">
        <v>195</v>
      </c>
      <c r="K120" s="26">
        <f>VLOOKUP($B$116&amp;J120&amp;$F$116,TXRESULT!$A$1:$I$1004,6,FALSE)</f>
        <v>0</v>
      </c>
      <c r="L120" s="146"/>
      <c r="M120" s="27" t="str">
        <f t="shared" si="7"/>
        <v>FAIL</v>
      </c>
      <c r="N120" s="27" t="str">
        <f t="shared" si="8"/>
        <v/>
      </c>
    </row>
    <row r="121" spans="1:14" x14ac:dyDescent="0.3">
      <c r="A121" s="116"/>
      <c r="B121" s="177"/>
      <c r="C121" s="178"/>
      <c r="D121" s="179"/>
      <c r="E121" s="119"/>
      <c r="F121" s="165"/>
      <c r="G121" s="76" t="s">
        <v>112</v>
      </c>
      <c r="H121" s="76" t="s">
        <v>113</v>
      </c>
      <c r="I121" s="76" t="s">
        <v>112</v>
      </c>
      <c r="J121" s="76" t="s">
        <v>196</v>
      </c>
      <c r="K121" s="26">
        <f>VLOOKUP($B$116&amp;J121&amp;$F$116,TXRESULT!$A$1:$I$1004,6,FALSE)</f>
        <v>0</v>
      </c>
      <c r="L121" s="146"/>
      <c r="M121" s="27" t="str">
        <f t="shared" si="7"/>
        <v>FAIL</v>
      </c>
      <c r="N121" s="27" t="str">
        <f t="shared" si="8"/>
        <v/>
      </c>
    </row>
    <row r="122" spans="1:14" x14ac:dyDescent="0.3">
      <c r="A122" s="116"/>
      <c r="B122" s="177"/>
      <c r="C122" s="178"/>
      <c r="D122" s="179"/>
      <c r="E122" s="119"/>
      <c r="F122" s="165"/>
      <c r="G122" s="76" t="s">
        <v>112</v>
      </c>
      <c r="H122" s="76" t="s">
        <v>113</v>
      </c>
      <c r="I122" s="76" t="s">
        <v>112</v>
      </c>
      <c r="J122" s="76" t="s">
        <v>197</v>
      </c>
      <c r="K122" s="26">
        <f>VLOOKUP($B$116&amp;J122&amp;$F$116,TXRESULT!$A$1:$I$1004,6,FALSE)</f>
        <v>0</v>
      </c>
      <c r="L122" s="146"/>
      <c r="M122" s="27" t="str">
        <f t="shared" si="7"/>
        <v>FAIL</v>
      </c>
      <c r="N122" s="27" t="str">
        <f t="shared" si="8"/>
        <v/>
      </c>
    </row>
    <row r="123" spans="1:14" x14ac:dyDescent="0.3">
      <c r="A123" s="117"/>
      <c r="B123" s="180"/>
      <c r="C123" s="181"/>
      <c r="D123" s="182"/>
      <c r="E123" s="120"/>
      <c r="F123" s="166"/>
      <c r="G123" s="76" t="s">
        <v>112</v>
      </c>
      <c r="H123" s="76" t="s">
        <v>113</v>
      </c>
      <c r="I123" s="76" t="s">
        <v>112</v>
      </c>
      <c r="J123" s="76" t="s">
        <v>198</v>
      </c>
      <c r="K123" s="26">
        <f>VLOOKUP($B$116&amp;J123&amp;$F$116,TXRESULT!$A$1:$I$1004,6,FALSE)</f>
        <v>0</v>
      </c>
      <c r="L123" s="147"/>
      <c r="M123" s="27" t="str">
        <f t="shared" si="7"/>
        <v>FAIL</v>
      </c>
      <c r="N123" s="27" t="str">
        <f t="shared" si="8"/>
        <v/>
      </c>
    </row>
    <row r="124" spans="1:14" ht="15.6" customHeight="1" x14ac:dyDescent="0.3">
      <c r="A124" s="115" t="s">
        <v>115</v>
      </c>
      <c r="B124" s="174" t="s">
        <v>243</v>
      </c>
      <c r="C124" s="175"/>
      <c r="D124" s="176"/>
      <c r="E124" s="132" t="s">
        <v>116</v>
      </c>
      <c r="F124" s="164" t="s">
        <v>111</v>
      </c>
      <c r="G124" s="76" t="s">
        <v>117</v>
      </c>
      <c r="H124" s="76" t="s">
        <v>117</v>
      </c>
      <c r="I124" s="76" t="s">
        <v>118</v>
      </c>
      <c r="J124" s="76" t="s">
        <v>191</v>
      </c>
      <c r="K124" s="26">
        <f t="array" ref="K124">MIN(IF((LEFT(TXRESULT!$C$1:$C$1004,30)='CH25-CH32'!$B$124)*(TXRESULT!$B$1:$B$1004='CH25-CH32'!J124),TXRESULT!$F$1:$F$1004,""))</f>
        <v>49.5</v>
      </c>
      <c r="L124" s="145" t="s">
        <v>119</v>
      </c>
      <c r="M124" s="27" t="str">
        <f t="shared" si="7"/>
        <v>PASS</v>
      </c>
      <c r="N124" s="27" t="str">
        <f t="shared" si="8"/>
        <v/>
      </c>
    </row>
    <row r="125" spans="1:14" x14ac:dyDescent="0.3">
      <c r="A125" s="116"/>
      <c r="B125" s="177"/>
      <c r="C125" s="178"/>
      <c r="D125" s="179"/>
      <c r="E125" s="119"/>
      <c r="F125" s="165"/>
      <c r="G125" s="76" t="str">
        <f>G124</f>
        <v>43.8</v>
      </c>
      <c r="H125" s="76" t="str">
        <f>H124</f>
        <v>43.8</v>
      </c>
      <c r="I125" s="76" t="s">
        <v>118</v>
      </c>
      <c r="J125" s="76" t="s">
        <v>192</v>
      </c>
      <c r="K125" s="26">
        <f t="array" ref="K125">MIN(IF((LEFT(TXRESULT!$C$1:$C$1004,30)='CH25-CH32'!$B$124)*(TXRESULT!$B$1:$B$1004='CH25-CH32'!J125),TXRESULT!$F$1:$F$1004,""))</f>
        <v>46.4</v>
      </c>
      <c r="L125" s="146"/>
      <c r="M125" s="27" t="str">
        <f t="shared" si="7"/>
        <v>PASS</v>
      </c>
      <c r="N125" s="27" t="str">
        <f t="shared" si="8"/>
        <v/>
      </c>
    </row>
    <row r="126" spans="1:14" x14ac:dyDescent="0.3">
      <c r="A126" s="116"/>
      <c r="B126" s="177"/>
      <c r="C126" s="178"/>
      <c r="D126" s="179"/>
      <c r="E126" s="119"/>
      <c r="F126" s="165"/>
      <c r="G126" s="76" t="str">
        <f>G124</f>
        <v>43.8</v>
      </c>
      <c r="H126" s="76" t="str">
        <f>H124</f>
        <v>43.8</v>
      </c>
      <c r="I126" s="76" t="s">
        <v>118</v>
      </c>
      <c r="J126" s="76" t="s">
        <v>193</v>
      </c>
      <c r="K126" s="26">
        <f t="array" ref="K126">MIN(IF((LEFT(TXRESULT!$C$1:$C$1004,30)='CH25-CH32'!$B$124)*(TXRESULT!$B$1:$B$1004='CH25-CH32'!J126),TXRESULT!$F$1:$F$1004,""))</f>
        <v>49.9</v>
      </c>
      <c r="L126" s="146"/>
      <c r="M126" s="27" t="str">
        <f t="shared" si="7"/>
        <v>PASS</v>
      </c>
      <c r="N126" s="27" t="str">
        <f t="shared" si="8"/>
        <v/>
      </c>
    </row>
    <row r="127" spans="1:14" x14ac:dyDescent="0.3">
      <c r="A127" s="116"/>
      <c r="B127" s="177"/>
      <c r="C127" s="178"/>
      <c r="D127" s="179"/>
      <c r="E127" s="119"/>
      <c r="F127" s="165"/>
      <c r="G127" s="76" t="str">
        <f>G124</f>
        <v>43.8</v>
      </c>
      <c r="H127" s="76" t="str">
        <f>H124</f>
        <v>43.8</v>
      </c>
      <c r="I127" s="76" t="s">
        <v>118</v>
      </c>
      <c r="J127" s="76" t="s">
        <v>194</v>
      </c>
      <c r="K127" s="26">
        <f t="array" ref="K127">MIN(IF((LEFT(TXRESULT!$C$1:$C$1004,30)='CH25-CH32'!$B$124)*(TXRESULT!$B$1:$B$1004='CH25-CH32'!J127),TXRESULT!$F$1:$F$1004,""))</f>
        <v>50.8</v>
      </c>
      <c r="L127" s="146"/>
      <c r="M127" s="27" t="str">
        <f t="shared" si="7"/>
        <v>PASS</v>
      </c>
      <c r="N127" s="27" t="str">
        <f t="shared" si="8"/>
        <v/>
      </c>
    </row>
    <row r="128" spans="1:14" x14ac:dyDescent="0.3">
      <c r="A128" s="116"/>
      <c r="B128" s="177"/>
      <c r="C128" s="178"/>
      <c r="D128" s="179"/>
      <c r="E128" s="119"/>
      <c r="F128" s="165"/>
      <c r="G128" s="76" t="str">
        <f>G124</f>
        <v>43.8</v>
      </c>
      <c r="H128" s="76" t="str">
        <f>H124</f>
        <v>43.8</v>
      </c>
      <c r="I128" s="76" t="s">
        <v>118</v>
      </c>
      <c r="J128" s="76" t="s">
        <v>195</v>
      </c>
      <c r="K128" s="26">
        <f t="array" ref="K128">MIN(IF((LEFT(TXRESULT!$C$1:$C$1004,30)='CH25-CH32'!$B$124)*(TXRESULT!$B$1:$B$1004='CH25-CH32'!J128),TXRESULT!$F$1:$F$1004,""))</f>
        <v>47.7</v>
      </c>
      <c r="L128" s="146"/>
      <c r="M128" s="27" t="str">
        <f t="shared" si="7"/>
        <v>PASS</v>
      </c>
      <c r="N128" s="27" t="str">
        <f t="shared" si="8"/>
        <v/>
      </c>
    </row>
    <row r="129" spans="1:14" x14ac:dyDescent="0.3">
      <c r="A129" s="116"/>
      <c r="B129" s="177"/>
      <c r="C129" s="178"/>
      <c r="D129" s="179"/>
      <c r="E129" s="119"/>
      <c r="F129" s="165"/>
      <c r="G129" s="76" t="str">
        <f>G124</f>
        <v>43.8</v>
      </c>
      <c r="H129" s="76" t="str">
        <f>H124</f>
        <v>43.8</v>
      </c>
      <c r="I129" s="76" t="s">
        <v>118</v>
      </c>
      <c r="J129" s="76" t="s">
        <v>196</v>
      </c>
      <c r="K129" s="26">
        <f t="array" ref="K129">MIN(IF((LEFT(TXRESULT!$C$1:$C$1004,30)='CH25-CH32'!$B$124)*(TXRESULT!$B$1:$B$1004='CH25-CH32'!J129),TXRESULT!$F$1:$F$1004,""))</f>
        <v>46.6</v>
      </c>
      <c r="L129" s="146"/>
      <c r="M129" s="27" t="str">
        <f t="shared" si="7"/>
        <v>PASS</v>
      </c>
      <c r="N129" s="27" t="str">
        <f t="shared" si="8"/>
        <v/>
      </c>
    </row>
    <row r="130" spans="1:14" x14ac:dyDescent="0.3">
      <c r="A130" s="116"/>
      <c r="B130" s="177"/>
      <c r="C130" s="178"/>
      <c r="D130" s="179"/>
      <c r="E130" s="119"/>
      <c r="F130" s="165"/>
      <c r="G130" s="76" t="str">
        <f>G124</f>
        <v>43.8</v>
      </c>
      <c r="H130" s="76" t="str">
        <f>H124</f>
        <v>43.8</v>
      </c>
      <c r="I130" s="76" t="s">
        <v>118</v>
      </c>
      <c r="J130" s="76" t="s">
        <v>197</v>
      </c>
      <c r="K130" s="26">
        <f t="array" ref="K130">MIN(IF((LEFT(TXRESULT!$C$1:$C$1004,30)='CH25-CH32'!$B$124)*(TXRESULT!$B$1:$B$1004='CH25-CH32'!J130),TXRESULT!$F$1:$F$1004,""))</f>
        <v>49.9</v>
      </c>
      <c r="L130" s="146"/>
      <c r="M130" s="27" t="str">
        <f>IF(ISBLANK(K130),"",IF(AND(K130*1&gt;H130*1,K130*1&lt;I130*1),"PASS","FAIL"))</f>
        <v>PASS</v>
      </c>
      <c r="N130" s="27" t="str">
        <f t="shared" si="8"/>
        <v/>
      </c>
    </row>
    <row r="131" spans="1:14" x14ac:dyDescent="0.3">
      <c r="A131" s="117"/>
      <c r="B131" s="180"/>
      <c r="C131" s="181"/>
      <c r="D131" s="182"/>
      <c r="E131" s="120"/>
      <c r="F131" s="166"/>
      <c r="G131" s="76" t="str">
        <f>G124</f>
        <v>43.8</v>
      </c>
      <c r="H131" s="76" t="str">
        <f>H124</f>
        <v>43.8</v>
      </c>
      <c r="I131" s="76" t="s">
        <v>118</v>
      </c>
      <c r="J131" s="76" t="s">
        <v>198</v>
      </c>
      <c r="K131" s="26">
        <f t="array" ref="K131">MIN(IF((LEFT(TXRESULT!$C$1:$C$1004,30)='CH25-CH32'!$B$124)*(TXRESULT!$B$1:$B$1004='CH25-CH32'!J131),TXRESULT!$F$1:$F$1004,""))</f>
        <v>50.8</v>
      </c>
      <c r="L131" s="147"/>
      <c r="M131" s="27" t="str">
        <f t="shared" si="7"/>
        <v>PASS</v>
      </c>
      <c r="N131" s="27" t="str">
        <f t="shared" si="8"/>
        <v/>
      </c>
    </row>
    <row r="132" spans="1:14" ht="15.75" customHeight="1" x14ac:dyDescent="0.3">
      <c r="A132" s="115" t="s">
        <v>120</v>
      </c>
      <c r="B132" s="174" t="s">
        <v>245</v>
      </c>
      <c r="C132" s="175"/>
      <c r="D132" s="176"/>
      <c r="E132" s="132" t="s">
        <v>52</v>
      </c>
      <c r="F132" s="164" t="s">
        <v>111</v>
      </c>
      <c r="G132" s="173" t="s">
        <v>121</v>
      </c>
      <c r="H132" s="124"/>
      <c r="I132" s="125"/>
      <c r="J132" s="76" t="s">
        <v>191</v>
      </c>
      <c r="K132" s="4">
        <f t="array" ref="K132">MAX(IF((LEFT(TXRESULT!$C$1:$C$1000,33)='CH25-CH32'!$B$132)*(TXRESULT!$B$1:$B$1000='CH25-CH32'!J132)*(TXRESULT!$K$1:$K$1000="OBUE1"),TXRESULT!$F$1:$F$1000,""))</f>
        <v>0</v>
      </c>
      <c r="L132" s="145" t="s">
        <v>122</v>
      </c>
      <c r="M132" s="27" t="str">
        <f>IF(ISBLANK(K132),"",IF(AND(K132*1&lt;-12.2),"PASS","FAIL"))</f>
        <v>FAIL</v>
      </c>
      <c r="N132" s="27" t="str">
        <f t="shared" si="8"/>
        <v/>
      </c>
    </row>
    <row r="133" spans="1:14" x14ac:dyDescent="0.3">
      <c r="A133" s="116"/>
      <c r="B133" s="177"/>
      <c r="C133" s="178"/>
      <c r="D133" s="179"/>
      <c r="E133" s="119"/>
      <c r="F133" s="165"/>
      <c r="G133" s="126"/>
      <c r="H133" s="127"/>
      <c r="I133" s="128"/>
      <c r="J133" s="76" t="s">
        <v>192</v>
      </c>
      <c r="K133" s="4">
        <f t="array" ref="K133">MAX(IF((LEFT(TXRESULT!$C$1:$C$1000,33)='CH25-CH32'!$B$132)*(TXRESULT!$B$1:$B$1000='CH25-CH32'!J133)*(TXRESULT!$K$1:$K$1000="OBUE1"),TXRESULT!$F$1:$F$1000,""))</f>
        <v>0</v>
      </c>
      <c r="L133" s="146"/>
      <c r="M133" s="27" t="str">
        <f t="shared" ref="M133:M147" si="9">IF(ISBLANK(K133),"",IF(AND(K133*1&lt;-12.2),"PASS","FAIL"))</f>
        <v>FAIL</v>
      </c>
      <c r="N133" s="27" t="str">
        <f t="shared" si="8"/>
        <v/>
      </c>
    </row>
    <row r="134" spans="1:14" x14ac:dyDescent="0.3">
      <c r="A134" s="116"/>
      <c r="B134" s="177"/>
      <c r="C134" s="178"/>
      <c r="D134" s="179"/>
      <c r="E134" s="119"/>
      <c r="F134" s="165"/>
      <c r="G134" s="126"/>
      <c r="H134" s="127"/>
      <c r="I134" s="128"/>
      <c r="J134" s="76" t="s">
        <v>193</v>
      </c>
      <c r="K134" s="4">
        <f t="array" ref="K134">MAX(IF((LEFT(TXRESULT!$C$1:$C$1000,33)='CH25-CH32'!$B$132)*(TXRESULT!$B$1:$B$1000='CH25-CH32'!J134)*(TXRESULT!$K$1:$K$1000="OBUE1"),TXRESULT!$F$1:$F$1000,""))</f>
        <v>0</v>
      </c>
      <c r="L134" s="146"/>
      <c r="M134" s="27" t="str">
        <f t="shared" si="9"/>
        <v>FAIL</v>
      </c>
      <c r="N134" s="27" t="str">
        <f t="shared" si="8"/>
        <v/>
      </c>
    </row>
    <row r="135" spans="1:14" x14ac:dyDescent="0.3">
      <c r="A135" s="116"/>
      <c r="B135" s="177"/>
      <c r="C135" s="178"/>
      <c r="D135" s="179"/>
      <c r="E135" s="119"/>
      <c r="F135" s="165"/>
      <c r="G135" s="126"/>
      <c r="H135" s="127"/>
      <c r="I135" s="128"/>
      <c r="J135" s="76" t="s">
        <v>194</v>
      </c>
      <c r="K135" s="4">
        <f t="array" ref="K135">MAX(IF((LEFT(TXRESULT!$C$1:$C$1000,33)='CH25-CH32'!$B$132)*(TXRESULT!$B$1:$B$1000='CH25-CH32'!J135)*(TXRESULT!$K$1:$K$1000="OBUE1"),TXRESULT!$F$1:$F$1000,""))</f>
        <v>0</v>
      </c>
      <c r="L135" s="146"/>
      <c r="M135" s="27" t="str">
        <f t="shared" si="9"/>
        <v>FAIL</v>
      </c>
      <c r="N135" s="27" t="str">
        <f t="shared" si="8"/>
        <v/>
      </c>
    </row>
    <row r="136" spans="1:14" x14ac:dyDescent="0.3">
      <c r="A136" s="116"/>
      <c r="B136" s="177"/>
      <c r="C136" s="178"/>
      <c r="D136" s="179"/>
      <c r="E136" s="119"/>
      <c r="F136" s="165"/>
      <c r="G136" s="126"/>
      <c r="H136" s="127"/>
      <c r="I136" s="128"/>
      <c r="J136" s="76" t="s">
        <v>195</v>
      </c>
      <c r="K136" s="4">
        <f t="array" ref="K136">MAX(IF((LEFT(TXRESULT!$C$1:$C$1000,33)='CH25-CH32'!$B$132)*(TXRESULT!$B$1:$B$1000='CH25-CH32'!J136)*(TXRESULT!$K$1:$K$1000="OBUE1"),TXRESULT!$F$1:$F$1000,""))</f>
        <v>0</v>
      </c>
      <c r="L136" s="146"/>
      <c r="M136" s="27" t="str">
        <f t="shared" si="9"/>
        <v>FAIL</v>
      </c>
      <c r="N136" s="27" t="str">
        <f t="shared" si="8"/>
        <v/>
      </c>
    </row>
    <row r="137" spans="1:14" x14ac:dyDescent="0.3">
      <c r="A137" s="116"/>
      <c r="B137" s="177"/>
      <c r="C137" s="178"/>
      <c r="D137" s="179"/>
      <c r="E137" s="119"/>
      <c r="F137" s="165"/>
      <c r="G137" s="126"/>
      <c r="H137" s="127"/>
      <c r="I137" s="128"/>
      <c r="J137" s="76" t="s">
        <v>196</v>
      </c>
      <c r="K137" s="4">
        <f t="array" ref="K137">MAX(IF((LEFT(TXRESULT!$C$1:$C$1000,33)='CH25-CH32'!$B$132)*(TXRESULT!$B$1:$B$1000='CH25-CH32'!J137)*(TXRESULT!$K$1:$K$1000="OBUE1"),TXRESULT!$F$1:$F$1000,""))</f>
        <v>0</v>
      </c>
      <c r="L137" s="146"/>
      <c r="M137" s="27" t="str">
        <f t="shared" si="9"/>
        <v>FAIL</v>
      </c>
      <c r="N137" s="27" t="str">
        <f t="shared" si="8"/>
        <v/>
      </c>
    </row>
    <row r="138" spans="1:14" x14ac:dyDescent="0.3">
      <c r="A138" s="116"/>
      <c r="B138" s="177"/>
      <c r="C138" s="178"/>
      <c r="D138" s="179"/>
      <c r="E138" s="119"/>
      <c r="F138" s="165"/>
      <c r="G138" s="126"/>
      <c r="H138" s="127"/>
      <c r="I138" s="128"/>
      <c r="J138" s="76" t="s">
        <v>197</v>
      </c>
      <c r="K138" s="4">
        <f t="array" ref="K138">MAX(IF((LEFT(TXRESULT!$C$1:$C$1000,33)='CH25-CH32'!$B$132)*(TXRESULT!$B$1:$B$1000='CH25-CH32'!J138)*(TXRESULT!$K$1:$K$1000="OBUE1"),TXRESULT!$F$1:$F$1000,""))</f>
        <v>0</v>
      </c>
      <c r="L138" s="146"/>
      <c r="M138" s="27" t="str">
        <f t="shared" si="9"/>
        <v>FAIL</v>
      </c>
      <c r="N138" s="27" t="str">
        <f t="shared" si="8"/>
        <v/>
      </c>
    </row>
    <row r="139" spans="1:14" x14ac:dyDescent="0.3">
      <c r="A139" s="116"/>
      <c r="B139" s="177"/>
      <c r="C139" s="178"/>
      <c r="D139" s="179"/>
      <c r="E139" s="120"/>
      <c r="F139" s="165"/>
      <c r="G139" s="129"/>
      <c r="H139" s="130"/>
      <c r="I139" s="131"/>
      <c r="J139" s="76" t="s">
        <v>198</v>
      </c>
      <c r="K139" s="4">
        <f t="array" ref="K139">MAX(IF((LEFT(TXRESULT!$C$1:$C$1000,33)='CH25-CH32'!$B$132)*(TXRESULT!$B$1:$B$1000='CH25-CH32'!J139)*(TXRESULT!$K$1:$K$1000="OBUE1"),TXRESULT!$F$1:$F$1000,""))</f>
        <v>0</v>
      </c>
      <c r="L139" s="147"/>
      <c r="M139" s="27" t="str">
        <f t="shared" si="9"/>
        <v>FAIL</v>
      </c>
      <c r="N139" s="27" t="str">
        <f t="shared" si="8"/>
        <v/>
      </c>
    </row>
    <row r="140" spans="1:14" ht="15.75" customHeight="1" x14ac:dyDescent="0.3">
      <c r="A140" s="116"/>
      <c r="B140" s="177"/>
      <c r="C140" s="178"/>
      <c r="D140" s="179"/>
      <c r="E140" s="132" t="s">
        <v>52</v>
      </c>
      <c r="F140" s="165"/>
      <c r="G140" s="173" t="s">
        <v>123</v>
      </c>
      <c r="H140" s="124"/>
      <c r="I140" s="125"/>
      <c r="J140" s="76" t="s">
        <v>191</v>
      </c>
      <c r="K140" s="4">
        <f t="array" ref="K140">MAX(IF((LEFT(TXRESULT!$C$1:$C$1000,33)='CH25-CH32'!$B$132)*(TXRESULT!$B$1:$B$1000='CH25-CH32'!J140)*(TXRESULT!$K$1:$K$1000="OBUE2"),TXRESULT!$F$1:$F$1000,""))</f>
        <v>0</v>
      </c>
      <c r="L140" s="145" t="s">
        <v>122</v>
      </c>
      <c r="M140" s="27" t="str">
        <f t="shared" si="9"/>
        <v>FAIL</v>
      </c>
      <c r="N140" s="27" t="str">
        <f t="shared" si="8"/>
        <v/>
      </c>
    </row>
    <row r="141" spans="1:14" x14ac:dyDescent="0.3">
      <c r="A141" s="116"/>
      <c r="B141" s="177"/>
      <c r="C141" s="178"/>
      <c r="D141" s="179"/>
      <c r="E141" s="119"/>
      <c r="F141" s="165"/>
      <c r="G141" s="126"/>
      <c r="H141" s="127"/>
      <c r="I141" s="128"/>
      <c r="J141" s="76" t="s">
        <v>192</v>
      </c>
      <c r="K141" s="4">
        <f t="array" ref="K141">MAX(IF((LEFT(TXRESULT!$C$1:$C$1000,33)='CH25-CH32'!$B$132)*(TXRESULT!$B$1:$B$1000='CH25-CH32'!J141)*(TXRESULT!$K$1:$K$1000="OBUE2"),TXRESULT!$F$1:$F$1000,""))</f>
        <v>0</v>
      </c>
      <c r="L141" s="146"/>
      <c r="M141" s="27" t="str">
        <f t="shared" si="9"/>
        <v>FAIL</v>
      </c>
      <c r="N141" s="27" t="str">
        <f t="shared" si="8"/>
        <v/>
      </c>
    </row>
    <row r="142" spans="1:14" x14ac:dyDescent="0.3">
      <c r="A142" s="116"/>
      <c r="B142" s="177"/>
      <c r="C142" s="178"/>
      <c r="D142" s="179"/>
      <c r="E142" s="119"/>
      <c r="F142" s="165"/>
      <c r="G142" s="126"/>
      <c r="H142" s="127"/>
      <c r="I142" s="128"/>
      <c r="J142" s="76" t="s">
        <v>193</v>
      </c>
      <c r="K142" s="4">
        <f t="array" ref="K142">MAX(IF((LEFT(TXRESULT!$C$1:$C$1000,33)='CH25-CH32'!$B$132)*(TXRESULT!$B$1:$B$1000='CH25-CH32'!J142)*(TXRESULT!$K$1:$K$1000="OBUE2"),TXRESULT!$F$1:$F$1000,""))</f>
        <v>0</v>
      </c>
      <c r="L142" s="146"/>
      <c r="M142" s="27" t="str">
        <f t="shared" si="9"/>
        <v>FAIL</v>
      </c>
      <c r="N142" s="27" t="str">
        <f t="shared" si="8"/>
        <v/>
      </c>
    </row>
    <row r="143" spans="1:14" x14ac:dyDescent="0.3">
      <c r="A143" s="116"/>
      <c r="B143" s="177"/>
      <c r="C143" s="178"/>
      <c r="D143" s="179"/>
      <c r="E143" s="119"/>
      <c r="F143" s="165"/>
      <c r="G143" s="126"/>
      <c r="H143" s="127"/>
      <c r="I143" s="128"/>
      <c r="J143" s="76" t="s">
        <v>194</v>
      </c>
      <c r="K143" s="4">
        <f t="array" ref="K143">MAX(IF((LEFT(TXRESULT!$C$1:$C$1000,33)='CH25-CH32'!$B$132)*(TXRESULT!$B$1:$B$1000='CH25-CH32'!J143)*(TXRESULT!$K$1:$K$1000="OBUE2"),TXRESULT!$F$1:$F$1000,""))</f>
        <v>0</v>
      </c>
      <c r="L143" s="146"/>
      <c r="M143" s="27" t="str">
        <f t="shared" si="9"/>
        <v>FAIL</v>
      </c>
      <c r="N143" s="27" t="str">
        <f t="shared" si="8"/>
        <v/>
      </c>
    </row>
    <row r="144" spans="1:14" x14ac:dyDescent="0.3">
      <c r="A144" s="116"/>
      <c r="B144" s="177"/>
      <c r="C144" s="178"/>
      <c r="D144" s="179"/>
      <c r="E144" s="119"/>
      <c r="F144" s="165"/>
      <c r="G144" s="126"/>
      <c r="H144" s="127"/>
      <c r="I144" s="128"/>
      <c r="J144" s="76" t="s">
        <v>195</v>
      </c>
      <c r="K144" s="4">
        <f t="array" ref="K144">MAX(IF((LEFT(TXRESULT!$C$1:$C$1000,33)='CH25-CH32'!$B$132)*(TXRESULT!$B$1:$B$1000='CH25-CH32'!J144)*(TXRESULT!$K$1:$K$1000="OBUE2"),TXRESULT!$F$1:$F$1000,""))</f>
        <v>0</v>
      </c>
      <c r="L144" s="146"/>
      <c r="M144" s="27" t="str">
        <f t="shared" si="9"/>
        <v>FAIL</v>
      </c>
      <c r="N144" s="27" t="str">
        <f t="shared" si="8"/>
        <v/>
      </c>
    </row>
    <row r="145" spans="1:14" x14ac:dyDescent="0.3">
      <c r="A145" s="116"/>
      <c r="B145" s="177"/>
      <c r="C145" s="178"/>
      <c r="D145" s="179"/>
      <c r="E145" s="119"/>
      <c r="F145" s="165"/>
      <c r="G145" s="126"/>
      <c r="H145" s="127"/>
      <c r="I145" s="128"/>
      <c r="J145" s="76" t="s">
        <v>196</v>
      </c>
      <c r="K145" s="4">
        <f t="array" ref="K145">MAX(IF((LEFT(TXRESULT!$C$1:$C$1000,33)='CH25-CH32'!$B$132)*(TXRESULT!$B$1:$B$1000='CH25-CH32'!J145)*(TXRESULT!$K$1:$K$1000="OBUE2"),TXRESULT!$F$1:$F$1000,""))</f>
        <v>0</v>
      </c>
      <c r="L145" s="146"/>
      <c r="M145" s="27" t="str">
        <f t="shared" si="9"/>
        <v>FAIL</v>
      </c>
      <c r="N145" s="27" t="str">
        <f t="shared" si="8"/>
        <v/>
      </c>
    </row>
    <row r="146" spans="1:14" x14ac:dyDescent="0.3">
      <c r="A146" s="116"/>
      <c r="B146" s="177"/>
      <c r="C146" s="178"/>
      <c r="D146" s="179"/>
      <c r="E146" s="119"/>
      <c r="F146" s="165"/>
      <c r="G146" s="126"/>
      <c r="H146" s="127"/>
      <c r="I146" s="128"/>
      <c r="J146" s="76" t="s">
        <v>197</v>
      </c>
      <c r="K146" s="4">
        <f t="array" ref="K146">MAX(IF((LEFT(TXRESULT!$C$1:$C$1000,33)='CH25-CH32'!$B$132)*(TXRESULT!$B$1:$B$1000='CH25-CH32'!J146)*(TXRESULT!$K$1:$K$1000="OBUE2"),TXRESULT!$F$1:$F$1000,""))</f>
        <v>0</v>
      </c>
      <c r="L146" s="146"/>
      <c r="M146" s="27" t="str">
        <f t="shared" si="9"/>
        <v>FAIL</v>
      </c>
      <c r="N146" s="27" t="str">
        <f t="shared" si="8"/>
        <v/>
      </c>
    </row>
    <row r="147" spans="1:14" x14ac:dyDescent="0.3">
      <c r="A147" s="116"/>
      <c r="B147" s="177"/>
      <c r="C147" s="178"/>
      <c r="D147" s="179"/>
      <c r="E147" s="120"/>
      <c r="F147" s="165"/>
      <c r="G147" s="129"/>
      <c r="H147" s="130"/>
      <c r="I147" s="131"/>
      <c r="J147" s="76" t="s">
        <v>198</v>
      </c>
      <c r="K147" s="4">
        <f t="array" ref="K147">MAX(IF((LEFT(TXRESULT!$C$1:$C$1000,33)='CH25-CH32'!$B$132)*(TXRESULT!$B$1:$B$1000='CH25-CH32'!J147)*(TXRESULT!$K$1:$K$1000="OBUE2"),TXRESULT!$F$1:$F$1000,""))</f>
        <v>0</v>
      </c>
      <c r="L147" s="147"/>
      <c r="M147" s="27" t="str">
        <f t="shared" si="9"/>
        <v>FAIL</v>
      </c>
      <c r="N147" s="27" t="str">
        <f t="shared" si="8"/>
        <v/>
      </c>
    </row>
    <row r="148" spans="1:14" ht="15.75" customHeight="1" x14ac:dyDescent="0.3">
      <c r="A148" s="116"/>
      <c r="B148" s="177"/>
      <c r="C148" s="178"/>
      <c r="D148" s="179"/>
      <c r="E148" s="132" t="s">
        <v>52</v>
      </c>
      <c r="F148" s="165"/>
      <c r="G148" s="173" t="s">
        <v>124</v>
      </c>
      <c r="H148" s="124"/>
      <c r="I148" s="125"/>
      <c r="J148" s="76" t="s">
        <v>191</v>
      </c>
      <c r="K148" s="4">
        <f t="array" ref="K148">MAX(IF((LEFT(TXRESULT!$C$1:$C$1000,33)='CH25-CH32'!$B$132)*(TXRESULT!$B$1:$B$1000='CH25-CH32'!J148)*(TXRESULT!$K$1:$K$1000="OBUE3"),TXRESULT!$F$1:$F$1000,""))</f>
        <v>0</v>
      </c>
      <c r="L148" s="145" t="s">
        <v>122</v>
      </c>
      <c r="M148" s="27" t="str">
        <f>IF(ISBLANK(K148),"",IF(AND(K148*1&lt;-15),"PASS","FAIL"))</f>
        <v>FAIL</v>
      </c>
      <c r="N148" s="27" t="str">
        <f t="shared" si="8"/>
        <v/>
      </c>
    </row>
    <row r="149" spans="1:14" x14ac:dyDescent="0.3">
      <c r="A149" s="116"/>
      <c r="B149" s="177"/>
      <c r="C149" s="178"/>
      <c r="D149" s="179"/>
      <c r="E149" s="119"/>
      <c r="F149" s="165"/>
      <c r="G149" s="126"/>
      <c r="H149" s="127"/>
      <c r="I149" s="128"/>
      <c r="J149" s="76" t="s">
        <v>192</v>
      </c>
      <c r="K149" s="4">
        <f t="array" ref="K149">MAX(IF((LEFT(TXRESULT!$C$1:$C$1000,33)='CH25-CH32'!$B$132)*(TXRESULT!$B$1:$B$1000='CH25-CH32'!J149)*(TXRESULT!$K$1:$K$1000="OBUE3"),TXRESULT!$F$1:$F$1000,""))</f>
        <v>0</v>
      </c>
      <c r="L149" s="146"/>
      <c r="M149" s="27" t="str">
        <f t="shared" ref="M149:M155" si="10">IF(ISBLANK(K149),"",IF(AND(K149*1&lt;-15),"PASS","FAIL"))</f>
        <v>FAIL</v>
      </c>
      <c r="N149" s="27" t="str">
        <f t="shared" si="8"/>
        <v/>
      </c>
    </row>
    <row r="150" spans="1:14" x14ac:dyDescent="0.3">
      <c r="A150" s="116"/>
      <c r="B150" s="177"/>
      <c r="C150" s="178"/>
      <c r="D150" s="179"/>
      <c r="E150" s="119"/>
      <c r="F150" s="165"/>
      <c r="G150" s="126"/>
      <c r="H150" s="127"/>
      <c r="I150" s="128"/>
      <c r="J150" s="76" t="s">
        <v>193</v>
      </c>
      <c r="K150" s="4">
        <f t="array" ref="K150">MAX(IF((LEFT(TXRESULT!$C$1:$C$1000,33)='CH25-CH32'!$B$132)*(TXRESULT!$B$1:$B$1000='CH25-CH32'!J150)*(TXRESULT!$K$1:$K$1000="OBUE3"),TXRESULT!$F$1:$F$1000,""))</f>
        <v>0</v>
      </c>
      <c r="L150" s="146"/>
      <c r="M150" s="27" t="str">
        <f t="shared" si="10"/>
        <v>FAIL</v>
      </c>
      <c r="N150" s="27" t="str">
        <f t="shared" si="8"/>
        <v/>
      </c>
    </row>
    <row r="151" spans="1:14" x14ac:dyDescent="0.3">
      <c r="A151" s="116"/>
      <c r="B151" s="177"/>
      <c r="C151" s="178"/>
      <c r="D151" s="179"/>
      <c r="E151" s="119"/>
      <c r="F151" s="165"/>
      <c r="G151" s="126"/>
      <c r="H151" s="127"/>
      <c r="I151" s="128"/>
      <c r="J151" s="76" t="s">
        <v>194</v>
      </c>
      <c r="K151" s="4">
        <f t="array" ref="K151">MAX(IF((LEFT(TXRESULT!$C$1:$C$1000,33)='CH25-CH32'!$B$132)*(TXRESULT!$B$1:$B$1000='CH25-CH32'!J151)*(TXRESULT!$K$1:$K$1000="OBUE3"),TXRESULT!$F$1:$F$1000,""))</f>
        <v>0</v>
      </c>
      <c r="L151" s="146"/>
      <c r="M151" s="27" t="str">
        <f t="shared" si="10"/>
        <v>FAIL</v>
      </c>
      <c r="N151" s="27" t="str">
        <f t="shared" si="8"/>
        <v/>
      </c>
    </row>
    <row r="152" spans="1:14" x14ac:dyDescent="0.3">
      <c r="A152" s="116"/>
      <c r="B152" s="177"/>
      <c r="C152" s="178"/>
      <c r="D152" s="179"/>
      <c r="E152" s="119"/>
      <c r="F152" s="165"/>
      <c r="G152" s="126"/>
      <c r="H152" s="127"/>
      <c r="I152" s="128"/>
      <c r="J152" s="76" t="s">
        <v>195</v>
      </c>
      <c r="K152" s="4">
        <f t="array" ref="K152">MAX(IF((LEFT(TXRESULT!$C$1:$C$1000,33)='CH25-CH32'!$B$132)*(TXRESULT!$B$1:$B$1000='CH25-CH32'!J152)*(TXRESULT!$K$1:$K$1000="OBUE3"),TXRESULT!$F$1:$F$1000,""))</f>
        <v>0</v>
      </c>
      <c r="L152" s="146"/>
      <c r="M152" s="27" t="str">
        <f t="shared" si="10"/>
        <v>FAIL</v>
      </c>
      <c r="N152" s="27" t="str">
        <f t="shared" si="8"/>
        <v/>
      </c>
    </row>
    <row r="153" spans="1:14" x14ac:dyDescent="0.3">
      <c r="A153" s="116"/>
      <c r="B153" s="177"/>
      <c r="C153" s="178"/>
      <c r="D153" s="179"/>
      <c r="E153" s="119"/>
      <c r="F153" s="165"/>
      <c r="G153" s="126"/>
      <c r="H153" s="127"/>
      <c r="I153" s="128"/>
      <c r="J153" s="76" t="s">
        <v>196</v>
      </c>
      <c r="K153" s="4">
        <f t="array" ref="K153">MAX(IF((LEFT(TXRESULT!$C$1:$C$1000,33)='CH25-CH32'!$B$132)*(TXRESULT!$B$1:$B$1000='CH25-CH32'!J153)*(TXRESULT!$K$1:$K$1000="OBUE3"),TXRESULT!$F$1:$F$1000,""))</f>
        <v>0</v>
      </c>
      <c r="L153" s="146"/>
      <c r="M153" s="27" t="str">
        <f t="shared" si="10"/>
        <v>FAIL</v>
      </c>
      <c r="N153" s="27" t="str">
        <f t="shared" si="8"/>
        <v/>
      </c>
    </row>
    <row r="154" spans="1:14" x14ac:dyDescent="0.3">
      <c r="A154" s="116"/>
      <c r="B154" s="177"/>
      <c r="C154" s="178"/>
      <c r="D154" s="179"/>
      <c r="E154" s="119"/>
      <c r="F154" s="165"/>
      <c r="G154" s="126"/>
      <c r="H154" s="127"/>
      <c r="I154" s="128"/>
      <c r="J154" s="76" t="s">
        <v>197</v>
      </c>
      <c r="K154" s="4">
        <f t="array" ref="K154">MAX(IF((LEFT(TXRESULT!$C$1:$C$1000,33)='CH25-CH32'!$B$132)*(TXRESULT!$B$1:$B$1000='CH25-CH32'!J154)*(TXRESULT!$K$1:$K$1000="OBUE3"),TXRESULT!$F$1:$F$1000,""))</f>
        <v>0</v>
      </c>
      <c r="L154" s="146"/>
      <c r="M154" s="27" t="str">
        <f t="shared" si="10"/>
        <v>FAIL</v>
      </c>
      <c r="N154" s="27" t="str">
        <f t="shared" si="8"/>
        <v/>
      </c>
    </row>
    <row r="155" spans="1:14" x14ac:dyDescent="0.3">
      <c r="A155" s="117"/>
      <c r="B155" s="180"/>
      <c r="C155" s="181"/>
      <c r="D155" s="182"/>
      <c r="E155" s="120"/>
      <c r="F155" s="166"/>
      <c r="G155" s="129"/>
      <c r="H155" s="130"/>
      <c r="I155" s="131"/>
      <c r="J155" s="76" t="s">
        <v>198</v>
      </c>
      <c r="K155" s="4">
        <f t="array" ref="K155">MAX(IF((LEFT(TXRESULT!$C$1:$C$1000,33)='CH25-CH32'!$B$132)*(TXRESULT!$B$1:$B$1000='CH25-CH32'!J155)*(TXRESULT!$K$1:$K$1000="OBUE3"),TXRESULT!$F$1:$F$1000,""))</f>
        <v>0</v>
      </c>
      <c r="L155" s="147"/>
      <c r="M155" s="27" t="str">
        <f t="shared" si="10"/>
        <v>FAIL</v>
      </c>
      <c r="N155" s="27" t="str">
        <f t="shared" si="8"/>
        <v/>
      </c>
    </row>
    <row r="156" spans="1:14" ht="15.75" customHeight="1" x14ac:dyDescent="0.3">
      <c r="A156" s="115" t="s">
        <v>125</v>
      </c>
      <c r="B156" s="174" t="s">
        <v>260</v>
      </c>
      <c r="C156" s="175"/>
      <c r="D156" s="176"/>
      <c r="E156" s="132" t="s">
        <v>52</v>
      </c>
      <c r="F156" s="164" t="s">
        <v>53</v>
      </c>
      <c r="G156" s="123" t="s">
        <v>126</v>
      </c>
      <c r="H156" s="124"/>
      <c r="I156" s="125"/>
      <c r="J156" s="76" t="s">
        <v>191</v>
      </c>
      <c r="K156" s="27" t="e">
        <f t="array" ref="K156">INDEX(TXRESULT!$B$1:$I$1000,MATCH($B$156&amp;J156&amp;$F$156&amp;"SPUR1",TXRESULT!$C$1:$C$1000&amp;TXRESULT!$B$1:$B$1000&amp;TXRESULT!$H$1:$H$1000&amp;TXRESULT!$K$1:$K$1000,0),5)</f>
        <v>#N/A</v>
      </c>
      <c r="L156" s="145" t="s">
        <v>127</v>
      </c>
      <c r="M156" s="27" t="e">
        <f>IF(ISBLANK(K156),"",IF(AND(K156*1&lt;-36),"PASS","FAIL"))</f>
        <v>#N/A</v>
      </c>
      <c r="N156" s="27" t="str">
        <f t="shared" si="8"/>
        <v/>
      </c>
    </row>
    <row r="157" spans="1:14" x14ac:dyDescent="0.3">
      <c r="A157" s="116"/>
      <c r="B157" s="177"/>
      <c r="C157" s="178"/>
      <c r="D157" s="179"/>
      <c r="E157" s="119"/>
      <c r="F157" s="165"/>
      <c r="G157" s="126"/>
      <c r="H157" s="127"/>
      <c r="I157" s="128"/>
      <c r="J157" s="76" t="s">
        <v>192</v>
      </c>
      <c r="K157" s="27" t="e">
        <f t="array" ref="K157">INDEX(TXRESULT!$B$1:$I$1000,MATCH($B$156&amp;J157&amp;$F$156&amp;"SPUR1",TXRESULT!$C$1:$C$1000&amp;TXRESULT!$B$1:$B$1000&amp;TXRESULT!$H$1:$H$1000&amp;TXRESULT!$K$1:$K$1000,0),5)</f>
        <v>#N/A</v>
      </c>
      <c r="L157" s="146"/>
      <c r="M157" s="27" t="e">
        <f t="shared" ref="M157:M179" si="11">IF(ISBLANK(K157),"",IF(AND(K157*1&lt;-36),"PASS","FAIL"))</f>
        <v>#N/A</v>
      </c>
      <c r="N157" s="27" t="str">
        <f t="shared" si="8"/>
        <v/>
      </c>
    </row>
    <row r="158" spans="1:14" x14ac:dyDescent="0.3">
      <c r="A158" s="116"/>
      <c r="B158" s="177"/>
      <c r="C158" s="178"/>
      <c r="D158" s="179"/>
      <c r="E158" s="119"/>
      <c r="F158" s="165"/>
      <c r="G158" s="126"/>
      <c r="H158" s="127"/>
      <c r="I158" s="128"/>
      <c r="J158" s="76" t="s">
        <v>193</v>
      </c>
      <c r="K158" s="27" t="e">
        <f t="array" ref="K158">INDEX(TXRESULT!$B$1:$I$1000,MATCH($B$156&amp;J158&amp;$F$156&amp;"SPUR1",TXRESULT!$C$1:$C$1000&amp;TXRESULT!$B$1:$B$1000&amp;TXRESULT!$H$1:$H$1000&amp;TXRESULT!$K$1:$K$1000,0),5)</f>
        <v>#N/A</v>
      </c>
      <c r="L158" s="146"/>
      <c r="M158" s="27" t="e">
        <f t="shared" si="11"/>
        <v>#N/A</v>
      </c>
      <c r="N158" s="27" t="str">
        <f t="shared" si="8"/>
        <v/>
      </c>
    </row>
    <row r="159" spans="1:14" x14ac:dyDescent="0.3">
      <c r="A159" s="116"/>
      <c r="B159" s="177"/>
      <c r="C159" s="178"/>
      <c r="D159" s="179"/>
      <c r="E159" s="119"/>
      <c r="F159" s="165"/>
      <c r="G159" s="126"/>
      <c r="H159" s="127"/>
      <c r="I159" s="128"/>
      <c r="J159" s="76" t="s">
        <v>194</v>
      </c>
      <c r="K159" s="27" t="e">
        <f t="array" ref="K159">INDEX(TXRESULT!$B$1:$I$1000,MATCH($B$156&amp;J159&amp;$F$156&amp;"SPUR1",TXRESULT!$C$1:$C$1000&amp;TXRESULT!$B$1:$B$1000&amp;TXRESULT!$H$1:$H$1000&amp;TXRESULT!$K$1:$K$1000,0),5)</f>
        <v>#N/A</v>
      </c>
      <c r="L159" s="146"/>
      <c r="M159" s="27" t="e">
        <f t="shared" si="11"/>
        <v>#N/A</v>
      </c>
      <c r="N159" s="27" t="str">
        <f t="shared" si="8"/>
        <v/>
      </c>
    </row>
    <row r="160" spans="1:14" x14ac:dyDescent="0.3">
      <c r="A160" s="116"/>
      <c r="B160" s="177"/>
      <c r="C160" s="178"/>
      <c r="D160" s="179"/>
      <c r="E160" s="119"/>
      <c r="F160" s="165"/>
      <c r="G160" s="126"/>
      <c r="H160" s="127"/>
      <c r="I160" s="128"/>
      <c r="J160" s="76" t="s">
        <v>195</v>
      </c>
      <c r="K160" s="27" t="e">
        <f t="array" ref="K160">INDEX(TXRESULT!$B$1:$I$1000,MATCH($B$156&amp;J160&amp;$F$156&amp;"SPUR1",TXRESULT!$C$1:$C$1000&amp;TXRESULT!$B$1:$B$1000&amp;TXRESULT!$H$1:$H$1000&amp;TXRESULT!$K$1:$K$1000,0),5)</f>
        <v>#N/A</v>
      </c>
      <c r="L160" s="146"/>
      <c r="M160" s="27" t="e">
        <f t="shared" si="11"/>
        <v>#N/A</v>
      </c>
      <c r="N160" s="27" t="str">
        <f t="shared" si="8"/>
        <v/>
      </c>
    </row>
    <row r="161" spans="1:14" x14ac:dyDescent="0.3">
      <c r="A161" s="116"/>
      <c r="B161" s="177"/>
      <c r="C161" s="178"/>
      <c r="D161" s="179"/>
      <c r="E161" s="119"/>
      <c r="F161" s="165"/>
      <c r="G161" s="126"/>
      <c r="H161" s="127"/>
      <c r="I161" s="128"/>
      <c r="J161" s="76" t="s">
        <v>196</v>
      </c>
      <c r="K161" s="27" t="e">
        <f t="array" ref="K161">INDEX(TXRESULT!$B$1:$I$1000,MATCH($B$156&amp;J161&amp;$F$156&amp;"SPUR1",TXRESULT!$C$1:$C$1000&amp;TXRESULT!$B$1:$B$1000&amp;TXRESULT!$H$1:$H$1000&amp;TXRESULT!$K$1:$K$1000,0),5)</f>
        <v>#N/A</v>
      </c>
      <c r="L161" s="146"/>
      <c r="M161" s="27" t="e">
        <f t="shared" si="11"/>
        <v>#N/A</v>
      </c>
      <c r="N161" s="27" t="str">
        <f t="shared" ref="N161:N235" si="12">IF(ISBLANK(K161),"CHUADO","")</f>
        <v/>
      </c>
    </row>
    <row r="162" spans="1:14" x14ac:dyDescent="0.3">
      <c r="A162" s="116"/>
      <c r="B162" s="177"/>
      <c r="C162" s="178"/>
      <c r="D162" s="179"/>
      <c r="E162" s="119"/>
      <c r="F162" s="165"/>
      <c r="G162" s="126"/>
      <c r="H162" s="127"/>
      <c r="I162" s="128"/>
      <c r="J162" s="76" t="s">
        <v>197</v>
      </c>
      <c r="K162" s="27" t="e">
        <f t="array" ref="K162">INDEX(TXRESULT!$B$1:$I$1000,MATCH($B$156&amp;J162&amp;$F$156&amp;"SPUR1",TXRESULT!$C$1:$C$1000&amp;TXRESULT!$B$1:$B$1000&amp;TXRESULT!$H$1:$H$1000&amp;TXRESULT!$K$1:$K$1000,0),5)</f>
        <v>#N/A</v>
      </c>
      <c r="L162" s="146"/>
      <c r="M162" s="27" t="e">
        <f t="shared" si="11"/>
        <v>#N/A</v>
      </c>
      <c r="N162" s="27" t="str">
        <f t="shared" si="12"/>
        <v/>
      </c>
    </row>
    <row r="163" spans="1:14" x14ac:dyDescent="0.3">
      <c r="A163" s="116"/>
      <c r="B163" s="177"/>
      <c r="C163" s="178"/>
      <c r="D163" s="179"/>
      <c r="E163" s="120"/>
      <c r="F163" s="166"/>
      <c r="G163" s="129"/>
      <c r="H163" s="130"/>
      <c r="I163" s="131"/>
      <c r="J163" s="76" t="s">
        <v>198</v>
      </c>
      <c r="K163" s="27" t="e">
        <f t="array" ref="K163">INDEX(TXRESULT!$B$1:$I$1000,MATCH($B$156&amp;J163&amp;$F$156&amp;"SPUR1",TXRESULT!$C$1:$C$1000&amp;TXRESULT!$B$1:$B$1000&amp;TXRESULT!$H$1:$H$1000&amp;TXRESULT!$K$1:$K$1000,0),5)</f>
        <v>#N/A</v>
      </c>
      <c r="L163" s="147"/>
      <c r="M163" s="27" t="e">
        <f t="shared" si="11"/>
        <v>#N/A</v>
      </c>
      <c r="N163" s="27" t="str">
        <f t="shared" si="12"/>
        <v/>
      </c>
    </row>
    <row r="164" spans="1:14" ht="15.75" customHeight="1" x14ac:dyDescent="0.3">
      <c r="A164" s="116"/>
      <c r="B164" s="177"/>
      <c r="C164" s="178"/>
      <c r="D164" s="179"/>
      <c r="E164" s="132" t="s">
        <v>52</v>
      </c>
      <c r="F164" s="164" t="s">
        <v>53</v>
      </c>
      <c r="G164" s="123" t="s">
        <v>128</v>
      </c>
      <c r="H164" s="124"/>
      <c r="I164" s="125"/>
      <c r="J164" s="76" t="s">
        <v>191</v>
      </c>
      <c r="K164" s="27" t="e">
        <f t="array" ref="K164">INDEX(TXRESULT!$B$1:$I$1000,MATCH($B$156&amp;J156&amp;$F$156&amp;"SPUR2",TXRESULT!$C$1:$C$1000&amp;TXRESULT!$B$1:$B$1000&amp;TXRESULT!$H$1:$H$1000&amp;TXRESULT!$K$1:$K$1000,0),5)</f>
        <v>#N/A</v>
      </c>
      <c r="L164" s="145" t="s">
        <v>127</v>
      </c>
      <c r="M164" s="27" t="e">
        <f>IF(ISBLANK(K164),"",IF(AND(K164*1&lt;-36),"PASS","FAIL"))</f>
        <v>#N/A</v>
      </c>
      <c r="N164" s="27" t="str">
        <f t="shared" si="12"/>
        <v/>
      </c>
    </row>
    <row r="165" spans="1:14" x14ac:dyDescent="0.3">
      <c r="A165" s="116"/>
      <c r="B165" s="177"/>
      <c r="C165" s="178"/>
      <c r="D165" s="179"/>
      <c r="E165" s="119"/>
      <c r="F165" s="165"/>
      <c r="G165" s="126"/>
      <c r="H165" s="127"/>
      <c r="I165" s="128"/>
      <c r="J165" s="76" t="s">
        <v>192</v>
      </c>
      <c r="K165" s="27" t="e">
        <f t="array" ref="K165">INDEX(TXRESULT!$B$1:$I$1000,MATCH($B$156&amp;J157&amp;$F$156&amp;"SPUR2",TXRESULT!$C$1:$C$1000&amp;TXRESULT!$B$1:$B$1000&amp;TXRESULT!$H$1:$H$1000&amp;TXRESULT!$K$1:$K$1000,0),5)</f>
        <v>#N/A</v>
      </c>
      <c r="L165" s="146"/>
      <c r="M165" s="27" t="e">
        <f t="shared" si="11"/>
        <v>#N/A</v>
      </c>
      <c r="N165" s="27" t="str">
        <f t="shared" si="12"/>
        <v/>
      </c>
    </row>
    <row r="166" spans="1:14" x14ac:dyDescent="0.3">
      <c r="A166" s="116"/>
      <c r="B166" s="177"/>
      <c r="C166" s="178"/>
      <c r="D166" s="179"/>
      <c r="E166" s="119"/>
      <c r="F166" s="165"/>
      <c r="G166" s="126"/>
      <c r="H166" s="127"/>
      <c r="I166" s="128"/>
      <c r="J166" s="76" t="s">
        <v>193</v>
      </c>
      <c r="K166" s="27" t="e">
        <f t="array" ref="K166">INDEX(TXRESULT!$B$1:$I$1000,MATCH($B$156&amp;J158&amp;$F$156&amp;"SPUR2",TXRESULT!$C$1:$C$1000&amp;TXRESULT!$B$1:$B$1000&amp;TXRESULT!$H$1:$H$1000&amp;TXRESULT!$K$1:$K$1000,0),5)</f>
        <v>#N/A</v>
      </c>
      <c r="L166" s="146"/>
      <c r="M166" s="27" t="e">
        <f t="shared" si="11"/>
        <v>#N/A</v>
      </c>
      <c r="N166" s="27" t="str">
        <f t="shared" si="12"/>
        <v/>
      </c>
    </row>
    <row r="167" spans="1:14" x14ac:dyDescent="0.3">
      <c r="A167" s="116"/>
      <c r="B167" s="177"/>
      <c r="C167" s="178"/>
      <c r="D167" s="179"/>
      <c r="E167" s="119"/>
      <c r="F167" s="165"/>
      <c r="G167" s="126"/>
      <c r="H167" s="127"/>
      <c r="I167" s="128"/>
      <c r="J167" s="76" t="s">
        <v>194</v>
      </c>
      <c r="K167" s="27" t="e">
        <f t="array" ref="K167">INDEX(TXRESULT!$B$1:$I$1000,MATCH($B$156&amp;J159&amp;$F$156&amp;"SPUR2",TXRESULT!$C$1:$C$1000&amp;TXRESULT!$B$1:$B$1000&amp;TXRESULT!$H$1:$H$1000&amp;TXRESULT!$K$1:$K$1000,0),5)</f>
        <v>#N/A</v>
      </c>
      <c r="L167" s="146"/>
      <c r="M167" s="27" t="e">
        <f t="shared" si="11"/>
        <v>#N/A</v>
      </c>
      <c r="N167" s="27" t="str">
        <f t="shared" si="12"/>
        <v/>
      </c>
    </row>
    <row r="168" spans="1:14" x14ac:dyDescent="0.3">
      <c r="A168" s="116"/>
      <c r="B168" s="177"/>
      <c r="C168" s="178"/>
      <c r="D168" s="179"/>
      <c r="E168" s="119"/>
      <c r="F168" s="165"/>
      <c r="G168" s="126"/>
      <c r="H168" s="127"/>
      <c r="I168" s="128"/>
      <c r="J168" s="76" t="s">
        <v>195</v>
      </c>
      <c r="K168" s="27" t="e">
        <f t="array" ref="K168">INDEX(TXRESULT!$B$1:$I$1000,MATCH($B$156&amp;J160&amp;$F$156&amp;"SPUR2",TXRESULT!$C$1:$C$1000&amp;TXRESULT!$B$1:$B$1000&amp;TXRESULT!$H$1:$H$1000&amp;TXRESULT!$K$1:$K$1000,0),5)</f>
        <v>#N/A</v>
      </c>
      <c r="L168" s="146"/>
      <c r="M168" s="27" t="e">
        <f t="shared" si="11"/>
        <v>#N/A</v>
      </c>
      <c r="N168" s="27" t="str">
        <f t="shared" si="12"/>
        <v/>
      </c>
    </row>
    <row r="169" spans="1:14" x14ac:dyDescent="0.3">
      <c r="A169" s="116"/>
      <c r="B169" s="177"/>
      <c r="C169" s="178"/>
      <c r="D169" s="179"/>
      <c r="E169" s="119"/>
      <c r="F169" s="165"/>
      <c r="G169" s="126"/>
      <c r="H169" s="127"/>
      <c r="I169" s="128"/>
      <c r="J169" s="76" t="s">
        <v>196</v>
      </c>
      <c r="K169" s="27" t="e">
        <f t="array" ref="K169">INDEX(TXRESULT!$B$1:$I$1000,MATCH($B$156&amp;J161&amp;$F$156&amp;"SPUR2",TXRESULT!$C$1:$C$1000&amp;TXRESULT!$B$1:$B$1000&amp;TXRESULT!$H$1:$H$1000&amp;TXRESULT!$K$1:$K$1000,0),5)</f>
        <v>#N/A</v>
      </c>
      <c r="L169" s="146"/>
      <c r="M169" s="27" t="e">
        <f t="shared" si="11"/>
        <v>#N/A</v>
      </c>
      <c r="N169" s="27" t="str">
        <f t="shared" si="12"/>
        <v/>
      </c>
    </row>
    <row r="170" spans="1:14" x14ac:dyDescent="0.3">
      <c r="A170" s="116"/>
      <c r="B170" s="177"/>
      <c r="C170" s="178"/>
      <c r="D170" s="179"/>
      <c r="E170" s="119"/>
      <c r="F170" s="165"/>
      <c r="G170" s="126"/>
      <c r="H170" s="127"/>
      <c r="I170" s="128"/>
      <c r="J170" s="76" t="s">
        <v>197</v>
      </c>
      <c r="K170" s="27" t="e">
        <f t="array" ref="K170">INDEX(TXRESULT!$B$1:$I$1000,MATCH($B$156&amp;J162&amp;$F$156&amp;"SPUR2",TXRESULT!$C$1:$C$1000&amp;TXRESULT!$B$1:$B$1000&amp;TXRESULT!$H$1:$H$1000&amp;TXRESULT!$K$1:$K$1000,0),5)</f>
        <v>#N/A</v>
      </c>
      <c r="L170" s="146"/>
      <c r="M170" s="27" t="e">
        <f t="shared" si="11"/>
        <v>#N/A</v>
      </c>
      <c r="N170" s="27" t="str">
        <f t="shared" si="12"/>
        <v/>
      </c>
    </row>
    <row r="171" spans="1:14" x14ac:dyDescent="0.3">
      <c r="A171" s="116"/>
      <c r="B171" s="177"/>
      <c r="C171" s="178"/>
      <c r="D171" s="179"/>
      <c r="E171" s="120"/>
      <c r="F171" s="166"/>
      <c r="G171" s="129"/>
      <c r="H171" s="130"/>
      <c r="I171" s="131"/>
      <c r="J171" s="76" t="s">
        <v>198</v>
      </c>
      <c r="K171" s="27" t="e">
        <f t="array" ref="K171">INDEX(TXRESULT!$B$1:$I$1000,MATCH($B$156&amp;J163&amp;$F$156&amp;"SPUR2",TXRESULT!$C$1:$C$1000&amp;TXRESULT!$B$1:$B$1000&amp;TXRESULT!$H$1:$H$1000&amp;TXRESULT!$K$1:$K$1000,0),5)</f>
        <v>#N/A</v>
      </c>
      <c r="L171" s="147"/>
      <c r="M171" s="27" t="e">
        <f t="shared" si="11"/>
        <v>#N/A</v>
      </c>
      <c r="N171" s="27" t="str">
        <f t="shared" si="12"/>
        <v/>
      </c>
    </row>
    <row r="172" spans="1:14" ht="15.75" customHeight="1" x14ac:dyDescent="0.3">
      <c r="A172" s="116"/>
      <c r="B172" s="177"/>
      <c r="C172" s="178"/>
      <c r="D172" s="179"/>
      <c r="E172" s="132" t="s">
        <v>52</v>
      </c>
      <c r="F172" s="164" t="s">
        <v>53</v>
      </c>
      <c r="G172" s="123" t="s">
        <v>129</v>
      </c>
      <c r="H172" s="124"/>
      <c r="I172" s="125"/>
      <c r="J172" s="76" t="s">
        <v>191</v>
      </c>
      <c r="K172" s="27" t="e">
        <f t="array" ref="K172">INDEX(TXRESULT!$B$1:$I$1000,MATCH($B$156&amp;J156&amp;$F$156&amp;"SPUR3",TXRESULT!$C$1:$C$1000&amp;TXRESULT!$B$1:$B$1000&amp;TXRESULT!$H$1:$H$1000&amp;TXRESULT!$K$1:$K$1000,0),5)</f>
        <v>#N/A</v>
      </c>
      <c r="L172" s="145" t="s">
        <v>127</v>
      </c>
      <c r="M172" s="27" t="e">
        <f>IF(ISBLANK(K172),"",IF(AND(K172*1&lt;-36),"PASS","FAIL"))</f>
        <v>#N/A</v>
      </c>
      <c r="N172" s="27" t="str">
        <f t="shared" si="12"/>
        <v/>
      </c>
    </row>
    <row r="173" spans="1:14" x14ac:dyDescent="0.3">
      <c r="A173" s="116"/>
      <c r="B173" s="177"/>
      <c r="C173" s="178"/>
      <c r="D173" s="179"/>
      <c r="E173" s="119"/>
      <c r="F173" s="165"/>
      <c r="G173" s="126"/>
      <c r="H173" s="127"/>
      <c r="I173" s="128"/>
      <c r="J173" s="76" t="s">
        <v>192</v>
      </c>
      <c r="K173" s="27" t="e">
        <f t="array" ref="K173">INDEX(TXRESULT!$B$1:$I$1000,MATCH($B$156&amp;J157&amp;$F$156&amp;"SPUR3",TXRESULT!$C$1:$C$1000&amp;TXRESULT!$B$1:$B$1000&amp;TXRESULT!$H$1:$H$1000&amp;TXRESULT!$K$1:$K$1000,0),5)</f>
        <v>#N/A</v>
      </c>
      <c r="L173" s="146"/>
      <c r="M173" s="27" t="e">
        <f t="shared" si="11"/>
        <v>#N/A</v>
      </c>
      <c r="N173" s="27" t="str">
        <f t="shared" si="12"/>
        <v/>
      </c>
    </row>
    <row r="174" spans="1:14" x14ac:dyDescent="0.3">
      <c r="A174" s="116"/>
      <c r="B174" s="177"/>
      <c r="C174" s="178"/>
      <c r="D174" s="179"/>
      <c r="E174" s="119"/>
      <c r="F174" s="165"/>
      <c r="G174" s="126"/>
      <c r="H174" s="127"/>
      <c r="I174" s="128"/>
      <c r="J174" s="76" t="s">
        <v>193</v>
      </c>
      <c r="K174" s="27" t="e">
        <f t="array" ref="K174">INDEX(TXRESULT!$B$1:$I$1000,MATCH($B$156&amp;J158&amp;$F$156&amp;"SPUR3",TXRESULT!$C$1:$C$1000&amp;TXRESULT!$B$1:$B$1000&amp;TXRESULT!$H$1:$H$1000&amp;TXRESULT!$K$1:$K$1000,0),5)</f>
        <v>#N/A</v>
      </c>
      <c r="L174" s="146"/>
      <c r="M174" s="27" t="e">
        <f t="shared" si="11"/>
        <v>#N/A</v>
      </c>
      <c r="N174" s="27" t="str">
        <f t="shared" si="12"/>
        <v/>
      </c>
    </row>
    <row r="175" spans="1:14" x14ac:dyDescent="0.3">
      <c r="A175" s="116"/>
      <c r="B175" s="177"/>
      <c r="C175" s="178"/>
      <c r="D175" s="179"/>
      <c r="E175" s="119"/>
      <c r="F175" s="165"/>
      <c r="G175" s="126"/>
      <c r="H175" s="127"/>
      <c r="I175" s="128"/>
      <c r="J175" s="76" t="s">
        <v>194</v>
      </c>
      <c r="K175" s="27" t="e">
        <f t="array" ref="K175">INDEX(TXRESULT!$B$1:$I$1000,MATCH($B$156&amp;J159&amp;$F$156&amp;"SPUR3",TXRESULT!$C$1:$C$1000&amp;TXRESULT!$B$1:$B$1000&amp;TXRESULT!$H$1:$H$1000&amp;TXRESULT!$K$1:$K$1000,0),5)</f>
        <v>#N/A</v>
      </c>
      <c r="L175" s="146"/>
      <c r="M175" s="27" t="e">
        <f t="shared" si="11"/>
        <v>#N/A</v>
      </c>
      <c r="N175" s="27" t="str">
        <f t="shared" si="12"/>
        <v/>
      </c>
    </row>
    <row r="176" spans="1:14" x14ac:dyDescent="0.3">
      <c r="A176" s="116"/>
      <c r="B176" s="177"/>
      <c r="C176" s="178"/>
      <c r="D176" s="179"/>
      <c r="E176" s="119"/>
      <c r="F176" s="165"/>
      <c r="G176" s="126"/>
      <c r="H176" s="127"/>
      <c r="I176" s="128"/>
      <c r="J176" s="76" t="s">
        <v>195</v>
      </c>
      <c r="K176" s="27" t="e">
        <f t="array" ref="K176">INDEX(TXRESULT!$B$1:$I$1000,MATCH($B$156&amp;J160&amp;$F$156&amp;"SPUR3",TXRESULT!$C$1:$C$1000&amp;TXRESULT!$B$1:$B$1000&amp;TXRESULT!$H$1:$H$1000&amp;TXRESULT!$K$1:$K$1000,0),5)</f>
        <v>#N/A</v>
      </c>
      <c r="L176" s="146"/>
      <c r="M176" s="27" t="e">
        <f t="shared" si="11"/>
        <v>#N/A</v>
      </c>
      <c r="N176" s="27" t="str">
        <f t="shared" si="12"/>
        <v/>
      </c>
    </row>
    <row r="177" spans="1:14" x14ac:dyDescent="0.3">
      <c r="A177" s="116"/>
      <c r="B177" s="177"/>
      <c r="C177" s="178"/>
      <c r="D177" s="179"/>
      <c r="E177" s="119"/>
      <c r="F177" s="165"/>
      <c r="G177" s="126"/>
      <c r="H177" s="127"/>
      <c r="I177" s="128"/>
      <c r="J177" s="76" t="s">
        <v>196</v>
      </c>
      <c r="K177" s="27" t="e">
        <f t="array" ref="K177">INDEX(TXRESULT!$B$1:$I$1000,MATCH($B$156&amp;J161&amp;$F$156&amp;"SPUR3",TXRESULT!$C$1:$C$1000&amp;TXRESULT!$B$1:$B$1000&amp;TXRESULT!$H$1:$H$1000&amp;TXRESULT!$K$1:$K$1000,0),5)</f>
        <v>#N/A</v>
      </c>
      <c r="L177" s="146"/>
      <c r="M177" s="27" t="e">
        <f t="shared" si="11"/>
        <v>#N/A</v>
      </c>
      <c r="N177" s="27" t="str">
        <f t="shared" si="12"/>
        <v/>
      </c>
    </row>
    <row r="178" spans="1:14" x14ac:dyDescent="0.3">
      <c r="A178" s="116"/>
      <c r="B178" s="177"/>
      <c r="C178" s="178"/>
      <c r="D178" s="179"/>
      <c r="E178" s="119"/>
      <c r="F178" s="165"/>
      <c r="G178" s="126"/>
      <c r="H178" s="127"/>
      <c r="I178" s="128"/>
      <c r="J178" s="76" t="s">
        <v>197</v>
      </c>
      <c r="K178" s="27" t="e">
        <f t="array" ref="K178">INDEX(TXRESULT!$B$1:$I$1000,MATCH($B$156&amp;J162&amp;$F$156&amp;"SPUR3",TXRESULT!$C$1:$C$1000&amp;TXRESULT!$B$1:$B$1000&amp;TXRESULT!$H$1:$H$1000&amp;TXRESULT!$K$1:$K$1000,0),5)</f>
        <v>#N/A</v>
      </c>
      <c r="L178" s="146"/>
      <c r="M178" s="27" t="e">
        <f t="shared" si="11"/>
        <v>#N/A</v>
      </c>
      <c r="N178" s="27" t="str">
        <f t="shared" si="12"/>
        <v/>
      </c>
    </row>
    <row r="179" spans="1:14" x14ac:dyDescent="0.3">
      <c r="A179" s="116"/>
      <c r="B179" s="177"/>
      <c r="C179" s="178"/>
      <c r="D179" s="179"/>
      <c r="E179" s="120"/>
      <c r="F179" s="166"/>
      <c r="G179" s="129"/>
      <c r="H179" s="130"/>
      <c r="I179" s="131"/>
      <c r="J179" s="76" t="s">
        <v>198</v>
      </c>
      <c r="K179" s="27" t="e">
        <f t="array" ref="K179">INDEX(TXRESULT!$B$1:$I$1000,MATCH($B$156&amp;J163&amp;$F$156&amp;"SPUR3",TXRESULT!$C$1:$C$1000&amp;TXRESULT!$B$1:$B$1000&amp;TXRESULT!$H$1:$H$1000&amp;TXRESULT!$K$1:$K$1000,0),5)</f>
        <v>#N/A</v>
      </c>
      <c r="L179" s="147"/>
      <c r="M179" s="27" t="e">
        <f t="shared" si="11"/>
        <v>#N/A</v>
      </c>
      <c r="N179" s="27" t="str">
        <f t="shared" si="12"/>
        <v/>
      </c>
    </row>
    <row r="180" spans="1:14" ht="15.75" customHeight="1" x14ac:dyDescent="0.3">
      <c r="A180" s="116"/>
      <c r="B180" s="177"/>
      <c r="C180" s="178"/>
      <c r="D180" s="179"/>
      <c r="E180" s="132" t="s">
        <v>52</v>
      </c>
      <c r="F180" s="164" t="s">
        <v>53</v>
      </c>
      <c r="G180" s="123" t="s">
        <v>130</v>
      </c>
      <c r="H180" s="124"/>
      <c r="I180" s="125"/>
      <c r="J180" s="76" t="s">
        <v>191</v>
      </c>
      <c r="K180" s="27" t="e">
        <f t="array" ref="K180">INDEX(TXRESULT!$B$1:$I$1000,MATCH($B$156&amp;J156&amp;$F$156&amp;"SPUR4",TXRESULT!$C$1:$C$1000&amp;TXRESULT!$B$1:$B$1000&amp;TXRESULT!$H$1:$H$1000&amp;TXRESULT!$K$1:$K$1000,0),5)</f>
        <v>#N/A</v>
      </c>
      <c r="L180" s="145" t="s">
        <v>127</v>
      </c>
      <c r="M180" s="27" t="e">
        <f>IF(ISBLANK(K180),"",IF(AND(K180*1&lt;-30),"PASS","FAIL"))</f>
        <v>#N/A</v>
      </c>
      <c r="N180" s="27" t="str">
        <f t="shared" si="12"/>
        <v/>
      </c>
    </row>
    <row r="181" spans="1:14" x14ac:dyDescent="0.3">
      <c r="A181" s="116"/>
      <c r="B181" s="177"/>
      <c r="C181" s="178"/>
      <c r="D181" s="179"/>
      <c r="E181" s="119"/>
      <c r="F181" s="165"/>
      <c r="G181" s="126"/>
      <c r="H181" s="127"/>
      <c r="I181" s="128"/>
      <c r="J181" s="76" t="s">
        <v>192</v>
      </c>
      <c r="K181" s="27" t="e">
        <f t="array" ref="K181">INDEX(TXRESULT!$B$1:$I$1000,MATCH($B$156&amp;J157&amp;$F$156&amp;"SPUR4",TXRESULT!$C$1:$C$1000&amp;TXRESULT!$B$1:$B$1000&amp;TXRESULT!$H$1:$H$1000&amp;TXRESULT!$K$1:$K$1000,0),5)</f>
        <v>#N/A</v>
      </c>
      <c r="L181" s="146"/>
      <c r="M181" s="27" t="e">
        <f t="shared" ref="M181:M187" si="13">IF(ISBLANK(K181),"",IF(AND(K181*1&lt;-30),"PASS","FAIL"))</f>
        <v>#N/A</v>
      </c>
      <c r="N181" s="27" t="str">
        <f t="shared" si="12"/>
        <v/>
      </c>
    </row>
    <row r="182" spans="1:14" x14ac:dyDescent="0.3">
      <c r="A182" s="116"/>
      <c r="B182" s="177"/>
      <c r="C182" s="178"/>
      <c r="D182" s="179"/>
      <c r="E182" s="119"/>
      <c r="F182" s="165"/>
      <c r="G182" s="126"/>
      <c r="H182" s="127"/>
      <c r="I182" s="128"/>
      <c r="J182" s="76" t="s">
        <v>193</v>
      </c>
      <c r="K182" s="27" t="e">
        <f t="array" ref="K182">INDEX(TXRESULT!$B$1:$I$1000,MATCH($B$156&amp;J158&amp;$F$156&amp;"SPUR4",TXRESULT!$C$1:$C$1000&amp;TXRESULT!$B$1:$B$1000&amp;TXRESULT!$H$1:$H$1000&amp;TXRESULT!$K$1:$K$1000,0),5)</f>
        <v>#N/A</v>
      </c>
      <c r="L182" s="146"/>
      <c r="M182" s="27" t="e">
        <f t="shared" si="13"/>
        <v>#N/A</v>
      </c>
      <c r="N182" s="27" t="str">
        <f t="shared" si="12"/>
        <v/>
      </c>
    </row>
    <row r="183" spans="1:14" x14ac:dyDescent="0.3">
      <c r="A183" s="116"/>
      <c r="B183" s="177"/>
      <c r="C183" s="178"/>
      <c r="D183" s="179"/>
      <c r="E183" s="119"/>
      <c r="F183" s="165"/>
      <c r="G183" s="126"/>
      <c r="H183" s="127"/>
      <c r="I183" s="128"/>
      <c r="J183" s="76" t="s">
        <v>194</v>
      </c>
      <c r="K183" s="27" t="e">
        <f t="array" ref="K183">INDEX(TXRESULT!$B$1:$I$1000,MATCH($B$156&amp;J159&amp;$F$156&amp;"SPUR4",TXRESULT!$C$1:$C$1000&amp;TXRESULT!$B$1:$B$1000&amp;TXRESULT!$H$1:$H$1000&amp;TXRESULT!$K$1:$K$1000,0),5)</f>
        <v>#N/A</v>
      </c>
      <c r="L183" s="146"/>
      <c r="M183" s="27" t="e">
        <f t="shared" si="13"/>
        <v>#N/A</v>
      </c>
      <c r="N183" s="27" t="str">
        <f t="shared" si="12"/>
        <v/>
      </c>
    </row>
    <row r="184" spans="1:14" x14ac:dyDescent="0.3">
      <c r="A184" s="116"/>
      <c r="B184" s="177"/>
      <c r="C184" s="178"/>
      <c r="D184" s="179"/>
      <c r="E184" s="119"/>
      <c r="F184" s="165"/>
      <c r="G184" s="126"/>
      <c r="H184" s="127"/>
      <c r="I184" s="128"/>
      <c r="J184" s="76" t="s">
        <v>195</v>
      </c>
      <c r="K184" s="27" t="e">
        <f t="array" ref="K184">INDEX(TXRESULT!$B$1:$I$1000,MATCH($B$156&amp;J160&amp;$F$156&amp;"SPUR4",TXRESULT!$C$1:$C$1000&amp;TXRESULT!$B$1:$B$1000&amp;TXRESULT!$H$1:$H$1000&amp;TXRESULT!$K$1:$K$1000,0),5)</f>
        <v>#N/A</v>
      </c>
      <c r="L184" s="146"/>
      <c r="M184" s="27" t="e">
        <f t="shared" si="13"/>
        <v>#N/A</v>
      </c>
      <c r="N184" s="27" t="str">
        <f t="shared" si="12"/>
        <v/>
      </c>
    </row>
    <row r="185" spans="1:14" x14ac:dyDescent="0.3">
      <c r="A185" s="116"/>
      <c r="B185" s="177"/>
      <c r="C185" s="178"/>
      <c r="D185" s="179"/>
      <c r="E185" s="119"/>
      <c r="F185" s="165"/>
      <c r="G185" s="126"/>
      <c r="H185" s="127"/>
      <c r="I185" s="128"/>
      <c r="J185" s="76" t="s">
        <v>196</v>
      </c>
      <c r="K185" s="27" t="e">
        <f t="array" ref="K185">INDEX(TXRESULT!$B$1:$I$1000,MATCH($B$156&amp;J161&amp;$F$156&amp;"SPUR4",TXRESULT!$C$1:$C$1000&amp;TXRESULT!$B$1:$B$1000&amp;TXRESULT!$H$1:$H$1000&amp;TXRESULT!$K$1:$K$1000,0),5)</f>
        <v>#N/A</v>
      </c>
      <c r="L185" s="146"/>
      <c r="M185" s="27" t="e">
        <f t="shared" si="13"/>
        <v>#N/A</v>
      </c>
      <c r="N185" s="27" t="str">
        <f t="shared" si="12"/>
        <v/>
      </c>
    </row>
    <row r="186" spans="1:14" x14ac:dyDescent="0.3">
      <c r="A186" s="116"/>
      <c r="B186" s="177"/>
      <c r="C186" s="178"/>
      <c r="D186" s="179"/>
      <c r="E186" s="119"/>
      <c r="F186" s="165"/>
      <c r="G186" s="126"/>
      <c r="H186" s="127"/>
      <c r="I186" s="128"/>
      <c r="J186" s="76" t="s">
        <v>197</v>
      </c>
      <c r="K186" s="27" t="e">
        <f t="array" ref="K186">INDEX(TXRESULT!$B$1:$I$1000,MATCH($B$156&amp;J162&amp;$F$156&amp;"SPUR4",TXRESULT!$C$1:$C$1000&amp;TXRESULT!$B$1:$B$1000&amp;TXRESULT!$H$1:$H$1000&amp;TXRESULT!$K$1:$K$1000,0),5)</f>
        <v>#N/A</v>
      </c>
      <c r="L186" s="146"/>
      <c r="M186" s="27" t="e">
        <f t="shared" si="13"/>
        <v>#N/A</v>
      </c>
      <c r="N186" s="27" t="str">
        <f t="shared" si="12"/>
        <v/>
      </c>
    </row>
    <row r="187" spans="1:14" x14ac:dyDescent="0.3">
      <c r="A187" s="116"/>
      <c r="B187" s="177"/>
      <c r="C187" s="178"/>
      <c r="D187" s="179"/>
      <c r="E187" s="120"/>
      <c r="F187" s="166"/>
      <c r="G187" s="129"/>
      <c r="H187" s="130"/>
      <c r="I187" s="131"/>
      <c r="J187" s="76" t="s">
        <v>198</v>
      </c>
      <c r="K187" s="27" t="e">
        <f t="array" ref="K187">INDEX(TXRESULT!$B$1:$I$1000,MATCH($B$156&amp;J163&amp;$F$156&amp;"SPUR4",TXRESULT!$C$1:$C$1000&amp;TXRESULT!$B$1:$B$1000&amp;TXRESULT!$H$1:$H$1000&amp;TXRESULT!$K$1:$K$1000,0),5)</f>
        <v>#N/A</v>
      </c>
      <c r="L187" s="147"/>
      <c r="M187" s="27" t="e">
        <f t="shared" si="13"/>
        <v>#N/A</v>
      </c>
      <c r="N187" s="27" t="str">
        <f t="shared" si="12"/>
        <v/>
      </c>
    </row>
    <row r="188" spans="1:14" ht="15.75" customHeight="1" x14ac:dyDescent="0.3">
      <c r="A188" s="116"/>
      <c r="B188" s="177"/>
      <c r="C188" s="178"/>
      <c r="D188" s="179"/>
      <c r="E188" s="132" t="s">
        <v>52</v>
      </c>
      <c r="F188" s="164" t="s">
        <v>53</v>
      </c>
      <c r="G188" s="123" t="s">
        <v>131</v>
      </c>
      <c r="H188" s="124"/>
      <c r="I188" s="125"/>
      <c r="J188" s="76" t="s">
        <v>191</v>
      </c>
      <c r="K188" s="27" t="e">
        <f t="array" ref="K188">INDEX(TXRESULT!$B$1:$I$1000,MATCH($B$156&amp;J156&amp;$F$156&amp;"SPUR5",TXRESULT!$C$1:$C$1000&amp;TXRESULT!$B$1:$B$1000&amp;TXRESULT!$H$1:$H$1000&amp;TXRESULT!$K$1:$K$1000,0),5)</f>
        <v>#N/A</v>
      </c>
      <c r="L188" s="145" t="s">
        <v>127</v>
      </c>
      <c r="M188" s="27" t="e">
        <f>IF(ISBLANK(K188),"",IF(AND(K188*1&lt;-30),"PASS","FAIL"))</f>
        <v>#N/A</v>
      </c>
      <c r="N188" s="27" t="str">
        <f t="shared" si="12"/>
        <v/>
      </c>
    </row>
    <row r="189" spans="1:14" x14ac:dyDescent="0.3">
      <c r="A189" s="116"/>
      <c r="B189" s="177"/>
      <c r="C189" s="178"/>
      <c r="D189" s="179"/>
      <c r="E189" s="119"/>
      <c r="F189" s="165"/>
      <c r="G189" s="126"/>
      <c r="H189" s="127"/>
      <c r="I189" s="128"/>
      <c r="J189" s="76" t="s">
        <v>192</v>
      </c>
      <c r="K189" s="27" t="e">
        <f t="array" ref="K189">INDEX(TXRESULT!$B$1:$I$1000,MATCH($B$156&amp;J157&amp;$F$156&amp;"SPUR5",TXRESULT!$C$1:$C$1000&amp;TXRESULT!$B$1:$B$1000&amp;TXRESULT!$H$1:$H$1000&amp;TXRESULT!$K$1:$K$1000,0),5)</f>
        <v>#N/A</v>
      </c>
      <c r="L189" s="146"/>
      <c r="M189" s="27" t="e">
        <f t="shared" ref="M189:M195" si="14">IF(ISBLANK(K189),"",IF(AND(K189*1&lt;-30),"PASS","FAIL"))</f>
        <v>#N/A</v>
      </c>
      <c r="N189" s="27" t="str">
        <f t="shared" si="12"/>
        <v/>
      </c>
    </row>
    <row r="190" spans="1:14" x14ac:dyDescent="0.3">
      <c r="A190" s="116"/>
      <c r="B190" s="177"/>
      <c r="C190" s="178"/>
      <c r="D190" s="179"/>
      <c r="E190" s="119"/>
      <c r="F190" s="165"/>
      <c r="G190" s="126"/>
      <c r="H190" s="127"/>
      <c r="I190" s="128"/>
      <c r="J190" s="76" t="s">
        <v>193</v>
      </c>
      <c r="K190" s="27" t="e">
        <f t="array" ref="K190">INDEX(TXRESULT!$B$1:$I$1000,MATCH($B$156&amp;J158&amp;$F$156&amp;"SPUR5",TXRESULT!$C$1:$C$1000&amp;TXRESULT!$B$1:$B$1000&amp;TXRESULT!$H$1:$H$1000&amp;TXRESULT!$K$1:$K$1000,0),5)</f>
        <v>#N/A</v>
      </c>
      <c r="L190" s="146"/>
      <c r="M190" s="27" t="e">
        <f t="shared" si="14"/>
        <v>#N/A</v>
      </c>
      <c r="N190" s="27" t="str">
        <f t="shared" si="12"/>
        <v/>
      </c>
    </row>
    <row r="191" spans="1:14" x14ac:dyDescent="0.3">
      <c r="A191" s="116"/>
      <c r="B191" s="177"/>
      <c r="C191" s="178"/>
      <c r="D191" s="179"/>
      <c r="E191" s="119"/>
      <c r="F191" s="165"/>
      <c r="G191" s="126"/>
      <c r="H191" s="127"/>
      <c r="I191" s="128"/>
      <c r="J191" s="76" t="s">
        <v>194</v>
      </c>
      <c r="K191" s="27" t="e">
        <f t="array" ref="K191">INDEX(TXRESULT!$B$1:$I$1000,MATCH($B$156&amp;J159&amp;$F$156&amp;"SPUR5",TXRESULT!$C$1:$C$1000&amp;TXRESULT!$B$1:$B$1000&amp;TXRESULT!$H$1:$H$1000&amp;TXRESULT!$K$1:$K$1000,0),5)</f>
        <v>#N/A</v>
      </c>
      <c r="L191" s="146"/>
      <c r="M191" s="27" t="e">
        <f t="shared" si="14"/>
        <v>#N/A</v>
      </c>
      <c r="N191" s="27" t="str">
        <f t="shared" si="12"/>
        <v/>
      </c>
    </row>
    <row r="192" spans="1:14" x14ac:dyDescent="0.3">
      <c r="A192" s="116"/>
      <c r="B192" s="177"/>
      <c r="C192" s="178"/>
      <c r="D192" s="179"/>
      <c r="E192" s="119"/>
      <c r="F192" s="165"/>
      <c r="G192" s="126"/>
      <c r="H192" s="127"/>
      <c r="I192" s="128"/>
      <c r="J192" s="76" t="s">
        <v>195</v>
      </c>
      <c r="K192" s="27" t="e">
        <f t="array" ref="K192">INDEX(TXRESULT!$B$1:$I$1000,MATCH($B$156&amp;J160&amp;$F$156&amp;"SPUR5",TXRESULT!$C$1:$C$1000&amp;TXRESULT!$B$1:$B$1000&amp;TXRESULT!$H$1:$H$1000&amp;TXRESULT!$K$1:$K$1000,0),5)</f>
        <v>#N/A</v>
      </c>
      <c r="L192" s="146"/>
      <c r="M192" s="27" t="e">
        <f t="shared" si="14"/>
        <v>#N/A</v>
      </c>
      <c r="N192" s="27" t="str">
        <f t="shared" si="12"/>
        <v/>
      </c>
    </row>
    <row r="193" spans="1:14" x14ac:dyDescent="0.3">
      <c r="A193" s="116"/>
      <c r="B193" s="177"/>
      <c r="C193" s="178"/>
      <c r="D193" s="179"/>
      <c r="E193" s="119"/>
      <c r="F193" s="165"/>
      <c r="G193" s="126"/>
      <c r="H193" s="127"/>
      <c r="I193" s="128"/>
      <c r="J193" s="76" t="s">
        <v>196</v>
      </c>
      <c r="K193" s="27" t="e">
        <f t="array" ref="K193">INDEX(TXRESULT!$B$1:$I$1000,MATCH($B$156&amp;J161&amp;$F$156&amp;"SPUR5",TXRESULT!$C$1:$C$1000&amp;TXRESULT!$B$1:$B$1000&amp;TXRESULT!$H$1:$H$1000&amp;TXRESULT!$K$1:$K$1000,0),5)</f>
        <v>#N/A</v>
      </c>
      <c r="L193" s="146"/>
      <c r="M193" s="27" t="e">
        <f t="shared" si="14"/>
        <v>#N/A</v>
      </c>
      <c r="N193" s="27" t="str">
        <f t="shared" si="12"/>
        <v/>
      </c>
    </row>
    <row r="194" spans="1:14" x14ac:dyDescent="0.3">
      <c r="A194" s="116"/>
      <c r="B194" s="177"/>
      <c r="C194" s="178"/>
      <c r="D194" s="179"/>
      <c r="E194" s="119"/>
      <c r="F194" s="165"/>
      <c r="G194" s="126"/>
      <c r="H194" s="127"/>
      <c r="I194" s="128"/>
      <c r="J194" s="76" t="s">
        <v>197</v>
      </c>
      <c r="K194" s="27" t="e">
        <f t="array" ref="K194">INDEX(TXRESULT!$B$1:$I$1000,MATCH($B$156&amp;J162&amp;$F$156&amp;"SPUR5",TXRESULT!$C$1:$C$1000&amp;TXRESULT!$B$1:$B$1000&amp;TXRESULT!$H$1:$H$1000&amp;TXRESULT!$K$1:$K$1000,0),5)</f>
        <v>#N/A</v>
      </c>
      <c r="L194" s="146"/>
      <c r="M194" s="27" t="e">
        <f t="shared" si="14"/>
        <v>#N/A</v>
      </c>
      <c r="N194" s="27" t="str">
        <f t="shared" si="12"/>
        <v/>
      </c>
    </row>
    <row r="195" spans="1:14" x14ac:dyDescent="0.3">
      <c r="A195" s="117"/>
      <c r="B195" s="180"/>
      <c r="C195" s="181"/>
      <c r="D195" s="182"/>
      <c r="E195" s="120"/>
      <c r="F195" s="166"/>
      <c r="G195" s="129"/>
      <c r="H195" s="130"/>
      <c r="I195" s="131"/>
      <c r="J195" s="76" t="s">
        <v>198</v>
      </c>
      <c r="K195" s="27" t="e">
        <f t="array" ref="K195">INDEX(TXRESULT!$B$1:$I$1000,MATCH($B$156&amp;J163&amp;$F$156&amp;"SPUR5",TXRESULT!$C$1:$C$1000&amp;TXRESULT!$B$1:$B$1000&amp;TXRESULT!$H$1:$H$1000&amp;TXRESULT!$K$1:$K$1000,0),5)</f>
        <v>#N/A</v>
      </c>
      <c r="L195" s="147"/>
      <c r="M195" s="27" t="e">
        <f t="shared" si="14"/>
        <v>#N/A</v>
      </c>
      <c r="N195" s="27" t="str">
        <f t="shared" si="12"/>
        <v/>
      </c>
    </row>
    <row r="196" spans="1:14" ht="15.75" customHeight="1" x14ac:dyDescent="0.3">
      <c r="A196" s="115" t="s">
        <v>132</v>
      </c>
      <c r="B196" s="167" t="s">
        <v>133</v>
      </c>
      <c r="C196" s="168"/>
      <c r="D196" s="164" t="s">
        <v>256</v>
      </c>
      <c r="E196" s="132" t="s">
        <v>116</v>
      </c>
      <c r="F196" s="164" t="s">
        <v>53</v>
      </c>
      <c r="G196" s="76" t="s">
        <v>117</v>
      </c>
      <c r="H196" s="76" t="s">
        <v>117</v>
      </c>
      <c r="I196" s="76" t="s">
        <v>118</v>
      </c>
      <c r="J196" s="76" t="s">
        <v>191</v>
      </c>
      <c r="K196" s="27" t="e">
        <f>VLOOKUP($D$196&amp;J196&amp;$F$196,TXRESULT!$A$1:$I$1500,6,FALSE)</f>
        <v>#N/A</v>
      </c>
      <c r="L196" s="145" t="s">
        <v>134</v>
      </c>
      <c r="M196" s="27" t="e">
        <f>IF(ISBLANK(K196),"",IF(AND(K196*1&gt;H196*1,K196*1&lt;I196*1),"PASS","FAIL"))</f>
        <v>#N/A</v>
      </c>
      <c r="N196" s="27" t="str">
        <f t="shared" si="12"/>
        <v/>
      </c>
    </row>
    <row r="197" spans="1:14" x14ac:dyDescent="0.3">
      <c r="A197" s="116"/>
      <c r="B197" s="169"/>
      <c r="C197" s="170"/>
      <c r="D197" s="165"/>
      <c r="E197" s="119"/>
      <c r="F197" s="165"/>
      <c r="G197" s="76" t="str">
        <f>G196</f>
        <v>43.8</v>
      </c>
      <c r="H197" s="76" t="str">
        <f>H196</f>
        <v>43.8</v>
      </c>
      <c r="I197" s="76" t="s">
        <v>118</v>
      </c>
      <c r="J197" s="76" t="s">
        <v>192</v>
      </c>
      <c r="K197" s="27" t="e">
        <f>VLOOKUP($D$196&amp;J197&amp;$F$196,TXRESULT!$A$1:$I$1500,6,FALSE)</f>
        <v>#N/A</v>
      </c>
      <c r="L197" s="146"/>
      <c r="M197" s="27" t="e">
        <f t="shared" ref="M197:M203" si="15">IF(ISBLANK(K197),"",IF(AND(K197*1&gt;H197*1,K197*1&lt;I197*1),"PASS","FAIL"))</f>
        <v>#N/A</v>
      </c>
      <c r="N197" s="27" t="str">
        <f t="shared" si="12"/>
        <v/>
      </c>
    </row>
    <row r="198" spans="1:14" x14ac:dyDescent="0.3">
      <c r="A198" s="116"/>
      <c r="B198" s="169"/>
      <c r="C198" s="170"/>
      <c r="D198" s="165"/>
      <c r="E198" s="119"/>
      <c r="F198" s="165"/>
      <c r="G198" s="76" t="str">
        <f>G196</f>
        <v>43.8</v>
      </c>
      <c r="H198" s="76" t="str">
        <f>H196</f>
        <v>43.8</v>
      </c>
      <c r="I198" s="76" t="s">
        <v>118</v>
      </c>
      <c r="J198" s="76" t="s">
        <v>193</v>
      </c>
      <c r="K198" s="27" t="e">
        <f>VLOOKUP($D$196&amp;J198&amp;$F$196,TXRESULT!$A$1:$I$1500,6,FALSE)</f>
        <v>#N/A</v>
      </c>
      <c r="L198" s="146"/>
      <c r="M198" s="27" t="e">
        <f t="shared" si="15"/>
        <v>#N/A</v>
      </c>
      <c r="N198" s="27" t="str">
        <f t="shared" si="12"/>
        <v/>
      </c>
    </row>
    <row r="199" spans="1:14" x14ac:dyDescent="0.3">
      <c r="A199" s="116"/>
      <c r="B199" s="169"/>
      <c r="C199" s="170"/>
      <c r="D199" s="165"/>
      <c r="E199" s="119"/>
      <c r="F199" s="165"/>
      <c r="G199" s="76" t="str">
        <f>G196</f>
        <v>43.8</v>
      </c>
      <c r="H199" s="76" t="str">
        <f>H196</f>
        <v>43.8</v>
      </c>
      <c r="I199" s="76" t="s">
        <v>118</v>
      </c>
      <c r="J199" s="76" t="s">
        <v>194</v>
      </c>
      <c r="K199" s="27" t="e">
        <f>VLOOKUP($D$196&amp;J199&amp;$F$196,TXRESULT!$A$1:$I$1500,6,FALSE)</f>
        <v>#N/A</v>
      </c>
      <c r="L199" s="146"/>
      <c r="M199" s="27" t="e">
        <f t="shared" si="15"/>
        <v>#N/A</v>
      </c>
      <c r="N199" s="27" t="str">
        <f t="shared" si="12"/>
        <v/>
      </c>
    </row>
    <row r="200" spans="1:14" x14ac:dyDescent="0.3">
      <c r="A200" s="116"/>
      <c r="B200" s="169"/>
      <c r="C200" s="170"/>
      <c r="D200" s="165"/>
      <c r="E200" s="119"/>
      <c r="F200" s="165"/>
      <c r="G200" s="76" t="str">
        <f>G196</f>
        <v>43.8</v>
      </c>
      <c r="H200" s="76" t="str">
        <f>H196</f>
        <v>43.8</v>
      </c>
      <c r="I200" s="76" t="s">
        <v>118</v>
      </c>
      <c r="J200" s="76" t="s">
        <v>195</v>
      </c>
      <c r="K200" s="27" t="e">
        <f>VLOOKUP($D$196&amp;J200&amp;$F$196,TXRESULT!$A$1:$I$1500,6,FALSE)</f>
        <v>#N/A</v>
      </c>
      <c r="L200" s="146"/>
      <c r="M200" s="27" t="e">
        <f t="shared" si="15"/>
        <v>#N/A</v>
      </c>
      <c r="N200" s="27" t="str">
        <f t="shared" si="12"/>
        <v/>
      </c>
    </row>
    <row r="201" spans="1:14" x14ac:dyDescent="0.3">
      <c r="A201" s="116"/>
      <c r="B201" s="169"/>
      <c r="C201" s="170"/>
      <c r="D201" s="165"/>
      <c r="E201" s="119"/>
      <c r="F201" s="165"/>
      <c r="G201" s="76" t="str">
        <f>G196</f>
        <v>43.8</v>
      </c>
      <c r="H201" s="76" t="str">
        <f>H196</f>
        <v>43.8</v>
      </c>
      <c r="I201" s="76" t="s">
        <v>118</v>
      </c>
      <c r="J201" s="76" t="s">
        <v>196</v>
      </c>
      <c r="K201" s="27" t="e">
        <f>VLOOKUP($D$196&amp;J201&amp;$F$196,TXRESULT!$A$1:$I$1500,6,FALSE)</f>
        <v>#N/A</v>
      </c>
      <c r="L201" s="146"/>
      <c r="M201" s="27" t="e">
        <f t="shared" si="15"/>
        <v>#N/A</v>
      </c>
      <c r="N201" s="27" t="str">
        <f t="shared" si="12"/>
        <v/>
      </c>
    </row>
    <row r="202" spans="1:14" x14ac:dyDescent="0.3">
      <c r="A202" s="116"/>
      <c r="B202" s="169"/>
      <c r="C202" s="170"/>
      <c r="D202" s="165"/>
      <c r="E202" s="119"/>
      <c r="F202" s="165"/>
      <c r="G202" s="76" t="str">
        <f>G196</f>
        <v>43.8</v>
      </c>
      <c r="H202" s="76" t="str">
        <f>H196</f>
        <v>43.8</v>
      </c>
      <c r="I202" s="76" t="s">
        <v>118</v>
      </c>
      <c r="J202" s="76" t="s">
        <v>197</v>
      </c>
      <c r="K202" s="27" t="e">
        <f>VLOOKUP($D$196&amp;J202&amp;$F$196,TXRESULT!$A$1:$I$1500,6,FALSE)</f>
        <v>#N/A</v>
      </c>
      <c r="L202" s="146"/>
      <c r="M202" s="27" t="e">
        <f t="shared" si="15"/>
        <v>#N/A</v>
      </c>
      <c r="N202" s="27" t="str">
        <f t="shared" si="12"/>
        <v/>
      </c>
    </row>
    <row r="203" spans="1:14" x14ac:dyDescent="0.3">
      <c r="A203" s="116"/>
      <c r="B203" s="169"/>
      <c r="C203" s="170"/>
      <c r="D203" s="166"/>
      <c r="E203" s="120"/>
      <c r="F203" s="166"/>
      <c r="G203" s="76" t="str">
        <f>G196</f>
        <v>43.8</v>
      </c>
      <c r="H203" s="76" t="str">
        <f>H196</f>
        <v>43.8</v>
      </c>
      <c r="I203" s="76" t="s">
        <v>118</v>
      </c>
      <c r="J203" s="76" t="s">
        <v>198</v>
      </c>
      <c r="K203" s="27" t="e">
        <f>VLOOKUP($D$196&amp;J203&amp;$F$196,TXRESULT!$A$1:$I$1500,6,FALSE)</f>
        <v>#N/A</v>
      </c>
      <c r="L203" s="146"/>
      <c r="M203" s="27" t="e">
        <f t="shared" si="15"/>
        <v>#N/A</v>
      </c>
      <c r="N203" s="27" t="str">
        <f t="shared" si="12"/>
        <v/>
      </c>
    </row>
    <row r="204" spans="1:14" ht="15.75" customHeight="1" x14ac:dyDescent="0.3">
      <c r="A204" s="116"/>
      <c r="B204" s="169"/>
      <c r="C204" s="170"/>
      <c r="D204" s="164" t="s">
        <v>257</v>
      </c>
      <c r="E204" s="132" t="s">
        <v>52</v>
      </c>
      <c r="F204" s="164" t="s">
        <v>53</v>
      </c>
      <c r="G204" s="173" t="s">
        <v>121</v>
      </c>
      <c r="H204" s="124"/>
      <c r="I204" s="125"/>
      <c r="J204" s="76" t="s">
        <v>191</v>
      </c>
      <c r="K204" s="27" t="e">
        <f t="array" ref="K204">INDEX(TXRESULT!$B$1:$I$1000,MATCH($D$204&amp;J204&amp;$F$204&amp;"OBUE1",TXRESULT!$C$1:$C$1000&amp;TXRESULT!$B$1:$B$1000&amp;TXRESULT!$H$1:$H$1000&amp;TXRESULT!$K$1:$K$1000,0),5)</f>
        <v>#N/A</v>
      </c>
      <c r="L204" s="146"/>
      <c r="M204" s="27" t="e">
        <f>IF(ISBLANK(K204),"",IF(AND(K204*1&lt;-12.2),"PASS","FAIL"))</f>
        <v>#N/A</v>
      </c>
      <c r="N204" s="27" t="str">
        <f t="shared" si="12"/>
        <v/>
      </c>
    </row>
    <row r="205" spans="1:14" x14ac:dyDescent="0.3">
      <c r="A205" s="116"/>
      <c r="B205" s="169"/>
      <c r="C205" s="170"/>
      <c r="D205" s="165"/>
      <c r="E205" s="119"/>
      <c r="F205" s="165"/>
      <c r="G205" s="126"/>
      <c r="H205" s="127"/>
      <c r="I205" s="128"/>
      <c r="J205" s="76" t="s">
        <v>192</v>
      </c>
      <c r="K205" s="27" t="e">
        <f t="array" ref="K205">INDEX(TXRESULT!$B$1:$I$1000,MATCH($D$204&amp;J205&amp;$F$204&amp;"OBUE1",TXRESULT!$C$1:$C$1000&amp;TXRESULT!$B$1:$B$1000&amp;TXRESULT!$H$1:$H$1000&amp;TXRESULT!$K$1:$K$1000,0),5)</f>
        <v>#N/A</v>
      </c>
      <c r="L205" s="146"/>
      <c r="M205" s="27" t="e">
        <f t="shared" ref="M205:M219" si="16">IF(ISBLANK(K205),"",IF(AND(K205*1&lt;-12.2),"PASS","FAIL"))</f>
        <v>#N/A</v>
      </c>
      <c r="N205" s="27" t="str">
        <f t="shared" si="12"/>
        <v/>
      </c>
    </row>
    <row r="206" spans="1:14" x14ac:dyDescent="0.3">
      <c r="A206" s="116"/>
      <c r="B206" s="169"/>
      <c r="C206" s="170"/>
      <c r="D206" s="165"/>
      <c r="E206" s="119"/>
      <c r="F206" s="165"/>
      <c r="G206" s="126"/>
      <c r="H206" s="127"/>
      <c r="I206" s="128"/>
      <c r="J206" s="76" t="s">
        <v>193</v>
      </c>
      <c r="K206" s="27" t="e">
        <f t="array" ref="K206">INDEX(TXRESULT!$B$1:$I$1000,MATCH($D$204&amp;J206&amp;$F$204&amp;"OBUE1",TXRESULT!$C$1:$C$1000&amp;TXRESULT!$B$1:$B$1000&amp;TXRESULT!$H$1:$H$1000&amp;TXRESULT!$K$1:$K$1000,0),5)</f>
        <v>#N/A</v>
      </c>
      <c r="L206" s="146"/>
      <c r="M206" s="27" t="e">
        <f t="shared" si="16"/>
        <v>#N/A</v>
      </c>
      <c r="N206" s="27" t="str">
        <f t="shared" si="12"/>
        <v/>
      </c>
    </row>
    <row r="207" spans="1:14" x14ac:dyDescent="0.3">
      <c r="A207" s="116"/>
      <c r="B207" s="169"/>
      <c r="C207" s="170"/>
      <c r="D207" s="165"/>
      <c r="E207" s="119"/>
      <c r="F207" s="165"/>
      <c r="G207" s="126"/>
      <c r="H207" s="127"/>
      <c r="I207" s="128"/>
      <c r="J207" s="76" t="s">
        <v>194</v>
      </c>
      <c r="K207" s="27" t="e">
        <f t="array" ref="K207">INDEX(TXRESULT!$B$1:$I$1000,MATCH($D$204&amp;J207&amp;$F$204&amp;"OBUE1",TXRESULT!$C$1:$C$1000&amp;TXRESULT!$B$1:$B$1000&amp;TXRESULT!$H$1:$H$1000&amp;TXRESULT!$K$1:$K$1000,0),5)</f>
        <v>#N/A</v>
      </c>
      <c r="L207" s="146"/>
      <c r="M207" s="27" t="e">
        <f t="shared" si="16"/>
        <v>#N/A</v>
      </c>
      <c r="N207" s="27" t="str">
        <f t="shared" si="12"/>
        <v/>
      </c>
    </row>
    <row r="208" spans="1:14" x14ac:dyDescent="0.3">
      <c r="A208" s="116"/>
      <c r="B208" s="169"/>
      <c r="C208" s="170"/>
      <c r="D208" s="165"/>
      <c r="E208" s="119"/>
      <c r="F208" s="165"/>
      <c r="G208" s="126"/>
      <c r="H208" s="127"/>
      <c r="I208" s="128"/>
      <c r="J208" s="76" t="s">
        <v>195</v>
      </c>
      <c r="K208" s="27" t="e">
        <f t="array" ref="K208">INDEX(TXRESULT!$B$1:$I$1000,MATCH($D$204&amp;J208&amp;$F$204&amp;"OBUE1",TXRESULT!$C$1:$C$1000&amp;TXRESULT!$B$1:$B$1000&amp;TXRESULT!$H$1:$H$1000&amp;TXRESULT!$K$1:$K$1000,0),5)</f>
        <v>#N/A</v>
      </c>
      <c r="L208" s="146"/>
      <c r="M208" s="27" t="e">
        <f t="shared" si="16"/>
        <v>#N/A</v>
      </c>
      <c r="N208" s="27" t="str">
        <f t="shared" si="12"/>
        <v/>
      </c>
    </row>
    <row r="209" spans="1:14" x14ac:dyDescent="0.3">
      <c r="A209" s="116"/>
      <c r="B209" s="169"/>
      <c r="C209" s="170"/>
      <c r="D209" s="165"/>
      <c r="E209" s="119"/>
      <c r="F209" s="165"/>
      <c r="G209" s="126"/>
      <c r="H209" s="127"/>
      <c r="I209" s="128"/>
      <c r="J209" s="76" t="s">
        <v>196</v>
      </c>
      <c r="K209" s="27" t="e">
        <f t="array" ref="K209">INDEX(TXRESULT!$B$1:$I$1000,MATCH($D$204&amp;J209&amp;$F$204&amp;"OBUE1",TXRESULT!$C$1:$C$1000&amp;TXRESULT!$B$1:$B$1000&amp;TXRESULT!$H$1:$H$1000&amp;TXRESULT!$K$1:$K$1000,0),5)</f>
        <v>#N/A</v>
      </c>
      <c r="L209" s="146"/>
      <c r="M209" s="27" t="e">
        <f t="shared" si="16"/>
        <v>#N/A</v>
      </c>
      <c r="N209" s="27" t="str">
        <f t="shared" si="12"/>
        <v/>
      </c>
    </row>
    <row r="210" spans="1:14" x14ac:dyDescent="0.3">
      <c r="A210" s="116"/>
      <c r="B210" s="169"/>
      <c r="C210" s="170"/>
      <c r="D210" s="165"/>
      <c r="E210" s="119"/>
      <c r="F210" s="165"/>
      <c r="G210" s="126"/>
      <c r="H210" s="127"/>
      <c r="I210" s="128"/>
      <c r="J210" s="76" t="s">
        <v>197</v>
      </c>
      <c r="K210" s="27" t="e">
        <f t="array" ref="K210">INDEX(TXRESULT!$B$1:$I$1000,MATCH($D$204&amp;J210&amp;$F$204&amp;"OBUE1",TXRESULT!$C$1:$C$1000&amp;TXRESULT!$B$1:$B$1000&amp;TXRESULT!$H$1:$H$1000&amp;TXRESULT!$K$1:$K$1000,0),5)</f>
        <v>#N/A</v>
      </c>
      <c r="L210" s="146"/>
      <c r="M210" s="27" t="e">
        <f t="shared" si="16"/>
        <v>#N/A</v>
      </c>
      <c r="N210" s="27" t="str">
        <f t="shared" si="12"/>
        <v/>
      </c>
    </row>
    <row r="211" spans="1:14" x14ac:dyDescent="0.3">
      <c r="A211" s="116"/>
      <c r="B211" s="169"/>
      <c r="C211" s="170"/>
      <c r="D211" s="165"/>
      <c r="E211" s="120"/>
      <c r="F211" s="166"/>
      <c r="G211" s="129"/>
      <c r="H211" s="130"/>
      <c r="I211" s="131"/>
      <c r="J211" s="76" t="s">
        <v>198</v>
      </c>
      <c r="K211" s="27" t="e">
        <f t="array" ref="K211">INDEX(TXRESULT!$B$1:$I$1000,MATCH($D$204&amp;J211&amp;$F$204&amp;"OBUE1",TXRESULT!$C$1:$C$1000&amp;TXRESULT!$B$1:$B$1000&amp;TXRESULT!$H$1:$H$1000&amp;TXRESULT!$K$1:$K$1000,0),5)</f>
        <v>#N/A</v>
      </c>
      <c r="L211" s="146"/>
      <c r="M211" s="27" t="e">
        <f t="shared" si="16"/>
        <v>#N/A</v>
      </c>
      <c r="N211" s="27" t="str">
        <f t="shared" si="12"/>
        <v/>
      </c>
    </row>
    <row r="212" spans="1:14" x14ac:dyDescent="0.3">
      <c r="A212" s="116"/>
      <c r="B212" s="169"/>
      <c r="C212" s="170"/>
      <c r="D212" s="165"/>
      <c r="E212" s="132" t="s">
        <v>52</v>
      </c>
      <c r="F212" s="164" t="s">
        <v>53</v>
      </c>
      <c r="G212" s="173" t="s">
        <v>123</v>
      </c>
      <c r="H212" s="124"/>
      <c r="I212" s="125"/>
      <c r="J212" s="76" t="s">
        <v>191</v>
      </c>
      <c r="K212" s="27" t="e">
        <f t="array" ref="K212">INDEX(TXRESULT!$B$1:$I$1000,MATCH($D$204&amp;J211&amp;$F$212&amp;"OBUE2",TXRESULT!$C$1:$C$1000&amp;TXRESULT!$B$1:$B$1000&amp;TXRESULT!$H$1:$H$1000&amp;TXRESULT!$K$1:$K$1000,0),5)</f>
        <v>#N/A</v>
      </c>
      <c r="L212" s="146"/>
      <c r="M212" s="27" t="e">
        <f t="shared" si="16"/>
        <v>#N/A</v>
      </c>
      <c r="N212" s="27" t="str">
        <f t="shared" si="12"/>
        <v/>
      </c>
    </row>
    <row r="213" spans="1:14" x14ac:dyDescent="0.3">
      <c r="A213" s="116"/>
      <c r="B213" s="169"/>
      <c r="C213" s="170"/>
      <c r="D213" s="165"/>
      <c r="E213" s="119"/>
      <c r="F213" s="165"/>
      <c r="G213" s="126"/>
      <c r="H213" s="127"/>
      <c r="I213" s="128"/>
      <c r="J213" s="76" t="s">
        <v>192</v>
      </c>
      <c r="K213" s="27" t="e">
        <f t="array" ref="K213">INDEX(TXRESULT!$B$1:$I$1000,MATCH($D$204&amp;J212&amp;$F$212&amp;"OBUE2",TXRESULT!$C$1:$C$1000&amp;TXRESULT!$B$1:$B$1000&amp;TXRESULT!$H$1:$H$1000&amp;TXRESULT!$K$1:$K$1000,0),5)</f>
        <v>#N/A</v>
      </c>
      <c r="L213" s="146"/>
      <c r="M213" s="27" t="e">
        <f t="shared" si="16"/>
        <v>#N/A</v>
      </c>
      <c r="N213" s="27" t="str">
        <f t="shared" si="12"/>
        <v/>
      </c>
    </row>
    <row r="214" spans="1:14" x14ac:dyDescent="0.3">
      <c r="A214" s="116"/>
      <c r="B214" s="169"/>
      <c r="C214" s="170"/>
      <c r="D214" s="165"/>
      <c r="E214" s="119"/>
      <c r="F214" s="165"/>
      <c r="G214" s="126"/>
      <c r="H214" s="127"/>
      <c r="I214" s="128"/>
      <c r="J214" s="76" t="s">
        <v>193</v>
      </c>
      <c r="K214" s="27" t="e">
        <f t="array" ref="K214">INDEX(TXRESULT!$B$1:$I$1000,MATCH($D$204&amp;J213&amp;$F$212&amp;"OBUE2",TXRESULT!$C$1:$C$1000&amp;TXRESULT!$B$1:$B$1000&amp;TXRESULT!$H$1:$H$1000&amp;TXRESULT!$K$1:$K$1000,0),5)</f>
        <v>#N/A</v>
      </c>
      <c r="L214" s="146"/>
      <c r="M214" s="27" t="e">
        <f t="shared" si="16"/>
        <v>#N/A</v>
      </c>
      <c r="N214" s="27" t="str">
        <f t="shared" si="12"/>
        <v/>
      </c>
    </row>
    <row r="215" spans="1:14" x14ac:dyDescent="0.3">
      <c r="A215" s="116"/>
      <c r="B215" s="169"/>
      <c r="C215" s="170"/>
      <c r="D215" s="165"/>
      <c r="E215" s="119"/>
      <c r="F215" s="165"/>
      <c r="G215" s="126"/>
      <c r="H215" s="127"/>
      <c r="I215" s="128"/>
      <c r="J215" s="76" t="s">
        <v>194</v>
      </c>
      <c r="K215" s="27" t="e">
        <f t="array" ref="K215">INDEX(TXRESULT!$B$1:$I$1000,MATCH($D$204&amp;J214&amp;$F$212&amp;"OBUE2",TXRESULT!$C$1:$C$1000&amp;TXRESULT!$B$1:$B$1000&amp;TXRESULT!$H$1:$H$1000&amp;TXRESULT!$K$1:$K$1000,0),5)</f>
        <v>#N/A</v>
      </c>
      <c r="L215" s="146"/>
      <c r="M215" s="27" t="e">
        <f t="shared" si="16"/>
        <v>#N/A</v>
      </c>
      <c r="N215" s="27" t="str">
        <f t="shared" si="12"/>
        <v/>
      </c>
    </row>
    <row r="216" spans="1:14" x14ac:dyDescent="0.3">
      <c r="A216" s="116"/>
      <c r="B216" s="169"/>
      <c r="C216" s="170"/>
      <c r="D216" s="165"/>
      <c r="E216" s="119"/>
      <c r="F216" s="165"/>
      <c r="G216" s="126"/>
      <c r="H216" s="127"/>
      <c r="I216" s="128"/>
      <c r="J216" s="76" t="s">
        <v>195</v>
      </c>
      <c r="K216" s="27" t="e">
        <f t="array" ref="K216">INDEX(TXRESULT!$B$1:$I$1000,MATCH($D$204&amp;J215&amp;$F$212&amp;"OBUE2",TXRESULT!$C$1:$C$1000&amp;TXRESULT!$B$1:$B$1000&amp;TXRESULT!$H$1:$H$1000&amp;TXRESULT!$K$1:$K$1000,0),5)</f>
        <v>#N/A</v>
      </c>
      <c r="L216" s="146"/>
      <c r="M216" s="27" t="e">
        <f t="shared" si="16"/>
        <v>#N/A</v>
      </c>
      <c r="N216" s="27" t="str">
        <f t="shared" si="12"/>
        <v/>
      </c>
    </row>
    <row r="217" spans="1:14" x14ac:dyDescent="0.3">
      <c r="A217" s="116"/>
      <c r="B217" s="169"/>
      <c r="C217" s="170"/>
      <c r="D217" s="165"/>
      <c r="E217" s="119"/>
      <c r="F217" s="165"/>
      <c r="G217" s="126"/>
      <c r="H217" s="127"/>
      <c r="I217" s="128"/>
      <c r="J217" s="76" t="s">
        <v>196</v>
      </c>
      <c r="K217" s="27" t="e">
        <f t="array" ref="K217">INDEX(TXRESULT!$B$1:$I$1000,MATCH($D$204&amp;J216&amp;$F$212&amp;"OBUE2",TXRESULT!$C$1:$C$1000&amp;TXRESULT!$B$1:$B$1000&amp;TXRESULT!$H$1:$H$1000&amp;TXRESULT!$K$1:$K$1000,0),5)</f>
        <v>#N/A</v>
      </c>
      <c r="L217" s="146"/>
      <c r="M217" s="27" t="e">
        <f t="shared" si="16"/>
        <v>#N/A</v>
      </c>
      <c r="N217" s="27" t="str">
        <f t="shared" si="12"/>
        <v/>
      </c>
    </row>
    <row r="218" spans="1:14" x14ac:dyDescent="0.3">
      <c r="A218" s="116"/>
      <c r="B218" s="169"/>
      <c r="C218" s="170"/>
      <c r="D218" s="165"/>
      <c r="E218" s="119"/>
      <c r="F218" s="165"/>
      <c r="G218" s="126"/>
      <c r="H218" s="127"/>
      <c r="I218" s="128"/>
      <c r="J218" s="76" t="s">
        <v>197</v>
      </c>
      <c r="K218" s="27" t="e">
        <f t="array" ref="K218">INDEX(TXRESULT!$B$1:$I$1000,MATCH($D$204&amp;J217&amp;$F$212&amp;"OBUE2",TXRESULT!$C$1:$C$1000&amp;TXRESULT!$B$1:$B$1000&amp;TXRESULT!$H$1:$H$1000&amp;TXRESULT!$K$1:$K$1000,0),5)</f>
        <v>#N/A</v>
      </c>
      <c r="L218" s="146"/>
      <c r="M218" s="27" t="e">
        <f t="shared" si="16"/>
        <v>#N/A</v>
      </c>
      <c r="N218" s="27" t="str">
        <f t="shared" si="12"/>
        <v/>
      </c>
    </row>
    <row r="219" spans="1:14" x14ac:dyDescent="0.3">
      <c r="A219" s="116"/>
      <c r="B219" s="169"/>
      <c r="C219" s="170"/>
      <c r="D219" s="165"/>
      <c r="E219" s="120"/>
      <c r="F219" s="166"/>
      <c r="G219" s="129"/>
      <c r="H219" s="130"/>
      <c r="I219" s="131"/>
      <c r="J219" s="76" t="s">
        <v>198</v>
      </c>
      <c r="K219" s="27" t="e">
        <f t="array" ref="K219">INDEX(TXRESULT!$B$1:$I$1000,MATCH($D$204&amp;J218&amp;$F$212&amp;"OBUE2",TXRESULT!$C$1:$C$1000&amp;TXRESULT!$B$1:$B$1000&amp;TXRESULT!$H$1:$H$1000&amp;TXRESULT!$K$1:$K$1000,0),5)</f>
        <v>#N/A</v>
      </c>
      <c r="L219" s="146"/>
      <c r="M219" s="27" t="e">
        <f t="shared" si="16"/>
        <v>#N/A</v>
      </c>
      <c r="N219" s="27" t="str">
        <f t="shared" si="12"/>
        <v/>
      </c>
    </row>
    <row r="220" spans="1:14" x14ac:dyDescent="0.3">
      <c r="A220" s="116"/>
      <c r="B220" s="169"/>
      <c r="C220" s="170"/>
      <c r="D220" s="165"/>
      <c r="E220" s="132" t="s">
        <v>52</v>
      </c>
      <c r="F220" s="164" t="s">
        <v>53</v>
      </c>
      <c r="G220" s="173" t="s">
        <v>124</v>
      </c>
      <c r="H220" s="124"/>
      <c r="I220" s="125"/>
      <c r="J220" s="76" t="s">
        <v>191</v>
      </c>
      <c r="K220" s="27" t="e">
        <f t="array" ref="K220">INDEX(TXRESULT!$B$1:$I$1000,MATCH($D$204&amp;J220&amp;$F$220&amp;"OBUE1",TXRESULT!$C$1:$C$1000&amp;TXRESULT!$B$1:$B$1000&amp;TXRESULT!$H$1:$H$1000&amp;TXRESULT!$K$1:$K$1000,0),5)</f>
        <v>#N/A</v>
      </c>
      <c r="L220" s="146"/>
      <c r="M220" s="27" t="e">
        <f>IF(ISBLANK(K220),"",IF(AND(K220*1&lt;-15),"PASS","FAIL"))</f>
        <v>#N/A</v>
      </c>
      <c r="N220" s="27" t="str">
        <f t="shared" si="12"/>
        <v/>
      </c>
    </row>
    <row r="221" spans="1:14" x14ac:dyDescent="0.3">
      <c r="A221" s="116"/>
      <c r="B221" s="169"/>
      <c r="C221" s="170"/>
      <c r="D221" s="165"/>
      <c r="E221" s="119"/>
      <c r="F221" s="165"/>
      <c r="G221" s="126"/>
      <c r="H221" s="127"/>
      <c r="I221" s="128"/>
      <c r="J221" s="76" t="s">
        <v>192</v>
      </c>
      <c r="K221" s="27" t="e">
        <f t="array" ref="K221">INDEX(TXRESULT!$B$1:$I$1000,MATCH($D$204&amp;J221&amp;$F$220&amp;"OBUE1",TXRESULT!$C$1:$C$1000&amp;TXRESULT!$B$1:$B$1000&amp;TXRESULT!$H$1:$H$1000&amp;TXRESULT!$K$1:$K$1000,0),5)</f>
        <v>#N/A</v>
      </c>
      <c r="L221" s="146"/>
      <c r="M221" s="27" t="e">
        <f t="shared" ref="M221:M227" si="17">IF(ISBLANK(K221),"",IF(AND(K221*1&lt;-15),"PASS","FAIL"))</f>
        <v>#N/A</v>
      </c>
      <c r="N221" s="27" t="str">
        <f t="shared" si="12"/>
        <v/>
      </c>
    </row>
    <row r="222" spans="1:14" x14ac:dyDescent="0.3">
      <c r="A222" s="116"/>
      <c r="B222" s="169"/>
      <c r="C222" s="170"/>
      <c r="D222" s="165"/>
      <c r="E222" s="119"/>
      <c r="F222" s="165"/>
      <c r="G222" s="126"/>
      <c r="H222" s="127"/>
      <c r="I222" s="128"/>
      <c r="J222" s="76" t="s">
        <v>193</v>
      </c>
      <c r="K222" s="27" t="e">
        <f t="array" ref="K222">INDEX(TXRESULT!$B$1:$I$1000,MATCH($D$204&amp;J222&amp;$F$220&amp;"OBUE1",TXRESULT!$C$1:$C$1000&amp;TXRESULT!$B$1:$B$1000&amp;TXRESULT!$H$1:$H$1000&amp;TXRESULT!$K$1:$K$1000,0),5)</f>
        <v>#N/A</v>
      </c>
      <c r="L222" s="146"/>
      <c r="M222" s="27" t="e">
        <f t="shared" si="17"/>
        <v>#N/A</v>
      </c>
      <c r="N222" s="27" t="str">
        <f t="shared" si="12"/>
        <v/>
      </c>
    </row>
    <row r="223" spans="1:14" x14ac:dyDescent="0.3">
      <c r="A223" s="116"/>
      <c r="B223" s="169"/>
      <c r="C223" s="170"/>
      <c r="D223" s="165"/>
      <c r="E223" s="119"/>
      <c r="F223" s="165"/>
      <c r="G223" s="126"/>
      <c r="H223" s="127"/>
      <c r="I223" s="128"/>
      <c r="J223" s="76" t="s">
        <v>194</v>
      </c>
      <c r="K223" s="27" t="e">
        <f t="array" ref="K223">INDEX(TXRESULT!$B$1:$I$1000,MATCH($D$204&amp;J223&amp;$F$220&amp;"OBUE1",TXRESULT!$C$1:$C$1000&amp;TXRESULT!$B$1:$B$1000&amp;TXRESULT!$H$1:$H$1000&amp;TXRESULT!$K$1:$K$1000,0),5)</f>
        <v>#N/A</v>
      </c>
      <c r="L223" s="146"/>
      <c r="M223" s="27" t="e">
        <f t="shared" si="17"/>
        <v>#N/A</v>
      </c>
      <c r="N223" s="27" t="str">
        <f t="shared" si="12"/>
        <v/>
      </c>
    </row>
    <row r="224" spans="1:14" x14ac:dyDescent="0.3">
      <c r="A224" s="116"/>
      <c r="B224" s="169"/>
      <c r="C224" s="170"/>
      <c r="D224" s="165"/>
      <c r="E224" s="119"/>
      <c r="F224" s="165"/>
      <c r="G224" s="126"/>
      <c r="H224" s="127"/>
      <c r="I224" s="128"/>
      <c r="J224" s="76" t="s">
        <v>195</v>
      </c>
      <c r="K224" s="27" t="e">
        <f t="array" ref="K224">INDEX(TXRESULT!$B$1:$I$1000,MATCH($D$204&amp;J224&amp;$F$220&amp;"OBUE1",TXRESULT!$C$1:$C$1000&amp;TXRESULT!$B$1:$B$1000&amp;TXRESULT!$H$1:$H$1000&amp;TXRESULT!$K$1:$K$1000,0),5)</f>
        <v>#N/A</v>
      </c>
      <c r="L224" s="146"/>
      <c r="M224" s="27" t="e">
        <f t="shared" si="17"/>
        <v>#N/A</v>
      </c>
      <c r="N224" s="27" t="str">
        <f t="shared" si="12"/>
        <v/>
      </c>
    </row>
    <row r="225" spans="1:14" x14ac:dyDescent="0.3">
      <c r="A225" s="116"/>
      <c r="B225" s="169"/>
      <c r="C225" s="170"/>
      <c r="D225" s="165"/>
      <c r="E225" s="119"/>
      <c r="F225" s="165"/>
      <c r="G225" s="126"/>
      <c r="H225" s="127"/>
      <c r="I225" s="128"/>
      <c r="J225" s="76" t="s">
        <v>196</v>
      </c>
      <c r="K225" s="27" t="e">
        <f t="array" ref="K225">INDEX(TXRESULT!$B$1:$I$1000,MATCH($D$204&amp;J225&amp;$F$220&amp;"OBUE1",TXRESULT!$C$1:$C$1000&amp;TXRESULT!$B$1:$B$1000&amp;TXRESULT!$H$1:$H$1000&amp;TXRESULT!$K$1:$K$1000,0),5)</f>
        <v>#N/A</v>
      </c>
      <c r="L225" s="146"/>
      <c r="M225" s="27" t="e">
        <f t="shared" si="17"/>
        <v>#N/A</v>
      </c>
      <c r="N225" s="27" t="str">
        <f t="shared" si="12"/>
        <v/>
      </c>
    </row>
    <row r="226" spans="1:14" x14ac:dyDescent="0.3">
      <c r="A226" s="116"/>
      <c r="B226" s="169"/>
      <c r="C226" s="170"/>
      <c r="D226" s="165"/>
      <c r="E226" s="119"/>
      <c r="F226" s="165"/>
      <c r="G226" s="126"/>
      <c r="H226" s="127"/>
      <c r="I226" s="128"/>
      <c r="J226" s="76" t="s">
        <v>197</v>
      </c>
      <c r="K226" s="27" t="e">
        <f t="array" ref="K226">INDEX(TXRESULT!$B$1:$I$1000,MATCH($D$204&amp;J226&amp;$F$220&amp;"OBUE1",TXRESULT!$C$1:$C$1000&amp;TXRESULT!$B$1:$B$1000&amp;TXRESULT!$H$1:$H$1000&amp;TXRESULT!$K$1:$K$1000,0),5)</f>
        <v>#N/A</v>
      </c>
      <c r="L226" s="146"/>
      <c r="M226" s="27" t="e">
        <f t="shared" si="17"/>
        <v>#N/A</v>
      </c>
      <c r="N226" s="27" t="str">
        <f t="shared" si="12"/>
        <v/>
      </c>
    </row>
    <row r="227" spans="1:14" x14ac:dyDescent="0.3">
      <c r="A227" s="116"/>
      <c r="B227" s="169"/>
      <c r="C227" s="170"/>
      <c r="D227" s="166"/>
      <c r="E227" s="120"/>
      <c r="F227" s="166"/>
      <c r="G227" s="129"/>
      <c r="H227" s="130"/>
      <c r="I227" s="131"/>
      <c r="J227" s="76" t="s">
        <v>198</v>
      </c>
      <c r="K227" s="27" t="e">
        <f t="array" ref="K227">INDEX(TXRESULT!$B$1:$I$1000,MATCH($D$204&amp;J227&amp;$F$220&amp;"OBUE1",TXRESULT!$C$1:$C$1000&amp;TXRESULT!$B$1:$B$1000&amp;TXRESULT!$H$1:$H$1000&amp;TXRESULT!$K$1:$K$1000,0),5)</f>
        <v>#N/A</v>
      </c>
      <c r="L227" s="146"/>
      <c r="M227" s="27" t="e">
        <f t="shared" si="17"/>
        <v>#N/A</v>
      </c>
      <c r="N227" s="27" t="str">
        <f t="shared" si="12"/>
        <v/>
      </c>
    </row>
    <row r="228" spans="1:14" ht="15.75" customHeight="1" x14ac:dyDescent="0.3">
      <c r="A228" s="116"/>
      <c r="B228" s="169"/>
      <c r="C228" s="170"/>
      <c r="D228" s="164" t="s">
        <v>261</v>
      </c>
      <c r="E228" s="132" t="s">
        <v>52</v>
      </c>
      <c r="F228" s="164" t="s">
        <v>53</v>
      </c>
      <c r="G228" s="123" t="s">
        <v>126</v>
      </c>
      <c r="H228" s="124"/>
      <c r="I228" s="125"/>
      <c r="J228" s="76" t="s">
        <v>191</v>
      </c>
      <c r="K228" s="27" t="e">
        <f t="array" ref="K228">INDEX(TXRESULT!$B$1:$I$1000,MATCH($D$228&amp;J228&amp;$F$228&amp;"SPUR1",TXRESULT!$C$1:$C$1000&amp;TXRESULT!$B$1:$B$1000&amp;TXRESULT!$H$1:$H$1000&amp;TXRESULT!$K$1:$K$1000,0),5)</f>
        <v>#N/A</v>
      </c>
      <c r="L228" s="146"/>
      <c r="M228" s="27" t="e">
        <f>IF(ISBLANK(K228),"",IF(AND(K228*1&lt;-36),"PASS","FAIL"))</f>
        <v>#N/A</v>
      </c>
      <c r="N228" s="27" t="str">
        <f t="shared" si="12"/>
        <v/>
      </c>
    </row>
    <row r="229" spans="1:14" x14ac:dyDescent="0.3">
      <c r="A229" s="116"/>
      <c r="B229" s="169"/>
      <c r="C229" s="170"/>
      <c r="D229" s="165"/>
      <c r="E229" s="119"/>
      <c r="F229" s="165"/>
      <c r="G229" s="126"/>
      <c r="H229" s="127"/>
      <c r="I229" s="128"/>
      <c r="J229" s="76" t="s">
        <v>192</v>
      </c>
      <c r="K229" s="27" t="e">
        <f t="array" ref="K229">INDEX(TXRESULT!$B$1:$I$1000,MATCH($D$228&amp;J229&amp;$F$228&amp;"SPUR1",TXRESULT!$C$1:$C$1000&amp;TXRESULT!$B$1:$B$1000&amp;TXRESULT!$H$1:$H$1000&amp;TXRESULT!$K$1:$K$1000,0),5)</f>
        <v>#N/A</v>
      </c>
      <c r="L229" s="146"/>
      <c r="M229" s="27" t="e">
        <f t="shared" ref="M229:M251" si="18">IF(ISBLANK(K229),"",IF(AND(K229*1&lt;-36),"PASS","FAIL"))</f>
        <v>#N/A</v>
      </c>
      <c r="N229" s="27" t="str">
        <f t="shared" si="12"/>
        <v/>
      </c>
    </row>
    <row r="230" spans="1:14" x14ac:dyDescent="0.3">
      <c r="A230" s="116"/>
      <c r="B230" s="169"/>
      <c r="C230" s="170"/>
      <c r="D230" s="165"/>
      <c r="E230" s="119"/>
      <c r="F230" s="165"/>
      <c r="G230" s="126"/>
      <c r="H230" s="127"/>
      <c r="I230" s="128"/>
      <c r="J230" s="76" t="s">
        <v>193</v>
      </c>
      <c r="K230" s="27" t="e">
        <f t="array" ref="K230">INDEX(TXRESULT!$B$1:$I$1000,MATCH($D$228&amp;J230&amp;$F$228&amp;"SPUR1",TXRESULT!$C$1:$C$1000&amp;TXRESULT!$B$1:$B$1000&amp;TXRESULT!$H$1:$H$1000&amp;TXRESULT!$K$1:$K$1000,0),5)</f>
        <v>#N/A</v>
      </c>
      <c r="L230" s="146"/>
      <c r="M230" s="27" t="e">
        <f t="shared" si="18"/>
        <v>#N/A</v>
      </c>
      <c r="N230" s="27" t="str">
        <f t="shared" si="12"/>
        <v/>
      </c>
    </row>
    <row r="231" spans="1:14" x14ac:dyDescent="0.3">
      <c r="A231" s="116"/>
      <c r="B231" s="169"/>
      <c r="C231" s="170"/>
      <c r="D231" s="165"/>
      <c r="E231" s="119"/>
      <c r="F231" s="165"/>
      <c r="G231" s="126"/>
      <c r="H231" s="127"/>
      <c r="I231" s="128"/>
      <c r="J231" s="76" t="s">
        <v>194</v>
      </c>
      <c r="K231" s="27" t="e">
        <f t="array" ref="K231">INDEX(TXRESULT!$B$1:$I$1000,MATCH($D$228&amp;J231&amp;$F$228&amp;"SPUR1",TXRESULT!$C$1:$C$1000&amp;TXRESULT!$B$1:$B$1000&amp;TXRESULT!$H$1:$H$1000&amp;TXRESULT!$K$1:$K$1000,0),5)</f>
        <v>#N/A</v>
      </c>
      <c r="L231" s="146"/>
      <c r="M231" s="27" t="e">
        <f t="shared" si="18"/>
        <v>#N/A</v>
      </c>
      <c r="N231" s="27" t="str">
        <f t="shared" si="12"/>
        <v/>
      </c>
    </row>
    <row r="232" spans="1:14" x14ac:dyDescent="0.3">
      <c r="A232" s="116"/>
      <c r="B232" s="169"/>
      <c r="C232" s="170"/>
      <c r="D232" s="165"/>
      <c r="E232" s="119"/>
      <c r="F232" s="165"/>
      <c r="G232" s="126"/>
      <c r="H232" s="127"/>
      <c r="I232" s="128"/>
      <c r="J232" s="76" t="s">
        <v>195</v>
      </c>
      <c r="K232" s="27" t="e">
        <f t="array" ref="K232">INDEX(TXRESULT!$B$1:$I$1000,MATCH($D$228&amp;J232&amp;$F$228&amp;"SPUR1",TXRESULT!$C$1:$C$1000&amp;TXRESULT!$B$1:$B$1000&amp;TXRESULT!$H$1:$H$1000&amp;TXRESULT!$K$1:$K$1000,0),5)</f>
        <v>#N/A</v>
      </c>
      <c r="L232" s="146"/>
      <c r="M232" s="27" t="e">
        <f t="shared" si="18"/>
        <v>#N/A</v>
      </c>
      <c r="N232" s="27" t="str">
        <f t="shared" si="12"/>
        <v/>
      </c>
    </row>
    <row r="233" spans="1:14" x14ac:dyDescent="0.3">
      <c r="A233" s="116"/>
      <c r="B233" s="169"/>
      <c r="C233" s="170"/>
      <c r="D233" s="165"/>
      <c r="E233" s="119"/>
      <c r="F233" s="165"/>
      <c r="G233" s="126"/>
      <c r="H233" s="127"/>
      <c r="I233" s="128"/>
      <c r="J233" s="76" t="s">
        <v>196</v>
      </c>
      <c r="K233" s="27" t="e">
        <f t="array" ref="K233">INDEX(TXRESULT!$B$1:$I$1000,MATCH($D$228&amp;J233&amp;$F$228&amp;"SPUR1",TXRESULT!$C$1:$C$1000&amp;TXRESULT!$B$1:$B$1000&amp;TXRESULT!$H$1:$H$1000&amp;TXRESULT!$K$1:$K$1000,0),5)</f>
        <v>#N/A</v>
      </c>
      <c r="L233" s="146"/>
      <c r="M233" s="27" t="e">
        <f t="shared" si="18"/>
        <v>#N/A</v>
      </c>
      <c r="N233" s="27" t="str">
        <f t="shared" si="12"/>
        <v/>
      </c>
    </row>
    <row r="234" spans="1:14" x14ac:dyDescent="0.3">
      <c r="A234" s="116"/>
      <c r="B234" s="169"/>
      <c r="C234" s="170"/>
      <c r="D234" s="165"/>
      <c r="E234" s="119"/>
      <c r="F234" s="165"/>
      <c r="G234" s="126"/>
      <c r="H234" s="127"/>
      <c r="I234" s="128"/>
      <c r="J234" s="76" t="s">
        <v>197</v>
      </c>
      <c r="K234" s="27" t="e">
        <f t="array" ref="K234">INDEX(TXRESULT!$B$1:$I$1000,MATCH($D$228&amp;J234&amp;$F$228&amp;"SPUR1",TXRESULT!$C$1:$C$1000&amp;TXRESULT!$B$1:$B$1000&amp;TXRESULT!$H$1:$H$1000&amp;TXRESULT!$K$1:$K$1000,0),5)</f>
        <v>#N/A</v>
      </c>
      <c r="L234" s="146"/>
      <c r="M234" s="27" t="e">
        <f t="shared" si="18"/>
        <v>#N/A</v>
      </c>
      <c r="N234" s="27" t="str">
        <f t="shared" si="12"/>
        <v/>
      </c>
    </row>
    <row r="235" spans="1:14" x14ac:dyDescent="0.3">
      <c r="A235" s="116"/>
      <c r="B235" s="169"/>
      <c r="C235" s="170"/>
      <c r="D235" s="165"/>
      <c r="E235" s="120"/>
      <c r="F235" s="166"/>
      <c r="G235" s="129"/>
      <c r="H235" s="130"/>
      <c r="I235" s="131"/>
      <c r="J235" s="76" t="s">
        <v>198</v>
      </c>
      <c r="K235" s="27" t="e">
        <f t="array" ref="K235">INDEX(TXRESULT!$B$1:$I$1000,MATCH($D$228&amp;J235&amp;$F$228&amp;"SPUR1",TXRESULT!$C$1:$C$1000&amp;TXRESULT!$B$1:$B$1000&amp;TXRESULT!$H$1:$H$1000&amp;TXRESULT!$K$1:$K$1000,0),5)</f>
        <v>#N/A</v>
      </c>
      <c r="L235" s="146"/>
      <c r="M235" s="27" t="e">
        <f t="shared" si="18"/>
        <v>#N/A</v>
      </c>
      <c r="N235" s="27" t="str">
        <f t="shared" si="12"/>
        <v/>
      </c>
    </row>
    <row r="236" spans="1:14" ht="15.75" customHeight="1" x14ac:dyDescent="0.3">
      <c r="A236" s="116"/>
      <c r="B236" s="169"/>
      <c r="C236" s="170"/>
      <c r="D236" s="165"/>
      <c r="E236" s="132" t="s">
        <v>52</v>
      </c>
      <c r="F236" s="164" t="s">
        <v>53</v>
      </c>
      <c r="G236" s="123" t="s">
        <v>128</v>
      </c>
      <c r="H236" s="124"/>
      <c r="I236" s="125"/>
      <c r="J236" s="76" t="s">
        <v>191</v>
      </c>
      <c r="K236" s="27" t="e">
        <f t="array" ref="K236">INDEX(TXRESULT!$B$1:$I$1000,MATCH($D$228&amp;J236&amp;$F$236&amp;"SPUR2",TXRESULT!$C$1:$C$1000&amp;TXRESULT!$B$1:$B$1000&amp;TXRESULT!$H$1:$H$1000&amp;TXRESULT!$K$1:$K$1000,0),5)</f>
        <v>#N/A</v>
      </c>
      <c r="L236" s="146"/>
      <c r="M236" s="27" t="e">
        <f t="shared" si="18"/>
        <v>#N/A</v>
      </c>
      <c r="N236" s="27" t="str">
        <f t="shared" ref="N236:N267" si="19">IF(ISBLANK(K236),"CHUADO","")</f>
        <v/>
      </c>
    </row>
    <row r="237" spans="1:14" x14ac:dyDescent="0.3">
      <c r="A237" s="116"/>
      <c r="B237" s="169"/>
      <c r="C237" s="170"/>
      <c r="D237" s="165"/>
      <c r="E237" s="119"/>
      <c r="F237" s="165"/>
      <c r="G237" s="126"/>
      <c r="H237" s="127"/>
      <c r="I237" s="128"/>
      <c r="J237" s="76" t="s">
        <v>192</v>
      </c>
      <c r="K237" s="27" t="e">
        <f t="array" ref="K237">INDEX(TXRESULT!$B$1:$I$1000,MATCH($D$228&amp;J237&amp;$F$236&amp;"SPUR2",TXRESULT!$C$1:$C$1000&amp;TXRESULT!$B$1:$B$1000&amp;TXRESULT!$H$1:$H$1000&amp;TXRESULT!$K$1:$K$1000,0),5)</f>
        <v>#N/A</v>
      </c>
      <c r="L237" s="146"/>
      <c r="M237" s="27" t="e">
        <f t="shared" si="18"/>
        <v>#N/A</v>
      </c>
      <c r="N237" s="27" t="str">
        <f t="shared" si="19"/>
        <v/>
      </c>
    </row>
    <row r="238" spans="1:14" x14ac:dyDescent="0.3">
      <c r="A238" s="116"/>
      <c r="B238" s="169"/>
      <c r="C238" s="170"/>
      <c r="D238" s="165"/>
      <c r="E238" s="119"/>
      <c r="F238" s="165"/>
      <c r="G238" s="126"/>
      <c r="H238" s="127"/>
      <c r="I238" s="128"/>
      <c r="J238" s="76" t="s">
        <v>193</v>
      </c>
      <c r="K238" s="27" t="e">
        <f t="array" ref="K238">INDEX(TXRESULT!$B$1:$I$1000,MATCH($D$228&amp;J238&amp;$F$236&amp;"SPUR2",TXRESULT!$C$1:$C$1000&amp;TXRESULT!$B$1:$B$1000&amp;TXRESULT!$H$1:$H$1000&amp;TXRESULT!$K$1:$K$1000,0),5)</f>
        <v>#N/A</v>
      </c>
      <c r="L238" s="146"/>
      <c r="M238" s="27" t="e">
        <f t="shared" si="18"/>
        <v>#N/A</v>
      </c>
      <c r="N238" s="27" t="str">
        <f t="shared" si="19"/>
        <v/>
      </c>
    </row>
    <row r="239" spans="1:14" x14ac:dyDescent="0.3">
      <c r="A239" s="116"/>
      <c r="B239" s="169"/>
      <c r="C239" s="170"/>
      <c r="D239" s="165"/>
      <c r="E239" s="119"/>
      <c r="F239" s="165"/>
      <c r="G239" s="126"/>
      <c r="H239" s="127"/>
      <c r="I239" s="128"/>
      <c r="J239" s="76" t="s">
        <v>194</v>
      </c>
      <c r="K239" s="27" t="e">
        <f t="array" ref="K239">INDEX(TXRESULT!$B$1:$I$1000,MATCH($D$228&amp;J239&amp;$F$236&amp;"SPUR2",TXRESULT!$C$1:$C$1000&amp;TXRESULT!$B$1:$B$1000&amp;TXRESULT!$H$1:$H$1000&amp;TXRESULT!$K$1:$K$1000,0),5)</f>
        <v>#N/A</v>
      </c>
      <c r="L239" s="146"/>
      <c r="M239" s="27" t="e">
        <f t="shared" si="18"/>
        <v>#N/A</v>
      </c>
      <c r="N239" s="27" t="str">
        <f t="shared" si="19"/>
        <v/>
      </c>
    </row>
    <row r="240" spans="1:14" x14ac:dyDescent="0.3">
      <c r="A240" s="116"/>
      <c r="B240" s="169"/>
      <c r="C240" s="170"/>
      <c r="D240" s="165"/>
      <c r="E240" s="119"/>
      <c r="F240" s="165"/>
      <c r="G240" s="126"/>
      <c r="H240" s="127"/>
      <c r="I240" s="128"/>
      <c r="J240" s="76" t="s">
        <v>195</v>
      </c>
      <c r="K240" s="27" t="e">
        <f t="array" ref="K240">INDEX(TXRESULT!$B$1:$I$1000,MATCH($D$228&amp;J240&amp;$F$236&amp;"SPUR2",TXRESULT!$C$1:$C$1000&amp;TXRESULT!$B$1:$B$1000&amp;TXRESULT!$H$1:$H$1000&amp;TXRESULT!$K$1:$K$1000,0),5)</f>
        <v>#N/A</v>
      </c>
      <c r="L240" s="146"/>
      <c r="M240" s="27" t="e">
        <f t="shared" si="18"/>
        <v>#N/A</v>
      </c>
      <c r="N240" s="27" t="str">
        <f t="shared" si="19"/>
        <v/>
      </c>
    </row>
    <row r="241" spans="1:14" x14ac:dyDescent="0.3">
      <c r="A241" s="116"/>
      <c r="B241" s="169"/>
      <c r="C241" s="170"/>
      <c r="D241" s="165"/>
      <c r="E241" s="119"/>
      <c r="F241" s="165"/>
      <c r="G241" s="126"/>
      <c r="H241" s="127"/>
      <c r="I241" s="128"/>
      <c r="J241" s="76" t="s">
        <v>196</v>
      </c>
      <c r="K241" s="27" t="e">
        <f t="array" ref="K241">INDEX(TXRESULT!$B$1:$I$1000,MATCH($D$228&amp;J241&amp;$F$236&amp;"SPUR2",TXRESULT!$C$1:$C$1000&amp;TXRESULT!$B$1:$B$1000&amp;TXRESULT!$H$1:$H$1000&amp;TXRESULT!$K$1:$K$1000,0),5)</f>
        <v>#N/A</v>
      </c>
      <c r="L241" s="146"/>
      <c r="M241" s="27" t="e">
        <f t="shared" si="18"/>
        <v>#N/A</v>
      </c>
      <c r="N241" s="27" t="str">
        <f t="shared" si="19"/>
        <v/>
      </c>
    </row>
    <row r="242" spans="1:14" x14ac:dyDescent="0.3">
      <c r="A242" s="116"/>
      <c r="B242" s="169"/>
      <c r="C242" s="170"/>
      <c r="D242" s="165"/>
      <c r="E242" s="119"/>
      <c r="F242" s="165"/>
      <c r="G242" s="126"/>
      <c r="H242" s="127"/>
      <c r="I242" s="128"/>
      <c r="J242" s="76" t="s">
        <v>197</v>
      </c>
      <c r="K242" s="27" t="e">
        <f t="array" ref="K242">INDEX(TXRESULT!$B$1:$I$1000,MATCH($D$228&amp;J242&amp;$F$236&amp;"SPUR2",TXRESULT!$C$1:$C$1000&amp;TXRESULT!$B$1:$B$1000&amp;TXRESULT!$H$1:$H$1000&amp;TXRESULT!$K$1:$K$1000,0),5)</f>
        <v>#N/A</v>
      </c>
      <c r="L242" s="146"/>
      <c r="M242" s="27" t="e">
        <f t="shared" si="18"/>
        <v>#N/A</v>
      </c>
      <c r="N242" s="27" t="str">
        <f t="shared" si="19"/>
        <v/>
      </c>
    </row>
    <row r="243" spans="1:14" x14ac:dyDescent="0.3">
      <c r="A243" s="116"/>
      <c r="B243" s="169"/>
      <c r="C243" s="170"/>
      <c r="D243" s="165"/>
      <c r="E243" s="120"/>
      <c r="F243" s="166"/>
      <c r="G243" s="129"/>
      <c r="H243" s="130"/>
      <c r="I243" s="131"/>
      <c r="J243" s="76" t="s">
        <v>198</v>
      </c>
      <c r="K243" s="27" t="e">
        <f t="array" ref="K243">INDEX(TXRESULT!$B$1:$I$1000,MATCH($D$228&amp;J243&amp;$F$236&amp;"SPUR2",TXRESULT!$C$1:$C$1000&amp;TXRESULT!$B$1:$B$1000&amp;TXRESULT!$H$1:$H$1000&amp;TXRESULT!$K$1:$K$1000,0),5)</f>
        <v>#N/A</v>
      </c>
      <c r="L243" s="146"/>
      <c r="M243" s="27" t="e">
        <f t="shared" si="18"/>
        <v>#N/A</v>
      </c>
      <c r="N243" s="27" t="str">
        <f t="shared" si="19"/>
        <v/>
      </c>
    </row>
    <row r="244" spans="1:14" ht="15.75" customHeight="1" x14ac:dyDescent="0.3">
      <c r="A244" s="116"/>
      <c r="B244" s="169"/>
      <c r="C244" s="170"/>
      <c r="D244" s="165"/>
      <c r="E244" s="132" t="s">
        <v>52</v>
      </c>
      <c r="F244" s="164" t="s">
        <v>53</v>
      </c>
      <c r="G244" s="123" t="s">
        <v>129</v>
      </c>
      <c r="H244" s="124"/>
      <c r="I244" s="125"/>
      <c r="J244" s="76" t="s">
        <v>191</v>
      </c>
      <c r="K244" s="27" t="e">
        <f t="array" ref="K244">INDEX(TXRESULT!$B$1:$I$1000,MATCH($D$228&amp;J244&amp;$F$244&amp;"SPUR3",TXRESULT!$C$1:$C$1000&amp;TXRESULT!$B$1:$B$1000&amp;TXRESULT!$H$1:$H$1000&amp;TXRESULT!$K$1:$K$1000,0),5)</f>
        <v>#N/A</v>
      </c>
      <c r="L244" s="146"/>
      <c r="M244" s="27" t="e">
        <f t="shared" si="18"/>
        <v>#N/A</v>
      </c>
      <c r="N244" s="27" t="str">
        <f t="shared" si="19"/>
        <v/>
      </c>
    </row>
    <row r="245" spans="1:14" x14ac:dyDescent="0.3">
      <c r="A245" s="116"/>
      <c r="B245" s="169"/>
      <c r="C245" s="170"/>
      <c r="D245" s="165"/>
      <c r="E245" s="119"/>
      <c r="F245" s="165"/>
      <c r="G245" s="126"/>
      <c r="H245" s="127"/>
      <c r="I245" s="128"/>
      <c r="J245" s="76" t="s">
        <v>192</v>
      </c>
      <c r="K245" s="27" t="e">
        <f t="array" ref="K245">INDEX(TXRESULT!$B$1:$I$1000,MATCH($D$228&amp;J245&amp;$F$244&amp;"SPUR3",TXRESULT!$C$1:$C$1000&amp;TXRESULT!$B$1:$B$1000&amp;TXRESULT!$H$1:$H$1000&amp;TXRESULT!$K$1:$K$1000,0),5)</f>
        <v>#N/A</v>
      </c>
      <c r="L245" s="146"/>
      <c r="M245" s="27" t="e">
        <f t="shared" si="18"/>
        <v>#N/A</v>
      </c>
      <c r="N245" s="27" t="str">
        <f t="shared" si="19"/>
        <v/>
      </c>
    </row>
    <row r="246" spans="1:14" x14ac:dyDescent="0.3">
      <c r="A246" s="116"/>
      <c r="B246" s="169"/>
      <c r="C246" s="170"/>
      <c r="D246" s="165"/>
      <c r="E246" s="119"/>
      <c r="F246" s="165"/>
      <c r="G246" s="126"/>
      <c r="H246" s="127"/>
      <c r="I246" s="128"/>
      <c r="J246" s="76" t="s">
        <v>193</v>
      </c>
      <c r="K246" s="27" t="e">
        <f t="array" ref="K246">INDEX(TXRESULT!$B$1:$I$1000,MATCH($D$228&amp;J246&amp;$F$244&amp;"SPUR3",TXRESULT!$C$1:$C$1000&amp;TXRESULT!$B$1:$B$1000&amp;TXRESULT!$H$1:$H$1000&amp;TXRESULT!$K$1:$K$1000,0),5)</f>
        <v>#N/A</v>
      </c>
      <c r="L246" s="146"/>
      <c r="M246" s="27" t="e">
        <f t="shared" si="18"/>
        <v>#N/A</v>
      </c>
      <c r="N246" s="27" t="str">
        <f t="shared" si="19"/>
        <v/>
      </c>
    </row>
    <row r="247" spans="1:14" x14ac:dyDescent="0.3">
      <c r="A247" s="116"/>
      <c r="B247" s="169"/>
      <c r="C247" s="170"/>
      <c r="D247" s="165"/>
      <c r="E247" s="119"/>
      <c r="F247" s="165"/>
      <c r="G247" s="126"/>
      <c r="H247" s="127"/>
      <c r="I247" s="128"/>
      <c r="J247" s="76" t="s">
        <v>194</v>
      </c>
      <c r="K247" s="27" t="e">
        <f t="array" ref="K247">INDEX(TXRESULT!$B$1:$I$1000,MATCH($D$228&amp;J247&amp;$F$244&amp;"SPUR3",TXRESULT!$C$1:$C$1000&amp;TXRESULT!$B$1:$B$1000&amp;TXRESULT!$H$1:$H$1000&amp;TXRESULT!$K$1:$K$1000,0),5)</f>
        <v>#N/A</v>
      </c>
      <c r="L247" s="146"/>
      <c r="M247" s="27" t="e">
        <f t="shared" si="18"/>
        <v>#N/A</v>
      </c>
      <c r="N247" s="27" t="str">
        <f t="shared" si="19"/>
        <v/>
      </c>
    </row>
    <row r="248" spans="1:14" x14ac:dyDescent="0.3">
      <c r="A248" s="116"/>
      <c r="B248" s="169"/>
      <c r="C248" s="170"/>
      <c r="D248" s="165"/>
      <c r="E248" s="119"/>
      <c r="F248" s="165"/>
      <c r="G248" s="126"/>
      <c r="H248" s="127"/>
      <c r="I248" s="128"/>
      <c r="J248" s="76" t="s">
        <v>195</v>
      </c>
      <c r="K248" s="27" t="e">
        <f t="array" ref="K248">INDEX(TXRESULT!$B$1:$I$1000,MATCH($D$228&amp;J248&amp;$F$244&amp;"SPUR3",TXRESULT!$C$1:$C$1000&amp;TXRESULT!$B$1:$B$1000&amp;TXRESULT!$H$1:$H$1000&amp;TXRESULT!$K$1:$K$1000,0),5)</f>
        <v>#N/A</v>
      </c>
      <c r="L248" s="146"/>
      <c r="M248" s="27" t="e">
        <f t="shared" si="18"/>
        <v>#N/A</v>
      </c>
      <c r="N248" s="27" t="str">
        <f t="shared" si="19"/>
        <v/>
      </c>
    </row>
    <row r="249" spans="1:14" x14ac:dyDescent="0.3">
      <c r="A249" s="116"/>
      <c r="B249" s="169"/>
      <c r="C249" s="170"/>
      <c r="D249" s="165"/>
      <c r="E249" s="119"/>
      <c r="F249" s="165"/>
      <c r="G249" s="126"/>
      <c r="H249" s="127"/>
      <c r="I249" s="128"/>
      <c r="J249" s="76" t="s">
        <v>196</v>
      </c>
      <c r="K249" s="27" t="e">
        <f t="array" ref="K249">INDEX(TXRESULT!$B$1:$I$1000,MATCH($D$228&amp;J249&amp;$F$244&amp;"SPUR3",TXRESULT!$C$1:$C$1000&amp;TXRESULT!$B$1:$B$1000&amp;TXRESULT!$H$1:$H$1000&amp;TXRESULT!$K$1:$K$1000,0),5)</f>
        <v>#N/A</v>
      </c>
      <c r="L249" s="146"/>
      <c r="M249" s="27" t="e">
        <f t="shared" si="18"/>
        <v>#N/A</v>
      </c>
      <c r="N249" s="27" t="str">
        <f t="shared" si="19"/>
        <v/>
      </c>
    </row>
    <row r="250" spans="1:14" x14ac:dyDescent="0.3">
      <c r="A250" s="116"/>
      <c r="B250" s="169"/>
      <c r="C250" s="170"/>
      <c r="D250" s="165"/>
      <c r="E250" s="119"/>
      <c r="F250" s="165"/>
      <c r="G250" s="126"/>
      <c r="H250" s="127"/>
      <c r="I250" s="128"/>
      <c r="J250" s="76" t="s">
        <v>197</v>
      </c>
      <c r="K250" s="27" t="e">
        <f t="array" ref="K250">INDEX(TXRESULT!$B$1:$I$1000,MATCH($D$228&amp;J250&amp;$F$244&amp;"SPUR3",TXRESULT!$C$1:$C$1000&amp;TXRESULT!$B$1:$B$1000&amp;TXRESULT!$H$1:$H$1000&amp;TXRESULT!$K$1:$K$1000,0),5)</f>
        <v>#N/A</v>
      </c>
      <c r="L250" s="146"/>
      <c r="M250" s="27" t="e">
        <f t="shared" si="18"/>
        <v>#N/A</v>
      </c>
      <c r="N250" s="27" t="str">
        <f t="shared" si="19"/>
        <v/>
      </c>
    </row>
    <row r="251" spans="1:14" x14ac:dyDescent="0.3">
      <c r="A251" s="116"/>
      <c r="B251" s="169"/>
      <c r="C251" s="170"/>
      <c r="D251" s="165"/>
      <c r="E251" s="120"/>
      <c r="F251" s="166"/>
      <c r="G251" s="129"/>
      <c r="H251" s="130"/>
      <c r="I251" s="131"/>
      <c r="J251" s="76" t="s">
        <v>198</v>
      </c>
      <c r="K251" s="27" t="e">
        <f t="array" ref="K251">INDEX(TXRESULT!$B$1:$I$1000,MATCH($D$228&amp;J251&amp;$F$244&amp;"SPUR3",TXRESULT!$C$1:$C$1000&amp;TXRESULT!$B$1:$B$1000&amp;TXRESULT!$H$1:$H$1000&amp;TXRESULT!$K$1:$K$1000,0),5)</f>
        <v>#N/A</v>
      </c>
      <c r="L251" s="146"/>
      <c r="M251" s="27" t="e">
        <f t="shared" si="18"/>
        <v>#N/A</v>
      </c>
      <c r="N251" s="27" t="str">
        <f t="shared" si="19"/>
        <v/>
      </c>
    </row>
    <row r="252" spans="1:14" ht="15.75" customHeight="1" x14ac:dyDescent="0.3">
      <c r="A252" s="116"/>
      <c r="B252" s="169"/>
      <c r="C252" s="170"/>
      <c r="D252" s="165"/>
      <c r="E252" s="132" t="s">
        <v>52</v>
      </c>
      <c r="F252" s="164" t="s">
        <v>53</v>
      </c>
      <c r="G252" s="123" t="s">
        <v>130</v>
      </c>
      <c r="H252" s="124"/>
      <c r="I252" s="125"/>
      <c r="J252" s="76" t="s">
        <v>191</v>
      </c>
      <c r="K252" s="27" t="e">
        <f t="array" ref="K252">INDEX(TXRESULT!$B$1:$I$1000,MATCH($D$228&amp;J252&amp;$F$252&amp;"SPUR4",TXRESULT!$C$1:$C$1000&amp;TXRESULT!$B$1:$B$1000&amp;TXRESULT!$H$1:$H$1000&amp;TXRESULT!$K$1:$K$1000,0),5)</f>
        <v>#N/A</v>
      </c>
      <c r="L252" s="146"/>
      <c r="M252" s="27" t="e">
        <f>IF(ISBLANK(K252),"",IF(AND(K252*1&lt;-30),"PASS","FAIL"))</f>
        <v>#N/A</v>
      </c>
      <c r="N252" s="27" t="str">
        <f t="shared" si="19"/>
        <v/>
      </c>
    </row>
    <row r="253" spans="1:14" x14ac:dyDescent="0.3">
      <c r="A253" s="116"/>
      <c r="B253" s="169"/>
      <c r="C253" s="170"/>
      <c r="D253" s="165"/>
      <c r="E253" s="119"/>
      <c r="F253" s="165"/>
      <c r="G253" s="126"/>
      <c r="H253" s="127"/>
      <c r="I253" s="128"/>
      <c r="J253" s="76" t="s">
        <v>192</v>
      </c>
      <c r="K253" s="27" t="e">
        <f t="array" ref="K253">INDEX(TXRESULT!$B$1:$I$1000,MATCH($D$228&amp;J253&amp;$F$252&amp;"SPUR4",TXRESULT!$C$1:$C$1000&amp;TXRESULT!$B$1:$B$1000&amp;TXRESULT!$H$1:$H$1000&amp;TXRESULT!$K$1:$K$1000,0),5)</f>
        <v>#N/A</v>
      </c>
      <c r="L253" s="146"/>
      <c r="M253" s="27" t="e">
        <f t="shared" ref="M253:M267" si="20">IF(ISBLANK(K253),"",IF(AND(K253*1&lt;-30),"PASS","FAIL"))</f>
        <v>#N/A</v>
      </c>
      <c r="N253" s="27" t="str">
        <f t="shared" si="19"/>
        <v/>
      </c>
    </row>
    <row r="254" spans="1:14" x14ac:dyDescent="0.3">
      <c r="A254" s="116"/>
      <c r="B254" s="169"/>
      <c r="C254" s="170"/>
      <c r="D254" s="165"/>
      <c r="E254" s="119"/>
      <c r="F254" s="165"/>
      <c r="G254" s="126"/>
      <c r="H254" s="127"/>
      <c r="I254" s="128"/>
      <c r="J254" s="76" t="s">
        <v>193</v>
      </c>
      <c r="K254" s="27" t="e">
        <f t="array" ref="K254">INDEX(TXRESULT!$B$1:$I$1000,MATCH($D$228&amp;J254&amp;$F$252&amp;"SPUR4",TXRESULT!$C$1:$C$1000&amp;TXRESULT!$B$1:$B$1000&amp;TXRESULT!$H$1:$H$1000&amp;TXRESULT!$K$1:$K$1000,0),5)</f>
        <v>#N/A</v>
      </c>
      <c r="L254" s="146"/>
      <c r="M254" s="27" t="e">
        <f t="shared" si="20"/>
        <v>#N/A</v>
      </c>
      <c r="N254" s="27" t="str">
        <f t="shared" si="19"/>
        <v/>
      </c>
    </row>
    <row r="255" spans="1:14" x14ac:dyDescent="0.3">
      <c r="A255" s="116"/>
      <c r="B255" s="169"/>
      <c r="C255" s="170"/>
      <c r="D255" s="165"/>
      <c r="E255" s="119"/>
      <c r="F255" s="165"/>
      <c r="G255" s="126"/>
      <c r="H255" s="127"/>
      <c r="I255" s="128"/>
      <c r="J255" s="76" t="s">
        <v>194</v>
      </c>
      <c r="K255" s="27" t="e">
        <f t="array" ref="K255">INDEX(TXRESULT!$B$1:$I$1000,MATCH($D$228&amp;J255&amp;$F$252&amp;"SPUR4",TXRESULT!$C$1:$C$1000&amp;TXRESULT!$B$1:$B$1000&amp;TXRESULT!$H$1:$H$1000&amp;TXRESULT!$K$1:$K$1000,0),5)</f>
        <v>#N/A</v>
      </c>
      <c r="L255" s="146"/>
      <c r="M255" s="27" t="e">
        <f t="shared" si="20"/>
        <v>#N/A</v>
      </c>
      <c r="N255" s="27" t="str">
        <f t="shared" si="19"/>
        <v/>
      </c>
    </row>
    <row r="256" spans="1:14" x14ac:dyDescent="0.3">
      <c r="A256" s="116"/>
      <c r="B256" s="169"/>
      <c r="C256" s="170"/>
      <c r="D256" s="165"/>
      <c r="E256" s="119"/>
      <c r="F256" s="165"/>
      <c r="G256" s="126"/>
      <c r="H256" s="127"/>
      <c r="I256" s="128"/>
      <c r="J256" s="76" t="s">
        <v>195</v>
      </c>
      <c r="K256" s="27" t="e">
        <f t="array" ref="K256">INDEX(TXRESULT!$B$1:$I$1000,MATCH($D$228&amp;J256&amp;$F$252&amp;"SPUR4",TXRESULT!$C$1:$C$1000&amp;TXRESULT!$B$1:$B$1000&amp;TXRESULT!$H$1:$H$1000&amp;TXRESULT!$K$1:$K$1000,0),5)</f>
        <v>#N/A</v>
      </c>
      <c r="L256" s="146"/>
      <c r="M256" s="27" t="e">
        <f t="shared" si="20"/>
        <v>#N/A</v>
      </c>
      <c r="N256" s="27" t="str">
        <f t="shared" si="19"/>
        <v/>
      </c>
    </row>
    <row r="257" spans="1:14" x14ac:dyDescent="0.3">
      <c r="A257" s="116"/>
      <c r="B257" s="169"/>
      <c r="C257" s="170"/>
      <c r="D257" s="165"/>
      <c r="E257" s="119"/>
      <c r="F257" s="165"/>
      <c r="G257" s="126"/>
      <c r="H257" s="127"/>
      <c r="I257" s="128"/>
      <c r="J257" s="76" t="s">
        <v>196</v>
      </c>
      <c r="K257" s="27" t="e">
        <f t="array" ref="K257">INDEX(TXRESULT!$B$1:$I$1000,MATCH($D$228&amp;J257&amp;$F$252&amp;"SPUR4",TXRESULT!$C$1:$C$1000&amp;TXRESULT!$B$1:$B$1000&amp;TXRESULT!$H$1:$H$1000&amp;TXRESULT!$K$1:$K$1000,0),5)</f>
        <v>#N/A</v>
      </c>
      <c r="L257" s="146"/>
      <c r="M257" s="27" t="e">
        <f t="shared" si="20"/>
        <v>#N/A</v>
      </c>
      <c r="N257" s="27" t="str">
        <f t="shared" si="19"/>
        <v/>
      </c>
    </row>
    <row r="258" spans="1:14" x14ac:dyDescent="0.3">
      <c r="A258" s="116"/>
      <c r="B258" s="169"/>
      <c r="C258" s="170"/>
      <c r="D258" s="165"/>
      <c r="E258" s="119"/>
      <c r="F258" s="165"/>
      <c r="G258" s="126"/>
      <c r="H258" s="127"/>
      <c r="I258" s="128"/>
      <c r="J258" s="76" t="s">
        <v>197</v>
      </c>
      <c r="K258" s="27" t="e">
        <f t="array" ref="K258">INDEX(TXRESULT!$B$1:$I$1000,MATCH($D$228&amp;J258&amp;$F$252&amp;"SPUR4",TXRESULT!$C$1:$C$1000&amp;TXRESULT!$B$1:$B$1000&amp;TXRESULT!$H$1:$H$1000&amp;TXRESULT!$K$1:$K$1000,0),5)</f>
        <v>#N/A</v>
      </c>
      <c r="L258" s="146"/>
      <c r="M258" s="27" t="e">
        <f t="shared" si="20"/>
        <v>#N/A</v>
      </c>
      <c r="N258" s="27" t="str">
        <f t="shared" si="19"/>
        <v/>
      </c>
    </row>
    <row r="259" spans="1:14" x14ac:dyDescent="0.3">
      <c r="A259" s="116"/>
      <c r="B259" s="169"/>
      <c r="C259" s="170"/>
      <c r="D259" s="165"/>
      <c r="E259" s="120"/>
      <c r="F259" s="166"/>
      <c r="G259" s="129"/>
      <c r="H259" s="130"/>
      <c r="I259" s="131"/>
      <c r="J259" s="76" t="s">
        <v>198</v>
      </c>
      <c r="K259" s="27" t="e">
        <f t="array" ref="K259">INDEX(TXRESULT!$B$1:$I$1000,MATCH($D$228&amp;J259&amp;$F$252&amp;"SPUR4",TXRESULT!$C$1:$C$1000&amp;TXRESULT!$B$1:$B$1000&amp;TXRESULT!$H$1:$H$1000&amp;TXRESULT!$K$1:$K$1000,0),5)</f>
        <v>#N/A</v>
      </c>
      <c r="L259" s="146"/>
      <c r="M259" s="27" t="e">
        <f t="shared" si="20"/>
        <v>#N/A</v>
      </c>
      <c r="N259" s="27" t="str">
        <f t="shared" si="19"/>
        <v/>
      </c>
    </row>
    <row r="260" spans="1:14" ht="15.75" customHeight="1" x14ac:dyDescent="0.3">
      <c r="A260" s="116"/>
      <c r="B260" s="169"/>
      <c r="C260" s="170"/>
      <c r="D260" s="165"/>
      <c r="E260" s="132" t="s">
        <v>52</v>
      </c>
      <c r="F260" s="164" t="s">
        <v>53</v>
      </c>
      <c r="G260" s="123" t="s">
        <v>131</v>
      </c>
      <c r="H260" s="124"/>
      <c r="I260" s="125"/>
      <c r="J260" s="76" t="s">
        <v>191</v>
      </c>
      <c r="K260" s="27" t="e">
        <f t="array" ref="K260">INDEX(TXRESULT!$B$1:$I$1000,MATCH($D$228&amp;J260&amp;$F$260&amp;"SPUR5",TXRESULT!$C$1:$C$1000&amp;TXRESULT!$B$1:$B$1000&amp;TXRESULT!$H$1:$H$1000&amp;TXRESULT!$K$1:$K$1000,0),5)</f>
        <v>#N/A</v>
      </c>
      <c r="L260" s="146"/>
      <c r="M260" s="27" t="e">
        <f t="shared" si="20"/>
        <v>#N/A</v>
      </c>
      <c r="N260" s="27" t="str">
        <f t="shared" si="19"/>
        <v/>
      </c>
    </row>
    <row r="261" spans="1:14" x14ac:dyDescent="0.3">
      <c r="A261" s="116"/>
      <c r="B261" s="169"/>
      <c r="C261" s="170"/>
      <c r="D261" s="165"/>
      <c r="E261" s="119"/>
      <c r="F261" s="165"/>
      <c r="G261" s="126"/>
      <c r="H261" s="127"/>
      <c r="I261" s="128"/>
      <c r="J261" s="76" t="s">
        <v>192</v>
      </c>
      <c r="K261" s="27" t="e">
        <f t="array" ref="K261">INDEX(TXRESULT!$B$1:$I$1000,MATCH($D$228&amp;J261&amp;$F$260&amp;"SPUR5",TXRESULT!$C$1:$C$1000&amp;TXRESULT!$B$1:$B$1000&amp;TXRESULT!$H$1:$H$1000&amp;TXRESULT!$K$1:$K$1000,0),5)</f>
        <v>#N/A</v>
      </c>
      <c r="L261" s="146"/>
      <c r="M261" s="27" t="e">
        <f t="shared" si="20"/>
        <v>#N/A</v>
      </c>
      <c r="N261" s="27" t="str">
        <f t="shared" si="19"/>
        <v/>
      </c>
    </row>
    <row r="262" spans="1:14" x14ac:dyDescent="0.3">
      <c r="A262" s="116"/>
      <c r="B262" s="169"/>
      <c r="C262" s="170"/>
      <c r="D262" s="165"/>
      <c r="E262" s="119"/>
      <c r="F262" s="165"/>
      <c r="G262" s="126"/>
      <c r="H262" s="127"/>
      <c r="I262" s="128"/>
      <c r="J262" s="76" t="s">
        <v>193</v>
      </c>
      <c r="K262" s="27" t="e">
        <f t="array" ref="K262">INDEX(TXRESULT!$B$1:$I$1000,MATCH($D$228&amp;J262&amp;$F$260&amp;"SPUR5",TXRESULT!$C$1:$C$1000&amp;TXRESULT!$B$1:$B$1000&amp;TXRESULT!$H$1:$H$1000&amp;TXRESULT!$K$1:$K$1000,0),5)</f>
        <v>#N/A</v>
      </c>
      <c r="L262" s="146"/>
      <c r="M262" s="27" t="e">
        <f t="shared" si="20"/>
        <v>#N/A</v>
      </c>
      <c r="N262" s="27" t="str">
        <f t="shared" si="19"/>
        <v/>
      </c>
    </row>
    <row r="263" spans="1:14" x14ac:dyDescent="0.3">
      <c r="A263" s="116"/>
      <c r="B263" s="169"/>
      <c r="C263" s="170"/>
      <c r="D263" s="165"/>
      <c r="E263" s="119"/>
      <c r="F263" s="165"/>
      <c r="G263" s="126"/>
      <c r="H263" s="127"/>
      <c r="I263" s="128"/>
      <c r="J263" s="76" t="s">
        <v>194</v>
      </c>
      <c r="K263" s="27" t="e">
        <f t="array" ref="K263">INDEX(TXRESULT!$B$1:$I$1000,MATCH($D$228&amp;J263&amp;$F$260&amp;"SPUR5",TXRESULT!$C$1:$C$1000&amp;TXRESULT!$B$1:$B$1000&amp;TXRESULT!$H$1:$H$1000&amp;TXRESULT!$K$1:$K$1000,0),5)</f>
        <v>#N/A</v>
      </c>
      <c r="L263" s="146"/>
      <c r="M263" s="27" t="e">
        <f t="shared" si="20"/>
        <v>#N/A</v>
      </c>
      <c r="N263" s="27" t="str">
        <f t="shared" si="19"/>
        <v/>
      </c>
    </row>
    <row r="264" spans="1:14" x14ac:dyDescent="0.3">
      <c r="A264" s="116"/>
      <c r="B264" s="169"/>
      <c r="C264" s="170"/>
      <c r="D264" s="165"/>
      <c r="E264" s="119"/>
      <c r="F264" s="165"/>
      <c r="G264" s="126"/>
      <c r="H264" s="127"/>
      <c r="I264" s="128"/>
      <c r="J264" s="76" t="s">
        <v>195</v>
      </c>
      <c r="K264" s="27" t="e">
        <f t="array" ref="K264">INDEX(TXRESULT!$B$1:$I$1000,MATCH($D$228&amp;J264&amp;$F$260&amp;"SPUR5",TXRESULT!$C$1:$C$1000&amp;TXRESULT!$B$1:$B$1000&amp;TXRESULT!$H$1:$H$1000&amp;TXRESULT!$K$1:$K$1000,0),5)</f>
        <v>#N/A</v>
      </c>
      <c r="L264" s="146"/>
      <c r="M264" s="27" t="e">
        <f t="shared" si="20"/>
        <v>#N/A</v>
      </c>
      <c r="N264" s="27" t="str">
        <f t="shared" si="19"/>
        <v/>
      </c>
    </row>
    <row r="265" spans="1:14" x14ac:dyDescent="0.3">
      <c r="A265" s="116"/>
      <c r="B265" s="169"/>
      <c r="C265" s="170"/>
      <c r="D265" s="165"/>
      <c r="E265" s="119"/>
      <c r="F265" s="165"/>
      <c r="G265" s="126"/>
      <c r="H265" s="127"/>
      <c r="I265" s="128"/>
      <c r="J265" s="76" t="s">
        <v>196</v>
      </c>
      <c r="K265" s="27" t="e">
        <f t="array" ref="K265">INDEX(TXRESULT!$B$1:$I$1000,MATCH($D$228&amp;J265&amp;$F$260&amp;"SPUR5",TXRESULT!$C$1:$C$1000&amp;TXRESULT!$B$1:$B$1000&amp;TXRESULT!$H$1:$H$1000&amp;TXRESULT!$K$1:$K$1000,0),5)</f>
        <v>#N/A</v>
      </c>
      <c r="L265" s="146"/>
      <c r="M265" s="27" t="e">
        <f t="shared" si="20"/>
        <v>#N/A</v>
      </c>
      <c r="N265" s="27" t="str">
        <f t="shared" si="19"/>
        <v/>
      </c>
    </row>
    <row r="266" spans="1:14" x14ac:dyDescent="0.3">
      <c r="A266" s="116"/>
      <c r="B266" s="169"/>
      <c r="C266" s="170"/>
      <c r="D266" s="165"/>
      <c r="E266" s="119"/>
      <c r="F266" s="165"/>
      <c r="G266" s="126"/>
      <c r="H266" s="127"/>
      <c r="I266" s="128"/>
      <c r="J266" s="76" t="s">
        <v>197</v>
      </c>
      <c r="K266" s="27" t="e">
        <f t="array" ref="K266">INDEX(TXRESULT!$B$1:$I$1000,MATCH($D$228&amp;J266&amp;$F$260&amp;"SPUR5",TXRESULT!$C$1:$C$1000&amp;TXRESULT!$B$1:$B$1000&amp;TXRESULT!$H$1:$H$1000&amp;TXRESULT!$K$1:$K$1000,0),5)</f>
        <v>#N/A</v>
      </c>
      <c r="L266" s="146"/>
      <c r="M266" s="27" t="e">
        <f t="shared" si="20"/>
        <v>#N/A</v>
      </c>
      <c r="N266" s="27" t="str">
        <f t="shared" si="19"/>
        <v/>
      </c>
    </row>
    <row r="267" spans="1:14" x14ac:dyDescent="0.3">
      <c r="A267" s="117"/>
      <c r="B267" s="171"/>
      <c r="C267" s="172"/>
      <c r="D267" s="166"/>
      <c r="E267" s="120"/>
      <c r="F267" s="166"/>
      <c r="G267" s="129"/>
      <c r="H267" s="130"/>
      <c r="I267" s="131"/>
      <c r="J267" s="76" t="s">
        <v>198</v>
      </c>
      <c r="K267" s="27" t="e">
        <f t="array" ref="K267">INDEX(TXRESULT!$B$1:$I$1000,MATCH($D$228&amp;J267&amp;$F$260&amp;"SPUR5",TXRESULT!$C$1:$C$1000&amp;TXRESULT!$B$1:$B$1000&amp;TXRESULT!$H$1:$H$1000&amp;TXRESULT!$K$1:$K$1000,0),5)</f>
        <v>#N/A</v>
      </c>
      <c r="L267" s="147"/>
      <c r="M267" s="27" t="e">
        <f t="shared" si="20"/>
        <v>#N/A</v>
      </c>
      <c r="N267" s="27" t="str">
        <f t="shared" si="19"/>
        <v/>
      </c>
    </row>
    <row r="268" spans="1:14" ht="15.6" customHeight="1" x14ac:dyDescent="0.3">
      <c r="A268" s="148" t="s">
        <v>38</v>
      </c>
      <c r="B268" s="151" t="s">
        <v>39</v>
      </c>
      <c r="C268" s="152"/>
      <c r="D268" s="153"/>
      <c r="E268" s="148" t="s">
        <v>40</v>
      </c>
      <c r="F268" s="160" t="s">
        <v>41</v>
      </c>
      <c r="G268" s="161"/>
      <c r="H268" s="161"/>
      <c r="I268" s="162"/>
      <c r="J268" s="151" t="s">
        <v>42</v>
      </c>
      <c r="K268" s="153"/>
      <c r="L268" s="148" t="s">
        <v>43</v>
      </c>
      <c r="M268" s="133" t="s">
        <v>44</v>
      </c>
      <c r="N268" s="133" t="s">
        <v>45</v>
      </c>
    </row>
    <row r="269" spans="1:14" x14ac:dyDescent="0.3">
      <c r="A269" s="149"/>
      <c r="B269" s="154"/>
      <c r="C269" s="155"/>
      <c r="D269" s="156"/>
      <c r="E269" s="149"/>
      <c r="F269" s="163" t="s">
        <v>199</v>
      </c>
      <c r="G269" s="163"/>
      <c r="H269" s="163" t="s">
        <v>200</v>
      </c>
      <c r="I269" s="163"/>
      <c r="J269" s="154"/>
      <c r="K269" s="156"/>
      <c r="L269" s="149"/>
      <c r="M269" s="134"/>
      <c r="N269" s="134"/>
    </row>
    <row r="270" spans="1:14" ht="31.2" x14ac:dyDescent="0.3">
      <c r="A270" s="150"/>
      <c r="B270" s="157"/>
      <c r="C270" s="158"/>
      <c r="D270" s="159"/>
      <c r="E270" s="150"/>
      <c r="F270" s="59" t="s">
        <v>201</v>
      </c>
      <c r="G270" s="59" t="s">
        <v>202</v>
      </c>
      <c r="H270" s="59" t="s">
        <v>201</v>
      </c>
      <c r="I270" s="59" t="s">
        <v>202</v>
      </c>
      <c r="J270" s="157"/>
      <c r="K270" s="159"/>
      <c r="L270" s="150"/>
      <c r="M270" s="135"/>
      <c r="N270" s="135"/>
    </row>
    <row r="271" spans="1:14" x14ac:dyDescent="0.3">
      <c r="A271" s="79" t="s">
        <v>135</v>
      </c>
      <c r="B271" s="15" t="s">
        <v>136</v>
      </c>
      <c r="C271" s="16"/>
      <c r="D271" s="16"/>
      <c r="E271" s="16"/>
      <c r="F271" s="16"/>
      <c r="G271" s="78"/>
      <c r="H271" s="78"/>
      <c r="I271" s="78"/>
      <c r="J271" s="78"/>
      <c r="K271" s="41"/>
      <c r="L271" s="78"/>
      <c r="M271" s="27"/>
      <c r="N271" s="42"/>
    </row>
    <row r="272" spans="1:14" ht="15.6" customHeight="1" x14ac:dyDescent="0.3">
      <c r="A272" s="115" t="s">
        <v>137</v>
      </c>
      <c r="B272" s="136" t="s">
        <v>138</v>
      </c>
      <c r="C272" s="137"/>
      <c r="D272" s="138"/>
      <c r="E272" s="114" t="s">
        <v>52</v>
      </c>
      <c r="F272" s="115" t="s">
        <v>220</v>
      </c>
      <c r="G272" s="76" t="s">
        <v>139</v>
      </c>
      <c r="H272" s="132" t="s">
        <v>225</v>
      </c>
      <c r="I272" s="76" t="s">
        <v>225</v>
      </c>
      <c r="J272" s="76" t="s">
        <v>191</v>
      </c>
      <c r="K272" s="27"/>
      <c r="L272" s="145" t="s">
        <v>140</v>
      </c>
      <c r="M272" s="27" t="str">
        <f>IF(ISBLANK(K272),"",IF(AND(K272*1&lt;=H272*1),"PASS","FAIL"))</f>
        <v/>
      </c>
      <c r="N272" s="27" t="str">
        <f>IF(ISBLANK(K272),"CHUADO","")</f>
        <v>CHUADO</v>
      </c>
    </row>
    <row r="273" spans="1:14" x14ac:dyDescent="0.3">
      <c r="A273" s="116"/>
      <c r="B273" s="139"/>
      <c r="C273" s="140"/>
      <c r="D273" s="141"/>
      <c r="E273" s="114"/>
      <c r="F273" s="116"/>
      <c r="G273" s="76" t="str">
        <f>G272</f>
        <v>-94.9</v>
      </c>
      <c r="H273" s="119"/>
      <c r="I273" s="76" t="s">
        <v>225</v>
      </c>
      <c r="J273" s="76" t="s">
        <v>192</v>
      </c>
      <c r="K273" s="27"/>
      <c r="L273" s="146"/>
      <c r="M273" s="27" t="str">
        <f t="shared" ref="M273:M279" si="21">IF(ISBLANK(K273),"",IF(AND(K273*1&lt;=H273*1),"PASS","FAIL"))</f>
        <v/>
      </c>
      <c r="N273" s="27" t="str">
        <f t="shared" ref="N273:N336" si="22">IF(ISBLANK(K273),"CHUADO","")</f>
        <v>CHUADO</v>
      </c>
    </row>
    <row r="274" spans="1:14" x14ac:dyDescent="0.3">
      <c r="A274" s="116"/>
      <c r="B274" s="139"/>
      <c r="C274" s="140"/>
      <c r="D274" s="141"/>
      <c r="E274" s="114"/>
      <c r="F274" s="116"/>
      <c r="G274" s="76" t="str">
        <f t="shared" ref="G274:G279" si="23">G273</f>
        <v>-94.9</v>
      </c>
      <c r="H274" s="119"/>
      <c r="I274" s="76" t="s">
        <v>225</v>
      </c>
      <c r="J274" s="76" t="s">
        <v>193</v>
      </c>
      <c r="K274" s="27"/>
      <c r="L274" s="146"/>
      <c r="M274" s="27" t="str">
        <f t="shared" si="21"/>
        <v/>
      </c>
      <c r="N274" s="27" t="str">
        <f t="shared" si="22"/>
        <v>CHUADO</v>
      </c>
    </row>
    <row r="275" spans="1:14" x14ac:dyDescent="0.3">
      <c r="A275" s="116"/>
      <c r="B275" s="139"/>
      <c r="C275" s="140"/>
      <c r="D275" s="141"/>
      <c r="E275" s="114"/>
      <c r="F275" s="116"/>
      <c r="G275" s="76" t="str">
        <f t="shared" si="23"/>
        <v>-94.9</v>
      </c>
      <c r="H275" s="119"/>
      <c r="I275" s="76" t="s">
        <v>225</v>
      </c>
      <c r="J275" s="76" t="s">
        <v>194</v>
      </c>
      <c r="K275" s="27"/>
      <c r="L275" s="146"/>
      <c r="M275" s="27" t="str">
        <f t="shared" si="21"/>
        <v/>
      </c>
      <c r="N275" s="27" t="str">
        <f t="shared" si="22"/>
        <v>CHUADO</v>
      </c>
    </row>
    <row r="276" spans="1:14" x14ac:dyDescent="0.3">
      <c r="A276" s="116"/>
      <c r="B276" s="139"/>
      <c r="C276" s="140"/>
      <c r="D276" s="141"/>
      <c r="E276" s="114"/>
      <c r="F276" s="116"/>
      <c r="G276" s="76" t="str">
        <f t="shared" si="23"/>
        <v>-94.9</v>
      </c>
      <c r="H276" s="119"/>
      <c r="I276" s="76" t="s">
        <v>225</v>
      </c>
      <c r="J276" s="76" t="s">
        <v>195</v>
      </c>
      <c r="K276" s="27"/>
      <c r="L276" s="146"/>
      <c r="M276" s="27" t="str">
        <f t="shared" si="21"/>
        <v/>
      </c>
      <c r="N276" s="27" t="str">
        <f t="shared" si="22"/>
        <v>CHUADO</v>
      </c>
    </row>
    <row r="277" spans="1:14" x14ac:dyDescent="0.3">
      <c r="A277" s="116"/>
      <c r="B277" s="139"/>
      <c r="C277" s="140"/>
      <c r="D277" s="141"/>
      <c r="E277" s="114"/>
      <c r="F277" s="116"/>
      <c r="G277" s="76" t="str">
        <f t="shared" si="23"/>
        <v>-94.9</v>
      </c>
      <c r="H277" s="119"/>
      <c r="I277" s="76" t="s">
        <v>225</v>
      </c>
      <c r="J277" s="76" t="s">
        <v>196</v>
      </c>
      <c r="K277" s="27"/>
      <c r="L277" s="146"/>
      <c r="M277" s="27" t="str">
        <f t="shared" si="21"/>
        <v/>
      </c>
      <c r="N277" s="27" t="str">
        <f t="shared" si="22"/>
        <v>CHUADO</v>
      </c>
    </row>
    <row r="278" spans="1:14" x14ac:dyDescent="0.3">
      <c r="A278" s="116"/>
      <c r="B278" s="139"/>
      <c r="C278" s="140"/>
      <c r="D278" s="141"/>
      <c r="E278" s="114"/>
      <c r="F278" s="116"/>
      <c r="G278" s="76" t="str">
        <f t="shared" si="23"/>
        <v>-94.9</v>
      </c>
      <c r="H278" s="119"/>
      <c r="I278" s="76" t="s">
        <v>225</v>
      </c>
      <c r="J278" s="76" t="s">
        <v>197</v>
      </c>
      <c r="K278" s="27"/>
      <c r="L278" s="146"/>
      <c r="M278" s="27" t="str">
        <f t="shared" si="21"/>
        <v/>
      </c>
      <c r="N278" s="27" t="str">
        <f t="shared" si="22"/>
        <v>CHUADO</v>
      </c>
    </row>
    <row r="279" spans="1:14" x14ac:dyDescent="0.3">
      <c r="A279" s="117"/>
      <c r="B279" s="142"/>
      <c r="C279" s="143"/>
      <c r="D279" s="144"/>
      <c r="E279" s="114"/>
      <c r="F279" s="117"/>
      <c r="G279" s="76" t="str">
        <f t="shared" si="23"/>
        <v>-94.9</v>
      </c>
      <c r="H279" s="120"/>
      <c r="I279" s="76" t="s">
        <v>225</v>
      </c>
      <c r="J279" s="76" t="s">
        <v>198</v>
      </c>
      <c r="K279" s="27"/>
      <c r="L279" s="147"/>
      <c r="M279" s="27" t="str">
        <f t="shared" si="21"/>
        <v/>
      </c>
      <c r="N279" s="27" t="str">
        <f t="shared" si="22"/>
        <v>CHUADO</v>
      </c>
    </row>
    <row r="280" spans="1:14" ht="15.6" customHeight="1" x14ac:dyDescent="0.3">
      <c r="A280" s="104" t="s">
        <v>141</v>
      </c>
      <c r="B280" s="105" t="s">
        <v>266</v>
      </c>
      <c r="C280" s="106"/>
      <c r="D280" s="107"/>
      <c r="E280" s="114" t="s">
        <v>52</v>
      </c>
      <c r="F280" s="115" t="s">
        <v>221</v>
      </c>
      <c r="G280" s="76" t="s">
        <v>204</v>
      </c>
      <c r="H280" s="132" t="s">
        <v>203</v>
      </c>
      <c r="I280" s="76" t="s">
        <v>142</v>
      </c>
      <c r="J280" s="76" t="s">
        <v>191</v>
      </c>
      <c r="K280" s="27"/>
      <c r="L280" s="118" t="s">
        <v>143</v>
      </c>
      <c r="M280" s="27" t="str">
        <f>IF(ISBLANK(K280),"",IF(AND(K280*1&gt;=H280*1),"PASS","FAIL"))</f>
        <v/>
      </c>
      <c r="N280" s="27" t="str">
        <f t="shared" si="22"/>
        <v>CHUADO</v>
      </c>
    </row>
    <row r="281" spans="1:14" x14ac:dyDescent="0.3">
      <c r="A281" s="104"/>
      <c r="B281" s="108"/>
      <c r="C281" s="109"/>
      <c r="D281" s="110"/>
      <c r="E281" s="114"/>
      <c r="F281" s="116"/>
      <c r="G281" s="76" t="s">
        <v>204</v>
      </c>
      <c r="H281" s="119"/>
      <c r="I281" s="76" t="str">
        <f>I280</f>
        <v>-69.1</v>
      </c>
      <c r="J281" s="76" t="s">
        <v>192</v>
      </c>
      <c r="K281" s="27"/>
      <c r="L281" s="118"/>
      <c r="M281" s="27" t="str">
        <f t="shared" ref="M281:M319" si="24">IF(ISBLANK(K281),"",IF(AND(K281*1&gt;=H281*1),"PASS","FAIL"))</f>
        <v/>
      </c>
      <c r="N281" s="27" t="str">
        <f t="shared" si="22"/>
        <v>CHUADO</v>
      </c>
    </row>
    <row r="282" spans="1:14" x14ac:dyDescent="0.3">
      <c r="A282" s="104"/>
      <c r="B282" s="108"/>
      <c r="C282" s="109"/>
      <c r="D282" s="110"/>
      <c r="E282" s="114"/>
      <c r="F282" s="116"/>
      <c r="G282" s="76" t="s">
        <v>204</v>
      </c>
      <c r="H282" s="119"/>
      <c r="I282" s="76" t="str">
        <f t="shared" ref="I282:I287" si="25">I281</f>
        <v>-69.1</v>
      </c>
      <c r="J282" s="76" t="s">
        <v>193</v>
      </c>
      <c r="K282" s="27"/>
      <c r="L282" s="118"/>
      <c r="M282" s="27" t="str">
        <f t="shared" si="24"/>
        <v/>
      </c>
      <c r="N282" s="27" t="str">
        <f t="shared" si="22"/>
        <v>CHUADO</v>
      </c>
    </row>
    <row r="283" spans="1:14" x14ac:dyDescent="0.3">
      <c r="A283" s="104"/>
      <c r="B283" s="108"/>
      <c r="C283" s="109"/>
      <c r="D283" s="110"/>
      <c r="E283" s="114"/>
      <c r="F283" s="116"/>
      <c r="G283" s="76" t="s">
        <v>204</v>
      </c>
      <c r="H283" s="119"/>
      <c r="I283" s="76" t="str">
        <f t="shared" si="25"/>
        <v>-69.1</v>
      </c>
      <c r="J283" s="76" t="s">
        <v>194</v>
      </c>
      <c r="K283" s="27"/>
      <c r="L283" s="118"/>
      <c r="M283" s="27" t="str">
        <f t="shared" si="24"/>
        <v/>
      </c>
      <c r="N283" s="27" t="str">
        <f t="shared" si="22"/>
        <v>CHUADO</v>
      </c>
    </row>
    <row r="284" spans="1:14" x14ac:dyDescent="0.3">
      <c r="A284" s="104"/>
      <c r="B284" s="108"/>
      <c r="C284" s="109"/>
      <c r="D284" s="110"/>
      <c r="E284" s="114"/>
      <c r="F284" s="116"/>
      <c r="G284" s="76" t="s">
        <v>204</v>
      </c>
      <c r="H284" s="119"/>
      <c r="I284" s="76" t="str">
        <f t="shared" si="25"/>
        <v>-69.1</v>
      </c>
      <c r="J284" s="76" t="s">
        <v>195</v>
      </c>
      <c r="K284" s="27"/>
      <c r="L284" s="118"/>
      <c r="M284" s="27" t="str">
        <f t="shared" si="24"/>
        <v/>
      </c>
      <c r="N284" s="27" t="str">
        <f t="shared" si="22"/>
        <v>CHUADO</v>
      </c>
    </row>
    <row r="285" spans="1:14" x14ac:dyDescent="0.3">
      <c r="A285" s="104"/>
      <c r="B285" s="108"/>
      <c r="C285" s="109"/>
      <c r="D285" s="110"/>
      <c r="E285" s="114"/>
      <c r="F285" s="116"/>
      <c r="G285" s="76" t="s">
        <v>204</v>
      </c>
      <c r="H285" s="119"/>
      <c r="I285" s="76" t="str">
        <f t="shared" si="25"/>
        <v>-69.1</v>
      </c>
      <c r="J285" s="76" t="s">
        <v>196</v>
      </c>
      <c r="K285" s="27"/>
      <c r="L285" s="118"/>
      <c r="M285" s="27" t="str">
        <f t="shared" si="24"/>
        <v/>
      </c>
      <c r="N285" s="27" t="str">
        <f t="shared" si="22"/>
        <v>CHUADO</v>
      </c>
    </row>
    <row r="286" spans="1:14" x14ac:dyDescent="0.3">
      <c r="A286" s="104"/>
      <c r="B286" s="108"/>
      <c r="C286" s="109"/>
      <c r="D286" s="110"/>
      <c r="E286" s="114"/>
      <c r="F286" s="116"/>
      <c r="G286" s="76" t="s">
        <v>204</v>
      </c>
      <c r="H286" s="119"/>
      <c r="I286" s="76" t="str">
        <f t="shared" si="25"/>
        <v>-69.1</v>
      </c>
      <c r="J286" s="76" t="s">
        <v>197</v>
      </c>
      <c r="K286" s="27"/>
      <c r="L286" s="118"/>
      <c r="M286" s="27" t="str">
        <f t="shared" si="24"/>
        <v/>
      </c>
      <c r="N286" s="27" t="str">
        <f t="shared" si="22"/>
        <v>CHUADO</v>
      </c>
    </row>
    <row r="287" spans="1:14" x14ac:dyDescent="0.3">
      <c r="A287" s="104"/>
      <c r="B287" s="111"/>
      <c r="C287" s="112"/>
      <c r="D287" s="113"/>
      <c r="E287" s="114"/>
      <c r="F287" s="117"/>
      <c r="G287" s="76" t="s">
        <v>204</v>
      </c>
      <c r="H287" s="120"/>
      <c r="I287" s="76" t="str">
        <f t="shared" si="25"/>
        <v>-69.1</v>
      </c>
      <c r="J287" s="76" t="s">
        <v>198</v>
      </c>
      <c r="K287" s="27"/>
      <c r="L287" s="118"/>
      <c r="M287" s="27" t="str">
        <f t="shared" si="24"/>
        <v/>
      </c>
      <c r="N287" s="27" t="str">
        <f t="shared" si="22"/>
        <v>CHUADO</v>
      </c>
    </row>
    <row r="288" spans="1:14" ht="15.6" customHeight="1" x14ac:dyDescent="0.3">
      <c r="A288" s="104" t="s">
        <v>144</v>
      </c>
      <c r="B288" s="105" t="s">
        <v>267</v>
      </c>
      <c r="C288" s="106"/>
      <c r="D288" s="107"/>
      <c r="E288" s="114" t="s">
        <v>52</v>
      </c>
      <c r="F288" s="115" t="s">
        <v>220</v>
      </c>
      <c r="G288" s="76">
        <f t="shared" ref="G288:G319" si="26">$G$272*1+6</f>
        <v>-88.9</v>
      </c>
      <c r="H288" s="115" t="s">
        <v>205</v>
      </c>
      <c r="I288" s="76" t="s">
        <v>145</v>
      </c>
      <c r="J288" s="76" t="s">
        <v>191</v>
      </c>
      <c r="K288" s="27"/>
      <c r="L288" s="118" t="s">
        <v>146</v>
      </c>
      <c r="M288" s="27" t="str">
        <f t="shared" si="24"/>
        <v/>
      </c>
      <c r="N288" s="27" t="str">
        <f t="shared" si="22"/>
        <v>CHUADO</v>
      </c>
    </row>
    <row r="289" spans="1:14" x14ac:dyDescent="0.3">
      <c r="A289" s="104"/>
      <c r="B289" s="108"/>
      <c r="C289" s="109"/>
      <c r="D289" s="110"/>
      <c r="E289" s="114"/>
      <c r="F289" s="116"/>
      <c r="G289" s="76">
        <f t="shared" si="26"/>
        <v>-88.9</v>
      </c>
      <c r="H289" s="116"/>
      <c r="I289" s="76" t="str">
        <f>I288</f>
        <v>-52</v>
      </c>
      <c r="J289" s="76" t="s">
        <v>192</v>
      </c>
      <c r="K289" s="27"/>
      <c r="L289" s="118"/>
      <c r="M289" s="27" t="str">
        <f t="shared" si="24"/>
        <v/>
      </c>
      <c r="N289" s="27" t="str">
        <f t="shared" si="22"/>
        <v>CHUADO</v>
      </c>
    </row>
    <row r="290" spans="1:14" x14ac:dyDescent="0.3">
      <c r="A290" s="104"/>
      <c r="B290" s="108"/>
      <c r="C290" s="109"/>
      <c r="D290" s="110"/>
      <c r="E290" s="114"/>
      <c r="F290" s="116"/>
      <c r="G290" s="76">
        <f t="shared" si="26"/>
        <v>-88.9</v>
      </c>
      <c r="H290" s="116"/>
      <c r="I290" s="76" t="str">
        <f t="shared" ref="I290:I295" si="27">I289</f>
        <v>-52</v>
      </c>
      <c r="J290" s="76" t="s">
        <v>193</v>
      </c>
      <c r="K290" s="27"/>
      <c r="L290" s="118"/>
      <c r="M290" s="27" t="str">
        <f t="shared" si="24"/>
        <v/>
      </c>
      <c r="N290" s="27" t="str">
        <f t="shared" si="22"/>
        <v>CHUADO</v>
      </c>
    </row>
    <row r="291" spans="1:14" x14ac:dyDescent="0.3">
      <c r="A291" s="104"/>
      <c r="B291" s="108"/>
      <c r="C291" s="109"/>
      <c r="D291" s="110"/>
      <c r="E291" s="114"/>
      <c r="F291" s="116"/>
      <c r="G291" s="76">
        <f t="shared" si="26"/>
        <v>-88.9</v>
      </c>
      <c r="H291" s="116"/>
      <c r="I291" s="76" t="str">
        <f t="shared" si="27"/>
        <v>-52</v>
      </c>
      <c r="J291" s="76" t="s">
        <v>194</v>
      </c>
      <c r="K291" s="27"/>
      <c r="L291" s="118"/>
      <c r="M291" s="27" t="str">
        <f t="shared" si="24"/>
        <v/>
      </c>
      <c r="N291" s="27" t="str">
        <f t="shared" si="22"/>
        <v>CHUADO</v>
      </c>
    </row>
    <row r="292" spans="1:14" x14ac:dyDescent="0.3">
      <c r="A292" s="104"/>
      <c r="B292" s="108"/>
      <c r="C292" s="109"/>
      <c r="D292" s="110"/>
      <c r="E292" s="114"/>
      <c r="F292" s="116"/>
      <c r="G292" s="76">
        <f t="shared" si="26"/>
        <v>-88.9</v>
      </c>
      <c r="H292" s="116"/>
      <c r="I292" s="76" t="str">
        <f t="shared" si="27"/>
        <v>-52</v>
      </c>
      <c r="J292" s="76" t="s">
        <v>195</v>
      </c>
      <c r="K292" s="27"/>
      <c r="L292" s="118"/>
      <c r="M292" s="27" t="str">
        <f t="shared" si="24"/>
        <v/>
      </c>
      <c r="N292" s="27" t="str">
        <f t="shared" si="22"/>
        <v>CHUADO</v>
      </c>
    </row>
    <row r="293" spans="1:14" x14ac:dyDescent="0.3">
      <c r="A293" s="104"/>
      <c r="B293" s="108"/>
      <c r="C293" s="109"/>
      <c r="D293" s="110"/>
      <c r="E293" s="114"/>
      <c r="F293" s="116"/>
      <c r="G293" s="76">
        <f t="shared" si="26"/>
        <v>-88.9</v>
      </c>
      <c r="H293" s="116"/>
      <c r="I293" s="76" t="str">
        <f t="shared" si="27"/>
        <v>-52</v>
      </c>
      <c r="J293" s="76" t="s">
        <v>196</v>
      </c>
      <c r="K293" s="27"/>
      <c r="L293" s="118"/>
      <c r="M293" s="27" t="str">
        <f t="shared" si="24"/>
        <v/>
      </c>
      <c r="N293" s="27" t="str">
        <f t="shared" si="22"/>
        <v>CHUADO</v>
      </c>
    </row>
    <row r="294" spans="1:14" x14ac:dyDescent="0.3">
      <c r="A294" s="104"/>
      <c r="B294" s="108"/>
      <c r="C294" s="109"/>
      <c r="D294" s="110"/>
      <c r="E294" s="114"/>
      <c r="F294" s="116"/>
      <c r="G294" s="76">
        <f t="shared" si="26"/>
        <v>-88.9</v>
      </c>
      <c r="H294" s="116"/>
      <c r="I294" s="76" t="str">
        <f t="shared" si="27"/>
        <v>-52</v>
      </c>
      <c r="J294" s="76" t="s">
        <v>197</v>
      </c>
      <c r="K294" s="27"/>
      <c r="L294" s="118"/>
      <c r="M294" s="27" t="str">
        <f t="shared" si="24"/>
        <v/>
      </c>
      <c r="N294" s="27" t="str">
        <f t="shared" si="22"/>
        <v>CHUADO</v>
      </c>
    </row>
    <row r="295" spans="1:14" x14ac:dyDescent="0.3">
      <c r="A295" s="104"/>
      <c r="B295" s="111"/>
      <c r="C295" s="112"/>
      <c r="D295" s="113"/>
      <c r="E295" s="114"/>
      <c r="F295" s="117"/>
      <c r="G295" s="76">
        <f t="shared" si="26"/>
        <v>-88.9</v>
      </c>
      <c r="H295" s="117"/>
      <c r="I295" s="76" t="str">
        <f t="shared" si="27"/>
        <v>-52</v>
      </c>
      <c r="J295" s="76" t="s">
        <v>198</v>
      </c>
      <c r="K295" s="27"/>
      <c r="L295" s="118"/>
      <c r="M295" s="27" t="str">
        <f t="shared" si="24"/>
        <v/>
      </c>
      <c r="N295" s="27" t="str">
        <f t="shared" si="22"/>
        <v>CHUADO</v>
      </c>
    </row>
    <row r="296" spans="1:14" ht="15.6" customHeight="1" x14ac:dyDescent="0.3">
      <c r="A296" s="104" t="s">
        <v>147</v>
      </c>
      <c r="B296" s="105" t="s">
        <v>148</v>
      </c>
      <c r="C296" s="106"/>
      <c r="D296" s="107"/>
      <c r="E296" s="114" t="s">
        <v>52</v>
      </c>
      <c r="F296" s="115" t="s">
        <v>220</v>
      </c>
      <c r="G296" s="76">
        <f t="shared" si="26"/>
        <v>-88.9</v>
      </c>
      <c r="H296" s="115" t="s">
        <v>205</v>
      </c>
      <c r="I296" s="76" t="s">
        <v>149</v>
      </c>
      <c r="J296" s="76" t="s">
        <v>191</v>
      </c>
      <c r="K296" s="27"/>
      <c r="L296" s="118" t="s">
        <v>150</v>
      </c>
      <c r="M296" s="27" t="str">
        <f t="shared" si="24"/>
        <v/>
      </c>
      <c r="N296" s="27" t="str">
        <f t="shared" si="22"/>
        <v>CHUADO</v>
      </c>
    </row>
    <row r="297" spans="1:14" x14ac:dyDescent="0.3">
      <c r="A297" s="104"/>
      <c r="B297" s="108"/>
      <c r="C297" s="109"/>
      <c r="D297" s="110"/>
      <c r="E297" s="114"/>
      <c r="F297" s="116"/>
      <c r="G297" s="76">
        <f t="shared" si="26"/>
        <v>-88.9</v>
      </c>
      <c r="H297" s="116"/>
      <c r="I297" s="76" t="str">
        <f>I296</f>
        <v>-43</v>
      </c>
      <c r="J297" s="76" t="s">
        <v>192</v>
      </c>
      <c r="K297" s="27"/>
      <c r="L297" s="118"/>
      <c r="M297" s="27" t="str">
        <f t="shared" si="24"/>
        <v/>
      </c>
      <c r="N297" s="27" t="str">
        <f t="shared" si="22"/>
        <v>CHUADO</v>
      </c>
    </row>
    <row r="298" spans="1:14" x14ac:dyDescent="0.3">
      <c r="A298" s="104"/>
      <c r="B298" s="108"/>
      <c r="C298" s="109"/>
      <c r="D298" s="110"/>
      <c r="E298" s="114"/>
      <c r="F298" s="116"/>
      <c r="G298" s="76">
        <f t="shared" si="26"/>
        <v>-88.9</v>
      </c>
      <c r="H298" s="116"/>
      <c r="I298" s="76" t="str">
        <f>I296</f>
        <v>-43</v>
      </c>
      <c r="J298" s="76" t="s">
        <v>193</v>
      </c>
      <c r="K298" s="27"/>
      <c r="L298" s="118"/>
      <c r="M298" s="27" t="str">
        <f t="shared" si="24"/>
        <v/>
      </c>
      <c r="N298" s="27" t="str">
        <f t="shared" si="22"/>
        <v>CHUADO</v>
      </c>
    </row>
    <row r="299" spans="1:14" x14ac:dyDescent="0.3">
      <c r="A299" s="104"/>
      <c r="B299" s="108"/>
      <c r="C299" s="109"/>
      <c r="D299" s="110"/>
      <c r="E299" s="114"/>
      <c r="F299" s="116"/>
      <c r="G299" s="76">
        <f t="shared" si="26"/>
        <v>-88.9</v>
      </c>
      <c r="H299" s="116"/>
      <c r="I299" s="76" t="str">
        <f>I296</f>
        <v>-43</v>
      </c>
      <c r="J299" s="76" t="s">
        <v>194</v>
      </c>
      <c r="K299" s="27"/>
      <c r="L299" s="118"/>
      <c r="M299" s="27" t="str">
        <f t="shared" si="24"/>
        <v/>
      </c>
      <c r="N299" s="27" t="str">
        <f t="shared" si="22"/>
        <v>CHUADO</v>
      </c>
    </row>
    <row r="300" spans="1:14" x14ac:dyDescent="0.3">
      <c r="A300" s="104"/>
      <c r="B300" s="108"/>
      <c r="C300" s="109"/>
      <c r="D300" s="110"/>
      <c r="E300" s="114"/>
      <c r="F300" s="116"/>
      <c r="G300" s="76">
        <f t="shared" si="26"/>
        <v>-88.9</v>
      </c>
      <c r="H300" s="116"/>
      <c r="I300" s="76" t="str">
        <f>I296</f>
        <v>-43</v>
      </c>
      <c r="J300" s="76" t="s">
        <v>195</v>
      </c>
      <c r="K300" s="27"/>
      <c r="L300" s="118"/>
      <c r="M300" s="27" t="str">
        <f t="shared" si="24"/>
        <v/>
      </c>
      <c r="N300" s="27" t="str">
        <f t="shared" si="22"/>
        <v>CHUADO</v>
      </c>
    </row>
    <row r="301" spans="1:14" x14ac:dyDescent="0.3">
      <c r="A301" s="104"/>
      <c r="B301" s="108"/>
      <c r="C301" s="109"/>
      <c r="D301" s="110"/>
      <c r="E301" s="114"/>
      <c r="F301" s="116"/>
      <c r="G301" s="76">
        <f t="shared" si="26"/>
        <v>-88.9</v>
      </c>
      <c r="H301" s="116"/>
      <c r="I301" s="76" t="str">
        <f>I296</f>
        <v>-43</v>
      </c>
      <c r="J301" s="76" t="s">
        <v>196</v>
      </c>
      <c r="K301" s="27"/>
      <c r="L301" s="118"/>
      <c r="M301" s="27" t="str">
        <f t="shared" si="24"/>
        <v/>
      </c>
      <c r="N301" s="27" t="str">
        <f t="shared" si="22"/>
        <v>CHUADO</v>
      </c>
    </row>
    <row r="302" spans="1:14" x14ac:dyDescent="0.3">
      <c r="A302" s="104"/>
      <c r="B302" s="108"/>
      <c r="C302" s="109"/>
      <c r="D302" s="110"/>
      <c r="E302" s="114"/>
      <c r="F302" s="116"/>
      <c r="G302" s="76">
        <f t="shared" si="26"/>
        <v>-88.9</v>
      </c>
      <c r="H302" s="116"/>
      <c r="I302" s="76" t="str">
        <f>I296</f>
        <v>-43</v>
      </c>
      <c r="J302" s="76" t="s">
        <v>197</v>
      </c>
      <c r="K302" s="27"/>
      <c r="L302" s="118"/>
      <c r="M302" s="27" t="str">
        <f t="shared" si="24"/>
        <v/>
      </c>
      <c r="N302" s="27" t="str">
        <f t="shared" si="22"/>
        <v>CHUADO</v>
      </c>
    </row>
    <row r="303" spans="1:14" x14ac:dyDescent="0.3">
      <c r="A303" s="104"/>
      <c r="B303" s="111"/>
      <c r="C303" s="112"/>
      <c r="D303" s="113"/>
      <c r="E303" s="114"/>
      <c r="F303" s="117"/>
      <c r="G303" s="76">
        <f t="shared" si="26"/>
        <v>-88.9</v>
      </c>
      <c r="H303" s="117"/>
      <c r="I303" s="76" t="str">
        <f>I296</f>
        <v>-43</v>
      </c>
      <c r="J303" s="76" t="s">
        <v>198</v>
      </c>
      <c r="K303" s="27"/>
      <c r="L303" s="118"/>
      <c r="M303" s="27" t="str">
        <f t="shared" si="24"/>
        <v/>
      </c>
      <c r="N303" s="27" t="str">
        <f t="shared" si="22"/>
        <v>CHUADO</v>
      </c>
    </row>
    <row r="304" spans="1:14" ht="15.6" customHeight="1" x14ac:dyDescent="0.3">
      <c r="A304" s="104" t="s">
        <v>151</v>
      </c>
      <c r="B304" s="105" t="s">
        <v>152</v>
      </c>
      <c r="C304" s="106"/>
      <c r="D304" s="107"/>
      <c r="E304" s="114" t="s">
        <v>52</v>
      </c>
      <c r="F304" s="115" t="s">
        <v>220</v>
      </c>
      <c r="G304" s="76">
        <f t="shared" si="26"/>
        <v>-88.9</v>
      </c>
      <c r="H304" s="115" t="s">
        <v>206</v>
      </c>
      <c r="I304" s="44" t="s">
        <v>153</v>
      </c>
      <c r="J304" s="76" t="s">
        <v>191</v>
      </c>
      <c r="K304" s="27"/>
      <c r="L304" s="118" t="s">
        <v>154</v>
      </c>
      <c r="M304" s="27" t="str">
        <f t="shared" si="24"/>
        <v/>
      </c>
      <c r="N304" s="27" t="str">
        <f t="shared" si="22"/>
        <v>CHUADO</v>
      </c>
    </row>
    <row r="305" spans="1:14" x14ac:dyDescent="0.3">
      <c r="A305" s="104"/>
      <c r="B305" s="108"/>
      <c r="C305" s="109"/>
      <c r="D305" s="110"/>
      <c r="E305" s="114"/>
      <c r="F305" s="116"/>
      <c r="G305" s="76">
        <f t="shared" si="26"/>
        <v>-88.9</v>
      </c>
      <c r="H305" s="116"/>
      <c r="I305" s="76" t="str">
        <f>I304</f>
        <v>-49</v>
      </c>
      <c r="J305" s="76" t="s">
        <v>192</v>
      </c>
      <c r="K305" s="27"/>
      <c r="L305" s="118"/>
      <c r="M305" s="27" t="str">
        <f t="shared" si="24"/>
        <v/>
      </c>
      <c r="N305" s="27" t="str">
        <f t="shared" si="22"/>
        <v>CHUADO</v>
      </c>
    </row>
    <row r="306" spans="1:14" x14ac:dyDescent="0.3">
      <c r="A306" s="104"/>
      <c r="B306" s="108"/>
      <c r="C306" s="109"/>
      <c r="D306" s="110"/>
      <c r="E306" s="114"/>
      <c r="F306" s="116"/>
      <c r="G306" s="76">
        <f t="shared" si="26"/>
        <v>-88.9</v>
      </c>
      <c r="H306" s="116"/>
      <c r="I306" s="76" t="str">
        <f>I304</f>
        <v>-49</v>
      </c>
      <c r="J306" s="76" t="s">
        <v>193</v>
      </c>
      <c r="K306" s="27"/>
      <c r="L306" s="118"/>
      <c r="M306" s="27" t="str">
        <f t="shared" si="24"/>
        <v/>
      </c>
      <c r="N306" s="27" t="str">
        <f t="shared" si="22"/>
        <v>CHUADO</v>
      </c>
    </row>
    <row r="307" spans="1:14" x14ac:dyDescent="0.3">
      <c r="A307" s="104"/>
      <c r="B307" s="108"/>
      <c r="C307" s="109"/>
      <c r="D307" s="110"/>
      <c r="E307" s="114"/>
      <c r="F307" s="116"/>
      <c r="G307" s="76">
        <f t="shared" si="26"/>
        <v>-88.9</v>
      </c>
      <c r="H307" s="116"/>
      <c r="I307" s="76" t="str">
        <f>I304</f>
        <v>-49</v>
      </c>
      <c r="J307" s="76" t="s">
        <v>194</v>
      </c>
      <c r="K307" s="27"/>
      <c r="L307" s="118"/>
      <c r="M307" s="27" t="str">
        <f t="shared" si="24"/>
        <v/>
      </c>
      <c r="N307" s="27" t="str">
        <f t="shared" si="22"/>
        <v>CHUADO</v>
      </c>
    </row>
    <row r="308" spans="1:14" x14ac:dyDescent="0.3">
      <c r="A308" s="104"/>
      <c r="B308" s="108"/>
      <c r="C308" s="109"/>
      <c r="D308" s="110"/>
      <c r="E308" s="114"/>
      <c r="F308" s="116"/>
      <c r="G308" s="76">
        <f t="shared" si="26"/>
        <v>-88.9</v>
      </c>
      <c r="H308" s="116"/>
      <c r="I308" s="76" t="str">
        <f>I304</f>
        <v>-49</v>
      </c>
      <c r="J308" s="76" t="s">
        <v>195</v>
      </c>
      <c r="K308" s="27"/>
      <c r="L308" s="118"/>
      <c r="M308" s="27" t="str">
        <f t="shared" si="24"/>
        <v/>
      </c>
      <c r="N308" s="27" t="str">
        <f t="shared" si="22"/>
        <v>CHUADO</v>
      </c>
    </row>
    <row r="309" spans="1:14" x14ac:dyDescent="0.3">
      <c r="A309" s="104"/>
      <c r="B309" s="108"/>
      <c r="C309" s="109"/>
      <c r="D309" s="110"/>
      <c r="E309" s="114"/>
      <c r="F309" s="116"/>
      <c r="G309" s="76">
        <f t="shared" si="26"/>
        <v>-88.9</v>
      </c>
      <c r="H309" s="116"/>
      <c r="I309" s="76" t="str">
        <f>I304</f>
        <v>-49</v>
      </c>
      <c r="J309" s="76" t="s">
        <v>196</v>
      </c>
      <c r="K309" s="27"/>
      <c r="L309" s="118"/>
      <c r="M309" s="27" t="str">
        <f t="shared" si="24"/>
        <v/>
      </c>
      <c r="N309" s="27" t="str">
        <f t="shared" si="22"/>
        <v>CHUADO</v>
      </c>
    </row>
    <row r="310" spans="1:14" x14ac:dyDescent="0.3">
      <c r="A310" s="104"/>
      <c r="B310" s="108"/>
      <c r="C310" s="109"/>
      <c r="D310" s="110"/>
      <c r="E310" s="114"/>
      <c r="F310" s="116"/>
      <c r="G310" s="76">
        <f t="shared" si="26"/>
        <v>-88.9</v>
      </c>
      <c r="H310" s="116"/>
      <c r="I310" s="76" t="str">
        <f>I304</f>
        <v>-49</v>
      </c>
      <c r="J310" s="76" t="s">
        <v>197</v>
      </c>
      <c r="K310" s="27"/>
      <c r="L310" s="118"/>
      <c r="M310" s="27" t="str">
        <f t="shared" si="24"/>
        <v/>
      </c>
      <c r="N310" s="27" t="str">
        <f t="shared" si="22"/>
        <v>CHUADO</v>
      </c>
    </row>
    <row r="311" spans="1:14" x14ac:dyDescent="0.3">
      <c r="A311" s="104"/>
      <c r="B311" s="111"/>
      <c r="C311" s="112"/>
      <c r="D311" s="113"/>
      <c r="E311" s="114"/>
      <c r="F311" s="117"/>
      <c r="G311" s="76">
        <f t="shared" si="26"/>
        <v>-88.9</v>
      </c>
      <c r="H311" s="117"/>
      <c r="I311" s="76" t="str">
        <f>I304</f>
        <v>-49</v>
      </c>
      <c r="J311" s="76" t="s">
        <v>198</v>
      </c>
      <c r="K311" s="27"/>
      <c r="L311" s="118"/>
      <c r="M311" s="27" t="str">
        <f t="shared" si="24"/>
        <v/>
      </c>
      <c r="N311" s="27" t="str">
        <f t="shared" si="22"/>
        <v>CHUADO</v>
      </c>
    </row>
    <row r="312" spans="1:14" ht="15.6" customHeight="1" x14ac:dyDescent="0.3">
      <c r="A312" s="104" t="s">
        <v>155</v>
      </c>
      <c r="B312" s="105" t="s">
        <v>156</v>
      </c>
      <c r="C312" s="106"/>
      <c r="D312" s="107"/>
      <c r="E312" s="114" t="s">
        <v>52</v>
      </c>
      <c r="F312" s="115" t="s">
        <v>220</v>
      </c>
      <c r="G312" s="76">
        <f t="shared" si="26"/>
        <v>-88.9</v>
      </c>
      <c r="H312" s="132" t="s">
        <v>207</v>
      </c>
      <c r="I312" s="76" t="s">
        <v>157</v>
      </c>
      <c r="J312" s="76" t="s">
        <v>191</v>
      </c>
      <c r="K312" s="27"/>
      <c r="L312" s="118" t="s">
        <v>158</v>
      </c>
      <c r="M312" s="27" t="str">
        <f t="shared" si="24"/>
        <v/>
      </c>
      <c r="N312" s="27" t="str">
        <f t="shared" si="22"/>
        <v>CHUADO</v>
      </c>
    </row>
    <row r="313" spans="1:14" x14ac:dyDescent="0.3">
      <c r="A313" s="104"/>
      <c r="B313" s="108"/>
      <c r="C313" s="109"/>
      <c r="D313" s="110"/>
      <c r="E313" s="114"/>
      <c r="F313" s="116"/>
      <c r="G313" s="76">
        <f t="shared" si="26"/>
        <v>-88.9</v>
      </c>
      <c r="H313" s="119"/>
      <c r="I313" s="76" t="str">
        <f>I312</f>
        <v>-15</v>
      </c>
      <c r="J313" s="76" t="s">
        <v>192</v>
      </c>
      <c r="K313" s="27"/>
      <c r="L313" s="118"/>
      <c r="M313" s="27" t="str">
        <f t="shared" si="24"/>
        <v/>
      </c>
      <c r="N313" s="27" t="str">
        <f t="shared" si="22"/>
        <v>CHUADO</v>
      </c>
    </row>
    <row r="314" spans="1:14" x14ac:dyDescent="0.3">
      <c r="A314" s="104"/>
      <c r="B314" s="108"/>
      <c r="C314" s="109"/>
      <c r="D314" s="110"/>
      <c r="E314" s="114"/>
      <c r="F314" s="116"/>
      <c r="G314" s="76">
        <f t="shared" si="26"/>
        <v>-88.9</v>
      </c>
      <c r="H314" s="119"/>
      <c r="I314" s="76" t="str">
        <f>I312</f>
        <v>-15</v>
      </c>
      <c r="J314" s="76" t="s">
        <v>193</v>
      </c>
      <c r="K314" s="27"/>
      <c r="L314" s="118"/>
      <c r="M314" s="27" t="str">
        <f t="shared" si="24"/>
        <v/>
      </c>
      <c r="N314" s="27" t="str">
        <f t="shared" si="22"/>
        <v>CHUADO</v>
      </c>
    </row>
    <row r="315" spans="1:14" x14ac:dyDescent="0.3">
      <c r="A315" s="104"/>
      <c r="B315" s="108"/>
      <c r="C315" s="109"/>
      <c r="D315" s="110"/>
      <c r="E315" s="114"/>
      <c r="F315" s="116"/>
      <c r="G315" s="76">
        <f t="shared" si="26"/>
        <v>-88.9</v>
      </c>
      <c r="H315" s="119"/>
      <c r="I315" s="76" t="str">
        <f>I312</f>
        <v>-15</v>
      </c>
      <c r="J315" s="76" t="s">
        <v>194</v>
      </c>
      <c r="K315" s="27"/>
      <c r="L315" s="118"/>
      <c r="M315" s="27" t="str">
        <f t="shared" si="24"/>
        <v/>
      </c>
      <c r="N315" s="27" t="str">
        <f t="shared" si="22"/>
        <v>CHUADO</v>
      </c>
    </row>
    <row r="316" spans="1:14" x14ac:dyDescent="0.3">
      <c r="A316" s="104"/>
      <c r="B316" s="108"/>
      <c r="C316" s="109"/>
      <c r="D316" s="110"/>
      <c r="E316" s="114"/>
      <c r="F316" s="116"/>
      <c r="G316" s="76">
        <f t="shared" si="26"/>
        <v>-88.9</v>
      </c>
      <c r="H316" s="119"/>
      <c r="I316" s="76" t="str">
        <f>I312</f>
        <v>-15</v>
      </c>
      <c r="J316" s="76" t="s">
        <v>195</v>
      </c>
      <c r="K316" s="27"/>
      <c r="L316" s="118"/>
      <c r="M316" s="27" t="str">
        <f t="shared" si="24"/>
        <v/>
      </c>
      <c r="N316" s="27" t="str">
        <f t="shared" si="22"/>
        <v>CHUADO</v>
      </c>
    </row>
    <row r="317" spans="1:14" x14ac:dyDescent="0.3">
      <c r="A317" s="104"/>
      <c r="B317" s="108"/>
      <c r="C317" s="109"/>
      <c r="D317" s="110"/>
      <c r="E317" s="114"/>
      <c r="F317" s="116"/>
      <c r="G317" s="76">
        <f t="shared" si="26"/>
        <v>-88.9</v>
      </c>
      <c r="H317" s="119"/>
      <c r="I317" s="76" t="str">
        <f>I312</f>
        <v>-15</v>
      </c>
      <c r="J317" s="76" t="s">
        <v>196</v>
      </c>
      <c r="K317" s="27"/>
      <c r="L317" s="118"/>
      <c r="M317" s="27" t="str">
        <f t="shared" si="24"/>
        <v/>
      </c>
      <c r="N317" s="27" t="str">
        <f t="shared" si="22"/>
        <v>CHUADO</v>
      </c>
    </row>
    <row r="318" spans="1:14" x14ac:dyDescent="0.3">
      <c r="A318" s="104"/>
      <c r="B318" s="108"/>
      <c r="C318" s="109"/>
      <c r="D318" s="110"/>
      <c r="E318" s="114"/>
      <c r="F318" s="116"/>
      <c r="G318" s="76">
        <f t="shared" si="26"/>
        <v>-88.9</v>
      </c>
      <c r="H318" s="119"/>
      <c r="I318" s="76" t="str">
        <f>I312</f>
        <v>-15</v>
      </c>
      <c r="J318" s="76" t="s">
        <v>197</v>
      </c>
      <c r="K318" s="27"/>
      <c r="L318" s="118"/>
      <c r="M318" s="27" t="str">
        <f t="shared" si="24"/>
        <v/>
      </c>
      <c r="N318" s="27" t="str">
        <f t="shared" si="22"/>
        <v>CHUADO</v>
      </c>
    </row>
    <row r="319" spans="1:14" x14ac:dyDescent="0.3">
      <c r="A319" s="104"/>
      <c r="B319" s="111"/>
      <c r="C319" s="112"/>
      <c r="D319" s="113"/>
      <c r="E319" s="114"/>
      <c r="F319" s="117"/>
      <c r="G319" s="76">
        <f t="shared" si="26"/>
        <v>-88.9</v>
      </c>
      <c r="H319" s="120"/>
      <c r="I319" s="76" t="str">
        <f>I312</f>
        <v>-15</v>
      </c>
      <c r="J319" s="76" t="s">
        <v>198</v>
      </c>
      <c r="K319" s="27"/>
      <c r="L319" s="118"/>
      <c r="M319" s="27" t="str">
        <f t="shared" si="24"/>
        <v/>
      </c>
      <c r="N319" s="27" t="str">
        <f t="shared" si="22"/>
        <v>CHUADO</v>
      </c>
    </row>
    <row r="320" spans="1:14" ht="15.75" customHeight="1" x14ac:dyDescent="0.3">
      <c r="A320" s="115" t="s">
        <v>159</v>
      </c>
      <c r="B320" s="105" t="s">
        <v>160</v>
      </c>
      <c r="C320" s="106"/>
      <c r="D320" s="107"/>
      <c r="E320" s="114" t="s">
        <v>52</v>
      </c>
      <c r="F320" s="115"/>
      <c r="G320" s="123" t="s">
        <v>222</v>
      </c>
      <c r="H320" s="124"/>
      <c r="I320" s="125"/>
      <c r="J320" s="76" t="s">
        <v>191</v>
      </c>
      <c r="K320" s="27"/>
      <c r="L320" s="118" t="s">
        <v>161</v>
      </c>
      <c r="M320" s="27" t="str">
        <f>IF(ISBLANK(K320),"",IF(AND(K320*1&lt;-57),"PASS","FAIL"))</f>
        <v/>
      </c>
      <c r="N320" s="27" t="str">
        <f t="shared" si="22"/>
        <v>CHUADO</v>
      </c>
    </row>
    <row r="321" spans="1:14" x14ac:dyDescent="0.3">
      <c r="A321" s="116"/>
      <c r="B321" s="108"/>
      <c r="C321" s="109"/>
      <c r="D321" s="110"/>
      <c r="E321" s="114"/>
      <c r="F321" s="116"/>
      <c r="G321" s="126"/>
      <c r="H321" s="127"/>
      <c r="I321" s="128"/>
      <c r="J321" s="76" t="s">
        <v>192</v>
      </c>
      <c r="K321" s="27"/>
      <c r="L321" s="118"/>
      <c r="M321" s="27" t="str">
        <f t="shared" ref="M321:M327" si="28">IF(ISBLANK(K321),"",IF(AND(K321*1&lt;-57),"PASS","FAIL"))</f>
        <v/>
      </c>
      <c r="N321" s="27" t="str">
        <f t="shared" si="22"/>
        <v>CHUADO</v>
      </c>
    </row>
    <row r="322" spans="1:14" x14ac:dyDescent="0.3">
      <c r="A322" s="116"/>
      <c r="B322" s="108"/>
      <c r="C322" s="109"/>
      <c r="D322" s="110"/>
      <c r="E322" s="114"/>
      <c r="F322" s="116"/>
      <c r="G322" s="126"/>
      <c r="H322" s="127"/>
      <c r="I322" s="128"/>
      <c r="J322" s="76" t="s">
        <v>193</v>
      </c>
      <c r="K322" s="27"/>
      <c r="L322" s="118"/>
      <c r="M322" s="27" t="str">
        <f t="shared" si="28"/>
        <v/>
      </c>
      <c r="N322" s="27" t="str">
        <f t="shared" si="22"/>
        <v>CHUADO</v>
      </c>
    </row>
    <row r="323" spans="1:14" x14ac:dyDescent="0.3">
      <c r="A323" s="116"/>
      <c r="B323" s="108"/>
      <c r="C323" s="109"/>
      <c r="D323" s="110"/>
      <c r="E323" s="114"/>
      <c r="F323" s="116"/>
      <c r="G323" s="126"/>
      <c r="H323" s="127"/>
      <c r="I323" s="128"/>
      <c r="J323" s="76" t="s">
        <v>194</v>
      </c>
      <c r="K323" s="27"/>
      <c r="L323" s="118"/>
      <c r="M323" s="27" t="str">
        <f t="shared" si="28"/>
        <v/>
      </c>
      <c r="N323" s="27" t="str">
        <f t="shared" si="22"/>
        <v>CHUADO</v>
      </c>
    </row>
    <row r="324" spans="1:14" x14ac:dyDescent="0.3">
      <c r="A324" s="116"/>
      <c r="B324" s="108"/>
      <c r="C324" s="109"/>
      <c r="D324" s="110"/>
      <c r="E324" s="114"/>
      <c r="F324" s="116"/>
      <c r="G324" s="126"/>
      <c r="H324" s="127"/>
      <c r="I324" s="128"/>
      <c r="J324" s="76" t="s">
        <v>195</v>
      </c>
      <c r="K324" s="27"/>
      <c r="L324" s="118"/>
      <c r="M324" s="27" t="str">
        <f t="shared" si="28"/>
        <v/>
      </c>
      <c r="N324" s="27" t="str">
        <f t="shared" si="22"/>
        <v>CHUADO</v>
      </c>
    </row>
    <row r="325" spans="1:14" x14ac:dyDescent="0.3">
      <c r="A325" s="116"/>
      <c r="B325" s="108"/>
      <c r="C325" s="109"/>
      <c r="D325" s="110"/>
      <c r="E325" s="114"/>
      <c r="F325" s="116"/>
      <c r="G325" s="126"/>
      <c r="H325" s="127"/>
      <c r="I325" s="128"/>
      <c r="J325" s="76" t="s">
        <v>196</v>
      </c>
      <c r="K325" s="27"/>
      <c r="L325" s="118"/>
      <c r="M325" s="27" t="str">
        <f t="shared" si="28"/>
        <v/>
      </c>
      <c r="N325" s="27" t="str">
        <f t="shared" si="22"/>
        <v>CHUADO</v>
      </c>
    </row>
    <row r="326" spans="1:14" x14ac:dyDescent="0.3">
      <c r="A326" s="116"/>
      <c r="B326" s="108"/>
      <c r="C326" s="109"/>
      <c r="D326" s="110"/>
      <c r="E326" s="114"/>
      <c r="F326" s="116"/>
      <c r="G326" s="126"/>
      <c r="H326" s="127"/>
      <c r="I326" s="128"/>
      <c r="J326" s="76" t="s">
        <v>197</v>
      </c>
      <c r="K326" s="27"/>
      <c r="L326" s="118"/>
      <c r="M326" s="27" t="str">
        <f t="shared" si="28"/>
        <v/>
      </c>
      <c r="N326" s="27" t="str">
        <f t="shared" si="22"/>
        <v>CHUADO</v>
      </c>
    </row>
    <row r="327" spans="1:14" x14ac:dyDescent="0.3">
      <c r="A327" s="116"/>
      <c r="B327" s="108"/>
      <c r="C327" s="109"/>
      <c r="D327" s="110"/>
      <c r="E327" s="114"/>
      <c r="F327" s="117"/>
      <c r="G327" s="129"/>
      <c r="H327" s="130"/>
      <c r="I327" s="131"/>
      <c r="J327" s="76" t="s">
        <v>198</v>
      </c>
      <c r="K327" s="27"/>
      <c r="L327" s="118"/>
      <c r="M327" s="27" t="str">
        <f t="shared" si="28"/>
        <v/>
      </c>
      <c r="N327" s="27" t="str">
        <f t="shared" si="22"/>
        <v>CHUADO</v>
      </c>
    </row>
    <row r="328" spans="1:14" ht="15.6" customHeight="1" x14ac:dyDescent="0.3">
      <c r="A328" s="116"/>
      <c r="B328" s="108"/>
      <c r="C328" s="109"/>
      <c r="D328" s="110"/>
      <c r="E328" s="114" t="s">
        <v>52</v>
      </c>
      <c r="F328" s="115"/>
      <c r="G328" s="123" t="s">
        <v>223</v>
      </c>
      <c r="H328" s="124"/>
      <c r="I328" s="125"/>
      <c r="J328" s="76" t="s">
        <v>191</v>
      </c>
      <c r="K328" s="27"/>
      <c r="L328" s="118" t="s">
        <v>161</v>
      </c>
      <c r="M328" s="27" t="str">
        <f>IF(ISBLANK(K328),"",IF(AND(K328*1&lt;-47),"PASS","FAIL"))</f>
        <v/>
      </c>
      <c r="N328" s="27" t="str">
        <f t="shared" si="22"/>
        <v>CHUADO</v>
      </c>
    </row>
    <row r="329" spans="1:14" x14ac:dyDescent="0.3">
      <c r="A329" s="116"/>
      <c r="B329" s="108"/>
      <c r="C329" s="109"/>
      <c r="D329" s="110"/>
      <c r="E329" s="114"/>
      <c r="F329" s="116"/>
      <c r="G329" s="126"/>
      <c r="H329" s="127"/>
      <c r="I329" s="128"/>
      <c r="J329" s="76" t="s">
        <v>192</v>
      </c>
      <c r="K329" s="27"/>
      <c r="L329" s="118"/>
      <c r="M329" s="27" t="str">
        <f t="shared" ref="M329:M343" si="29">IF(ISBLANK(K329),"",IF(AND(K329*1&lt;-47),"PASS","FAIL"))</f>
        <v/>
      </c>
      <c r="N329" s="27" t="str">
        <f t="shared" si="22"/>
        <v>CHUADO</v>
      </c>
    </row>
    <row r="330" spans="1:14" x14ac:dyDescent="0.3">
      <c r="A330" s="116"/>
      <c r="B330" s="108"/>
      <c r="C330" s="109"/>
      <c r="D330" s="110"/>
      <c r="E330" s="114"/>
      <c r="F330" s="116"/>
      <c r="G330" s="126"/>
      <c r="H330" s="127"/>
      <c r="I330" s="128"/>
      <c r="J330" s="76" t="s">
        <v>193</v>
      </c>
      <c r="K330" s="27"/>
      <c r="L330" s="118"/>
      <c r="M330" s="27" t="str">
        <f t="shared" si="29"/>
        <v/>
      </c>
      <c r="N330" s="27" t="str">
        <f t="shared" si="22"/>
        <v>CHUADO</v>
      </c>
    </row>
    <row r="331" spans="1:14" x14ac:dyDescent="0.3">
      <c r="A331" s="116"/>
      <c r="B331" s="108"/>
      <c r="C331" s="109"/>
      <c r="D331" s="110"/>
      <c r="E331" s="114"/>
      <c r="F331" s="116"/>
      <c r="G331" s="126"/>
      <c r="H331" s="127"/>
      <c r="I331" s="128"/>
      <c r="J331" s="76" t="s">
        <v>194</v>
      </c>
      <c r="K331" s="27"/>
      <c r="L331" s="118"/>
      <c r="M331" s="27" t="str">
        <f t="shared" si="29"/>
        <v/>
      </c>
      <c r="N331" s="27" t="str">
        <f t="shared" si="22"/>
        <v>CHUADO</v>
      </c>
    </row>
    <row r="332" spans="1:14" x14ac:dyDescent="0.3">
      <c r="A332" s="116"/>
      <c r="B332" s="108"/>
      <c r="C332" s="109"/>
      <c r="D332" s="110"/>
      <c r="E332" s="114"/>
      <c r="F332" s="116"/>
      <c r="G332" s="126"/>
      <c r="H332" s="127"/>
      <c r="I332" s="128"/>
      <c r="J332" s="76" t="s">
        <v>195</v>
      </c>
      <c r="K332" s="27"/>
      <c r="L332" s="118"/>
      <c r="M332" s="27" t="str">
        <f t="shared" si="29"/>
        <v/>
      </c>
      <c r="N332" s="27" t="str">
        <f t="shared" si="22"/>
        <v>CHUADO</v>
      </c>
    </row>
    <row r="333" spans="1:14" x14ac:dyDescent="0.3">
      <c r="A333" s="116"/>
      <c r="B333" s="108"/>
      <c r="C333" s="109"/>
      <c r="D333" s="110"/>
      <c r="E333" s="114"/>
      <c r="F333" s="116"/>
      <c r="G333" s="126"/>
      <c r="H333" s="127"/>
      <c r="I333" s="128"/>
      <c r="J333" s="76" t="s">
        <v>196</v>
      </c>
      <c r="K333" s="27"/>
      <c r="L333" s="118"/>
      <c r="M333" s="27" t="str">
        <f t="shared" si="29"/>
        <v/>
      </c>
      <c r="N333" s="27" t="str">
        <f t="shared" si="22"/>
        <v>CHUADO</v>
      </c>
    </row>
    <row r="334" spans="1:14" x14ac:dyDescent="0.3">
      <c r="A334" s="116"/>
      <c r="B334" s="108"/>
      <c r="C334" s="109"/>
      <c r="D334" s="110"/>
      <c r="E334" s="114"/>
      <c r="F334" s="116"/>
      <c r="G334" s="126"/>
      <c r="H334" s="127"/>
      <c r="I334" s="128"/>
      <c r="J334" s="76" t="s">
        <v>197</v>
      </c>
      <c r="K334" s="27"/>
      <c r="L334" s="118"/>
      <c r="M334" s="27" t="str">
        <f t="shared" si="29"/>
        <v/>
      </c>
      <c r="N334" s="27" t="str">
        <f t="shared" si="22"/>
        <v>CHUADO</v>
      </c>
    </row>
    <row r="335" spans="1:14" x14ac:dyDescent="0.3">
      <c r="A335" s="116"/>
      <c r="B335" s="108"/>
      <c r="C335" s="109"/>
      <c r="D335" s="110"/>
      <c r="E335" s="114"/>
      <c r="F335" s="117"/>
      <c r="G335" s="129"/>
      <c r="H335" s="130"/>
      <c r="I335" s="131"/>
      <c r="J335" s="76" t="s">
        <v>198</v>
      </c>
      <c r="K335" s="27"/>
      <c r="L335" s="118"/>
      <c r="M335" s="27" t="str">
        <f t="shared" si="29"/>
        <v/>
      </c>
      <c r="N335" s="27" t="str">
        <f t="shared" si="22"/>
        <v>CHUADO</v>
      </c>
    </row>
    <row r="336" spans="1:14" ht="15.6" customHeight="1" x14ac:dyDescent="0.3">
      <c r="A336" s="116"/>
      <c r="B336" s="108"/>
      <c r="C336" s="109"/>
      <c r="D336" s="110"/>
      <c r="E336" s="114" t="s">
        <v>52</v>
      </c>
      <c r="F336" s="115"/>
      <c r="G336" s="123" t="s">
        <v>224</v>
      </c>
      <c r="H336" s="124"/>
      <c r="I336" s="125"/>
      <c r="J336" s="76" t="s">
        <v>191</v>
      </c>
      <c r="K336" s="27"/>
      <c r="L336" s="118" t="s">
        <v>161</v>
      </c>
      <c r="M336" s="27" t="str">
        <f t="shared" si="29"/>
        <v/>
      </c>
      <c r="N336" s="27" t="str">
        <f t="shared" si="22"/>
        <v>CHUADO</v>
      </c>
    </row>
    <row r="337" spans="1:14" x14ac:dyDescent="0.3">
      <c r="A337" s="116"/>
      <c r="B337" s="108"/>
      <c r="C337" s="109"/>
      <c r="D337" s="110"/>
      <c r="E337" s="114"/>
      <c r="F337" s="116"/>
      <c r="G337" s="126"/>
      <c r="H337" s="127"/>
      <c r="I337" s="128"/>
      <c r="J337" s="76" t="s">
        <v>192</v>
      </c>
      <c r="K337" s="27"/>
      <c r="L337" s="118"/>
      <c r="M337" s="27" t="str">
        <f t="shared" si="29"/>
        <v/>
      </c>
      <c r="N337" s="27" t="str">
        <f t="shared" ref="N337:N367" si="30">IF(ISBLANK(K337),"CHUADO","")</f>
        <v>CHUADO</v>
      </c>
    </row>
    <row r="338" spans="1:14" x14ac:dyDescent="0.3">
      <c r="A338" s="116"/>
      <c r="B338" s="108"/>
      <c r="C338" s="109"/>
      <c r="D338" s="110"/>
      <c r="E338" s="114"/>
      <c r="F338" s="116"/>
      <c r="G338" s="126"/>
      <c r="H338" s="127"/>
      <c r="I338" s="128"/>
      <c r="J338" s="76" t="s">
        <v>193</v>
      </c>
      <c r="K338" s="27"/>
      <c r="L338" s="118"/>
      <c r="M338" s="27" t="str">
        <f t="shared" si="29"/>
        <v/>
      </c>
      <c r="N338" s="27" t="str">
        <f t="shared" si="30"/>
        <v>CHUADO</v>
      </c>
    </row>
    <row r="339" spans="1:14" x14ac:dyDescent="0.3">
      <c r="A339" s="116"/>
      <c r="B339" s="108"/>
      <c r="C339" s="109"/>
      <c r="D339" s="110"/>
      <c r="E339" s="114"/>
      <c r="F339" s="116"/>
      <c r="G339" s="126"/>
      <c r="H339" s="127"/>
      <c r="I339" s="128"/>
      <c r="J339" s="76" t="s">
        <v>194</v>
      </c>
      <c r="K339" s="27"/>
      <c r="L339" s="118"/>
      <c r="M339" s="27" t="str">
        <f t="shared" si="29"/>
        <v/>
      </c>
      <c r="N339" s="27" t="str">
        <f t="shared" si="30"/>
        <v>CHUADO</v>
      </c>
    </row>
    <row r="340" spans="1:14" x14ac:dyDescent="0.3">
      <c r="A340" s="116"/>
      <c r="B340" s="108"/>
      <c r="C340" s="109"/>
      <c r="D340" s="110"/>
      <c r="E340" s="114"/>
      <c r="F340" s="116"/>
      <c r="G340" s="126"/>
      <c r="H340" s="127"/>
      <c r="I340" s="128"/>
      <c r="J340" s="76" t="s">
        <v>195</v>
      </c>
      <c r="K340" s="27"/>
      <c r="L340" s="118"/>
      <c r="M340" s="27" t="str">
        <f t="shared" si="29"/>
        <v/>
      </c>
      <c r="N340" s="27" t="str">
        <f t="shared" si="30"/>
        <v>CHUADO</v>
      </c>
    </row>
    <row r="341" spans="1:14" x14ac:dyDescent="0.3">
      <c r="A341" s="116"/>
      <c r="B341" s="108"/>
      <c r="C341" s="109"/>
      <c r="D341" s="110"/>
      <c r="E341" s="114"/>
      <c r="F341" s="116"/>
      <c r="G341" s="126"/>
      <c r="H341" s="127"/>
      <c r="I341" s="128"/>
      <c r="J341" s="76" t="s">
        <v>196</v>
      </c>
      <c r="K341" s="27"/>
      <c r="L341" s="118"/>
      <c r="M341" s="27" t="str">
        <f t="shared" si="29"/>
        <v/>
      </c>
      <c r="N341" s="27" t="str">
        <f t="shared" si="30"/>
        <v>CHUADO</v>
      </c>
    </row>
    <row r="342" spans="1:14" x14ac:dyDescent="0.3">
      <c r="A342" s="116"/>
      <c r="B342" s="108"/>
      <c r="C342" s="109"/>
      <c r="D342" s="110"/>
      <c r="E342" s="114"/>
      <c r="F342" s="116"/>
      <c r="G342" s="126"/>
      <c r="H342" s="127"/>
      <c r="I342" s="128"/>
      <c r="J342" s="76" t="s">
        <v>197</v>
      </c>
      <c r="K342" s="27"/>
      <c r="L342" s="118"/>
      <c r="M342" s="27" t="str">
        <f t="shared" si="29"/>
        <v/>
      </c>
      <c r="N342" s="27" t="str">
        <f t="shared" si="30"/>
        <v>CHUADO</v>
      </c>
    </row>
    <row r="343" spans="1:14" x14ac:dyDescent="0.3">
      <c r="A343" s="117"/>
      <c r="B343" s="111"/>
      <c r="C343" s="112"/>
      <c r="D343" s="113"/>
      <c r="E343" s="114"/>
      <c r="F343" s="117"/>
      <c r="G343" s="129"/>
      <c r="H343" s="130"/>
      <c r="I343" s="131"/>
      <c r="J343" s="76" t="s">
        <v>198</v>
      </c>
      <c r="K343" s="27"/>
      <c r="L343" s="118"/>
      <c r="M343" s="27" t="str">
        <f t="shared" si="29"/>
        <v/>
      </c>
      <c r="N343" s="27" t="str">
        <f t="shared" si="30"/>
        <v>CHUADO</v>
      </c>
    </row>
    <row r="344" spans="1:14" ht="15.75" customHeight="1" x14ac:dyDescent="0.3">
      <c r="A344" s="104" t="s">
        <v>162</v>
      </c>
      <c r="B344" s="105" t="s">
        <v>163</v>
      </c>
      <c r="C344" s="106"/>
      <c r="D344" s="107"/>
      <c r="E344" s="114" t="s">
        <v>52</v>
      </c>
      <c r="F344" s="115" t="s">
        <v>220</v>
      </c>
      <c r="G344" s="76">
        <f>$G$272*1+6</f>
        <v>-88.9</v>
      </c>
      <c r="H344" s="115" t="s">
        <v>217</v>
      </c>
      <c r="I344" s="76" t="s">
        <v>145</v>
      </c>
      <c r="J344" s="76" t="s">
        <v>191</v>
      </c>
      <c r="K344" s="27"/>
      <c r="L344" s="118" t="s">
        <v>164</v>
      </c>
      <c r="M344" s="27" t="str">
        <f>IF(ISBLANK(K344),"",IF(AND(K344*1&gt;=H344*1),"PASS","FAIL"))</f>
        <v/>
      </c>
      <c r="N344" s="27" t="str">
        <f t="shared" si="30"/>
        <v>CHUADO</v>
      </c>
    </row>
    <row r="345" spans="1:14" x14ac:dyDescent="0.3">
      <c r="A345" s="104"/>
      <c r="B345" s="108"/>
      <c r="C345" s="109"/>
      <c r="D345" s="110"/>
      <c r="E345" s="114"/>
      <c r="F345" s="116"/>
      <c r="G345" s="76">
        <f t="shared" ref="G345:G359" si="31">$G$272*1+6</f>
        <v>-88.9</v>
      </c>
      <c r="H345" s="119"/>
      <c r="I345" s="76" t="s">
        <v>145</v>
      </c>
      <c r="J345" s="76" t="s">
        <v>192</v>
      </c>
      <c r="K345" s="27"/>
      <c r="L345" s="118"/>
      <c r="M345" s="27" t="str">
        <f t="shared" ref="M345:M367" si="32">IF(ISBLANK(K345),"",IF(AND(K345*1&gt;=H345*1),"PASS","FAIL"))</f>
        <v/>
      </c>
      <c r="N345" s="27" t="str">
        <f t="shared" si="30"/>
        <v>CHUADO</v>
      </c>
    </row>
    <row r="346" spans="1:14" x14ac:dyDescent="0.3">
      <c r="A346" s="104"/>
      <c r="B346" s="108"/>
      <c r="C346" s="109"/>
      <c r="D346" s="110"/>
      <c r="E346" s="114"/>
      <c r="F346" s="116"/>
      <c r="G346" s="76">
        <f t="shared" si="31"/>
        <v>-88.9</v>
      </c>
      <c r="H346" s="119"/>
      <c r="I346" s="76" t="s">
        <v>145</v>
      </c>
      <c r="J346" s="76" t="s">
        <v>193</v>
      </c>
      <c r="K346" s="27"/>
      <c r="L346" s="118"/>
      <c r="M346" s="27" t="str">
        <f t="shared" si="32"/>
        <v/>
      </c>
      <c r="N346" s="27" t="str">
        <f t="shared" si="30"/>
        <v>CHUADO</v>
      </c>
    </row>
    <row r="347" spans="1:14" x14ac:dyDescent="0.3">
      <c r="A347" s="104"/>
      <c r="B347" s="108"/>
      <c r="C347" s="109"/>
      <c r="D347" s="110"/>
      <c r="E347" s="114"/>
      <c r="F347" s="116"/>
      <c r="G347" s="76">
        <f t="shared" si="31"/>
        <v>-88.9</v>
      </c>
      <c r="H347" s="119"/>
      <c r="I347" s="76" t="s">
        <v>145</v>
      </c>
      <c r="J347" s="76" t="s">
        <v>194</v>
      </c>
      <c r="K347" s="27"/>
      <c r="L347" s="118"/>
      <c r="M347" s="27" t="str">
        <f t="shared" si="32"/>
        <v/>
      </c>
      <c r="N347" s="27" t="str">
        <f t="shared" si="30"/>
        <v>CHUADO</v>
      </c>
    </row>
    <row r="348" spans="1:14" x14ac:dyDescent="0.3">
      <c r="A348" s="104"/>
      <c r="B348" s="108"/>
      <c r="C348" s="109"/>
      <c r="D348" s="110"/>
      <c r="E348" s="114"/>
      <c r="F348" s="116"/>
      <c r="G348" s="76">
        <f t="shared" si="31"/>
        <v>-88.9</v>
      </c>
      <c r="H348" s="119"/>
      <c r="I348" s="76" t="s">
        <v>145</v>
      </c>
      <c r="J348" s="76" t="s">
        <v>195</v>
      </c>
      <c r="K348" s="27"/>
      <c r="L348" s="118"/>
      <c r="M348" s="27" t="str">
        <f t="shared" si="32"/>
        <v/>
      </c>
      <c r="N348" s="27" t="str">
        <f t="shared" si="30"/>
        <v>CHUADO</v>
      </c>
    </row>
    <row r="349" spans="1:14" x14ac:dyDescent="0.3">
      <c r="A349" s="104"/>
      <c r="B349" s="108"/>
      <c r="C349" s="109"/>
      <c r="D349" s="110"/>
      <c r="E349" s="114"/>
      <c r="F349" s="116"/>
      <c r="G349" s="76">
        <f t="shared" si="31"/>
        <v>-88.9</v>
      </c>
      <c r="H349" s="119"/>
      <c r="I349" s="76" t="s">
        <v>145</v>
      </c>
      <c r="J349" s="76" t="s">
        <v>196</v>
      </c>
      <c r="K349" s="27"/>
      <c r="L349" s="118"/>
      <c r="M349" s="27" t="str">
        <f t="shared" si="32"/>
        <v/>
      </c>
      <c r="N349" s="27" t="str">
        <f t="shared" si="30"/>
        <v>CHUADO</v>
      </c>
    </row>
    <row r="350" spans="1:14" x14ac:dyDescent="0.3">
      <c r="A350" s="104"/>
      <c r="B350" s="108"/>
      <c r="C350" s="109"/>
      <c r="D350" s="110"/>
      <c r="E350" s="114"/>
      <c r="F350" s="116"/>
      <c r="G350" s="76">
        <f t="shared" si="31"/>
        <v>-88.9</v>
      </c>
      <c r="H350" s="119"/>
      <c r="I350" s="76" t="s">
        <v>145</v>
      </c>
      <c r="J350" s="76" t="s">
        <v>197</v>
      </c>
      <c r="K350" s="27"/>
      <c r="L350" s="118"/>
      <c r="M350" s="27" t="str">
        <f t="shared" si="32"/>
        <v/>
      </c>
      <c r="N350" s="27" t="str">
        <f t="shared" si="30"/>
        <v>CHUADO</v>
      </c>
    </row>
    <row r="351" spans="1:14" x14ac:dyDescent="0.3">
      <c r="A351" s="104"/>
      <c r="B351" s="111"/>
      <c r="C351" s="112"/>
      <c r="D351" s="113"/>
      <c r="E351" s="114"/>
      <c r="F351" s="117"/>
      <c r="G351" s="76">
        <f t="shared" si="31"/>
        <v>-88.9</v>
      </c>
      <c r="H351" s="120"/>
      <c r="I351" s="76" t="s">
        <v>145</v>
      </c>
      <c r="J351" s="76" t="s">
        <v>198</v>
      </c>
      <c r="K351" s="27"/>
      <c r="L351" s="118"/>
      <c r="M351" s="27" t="str">
        <f t="shared" si="32"/>
        <v/>
      </c>
      <c r="N351" s="27" t="str">
        <f t="shared" si="30"/>
        <v>CHUADO</v>
      </c>
    </row>
    <row r="352" spans="1:14" ht="15.6" customHeight="1" x14ac:dyDescent="0.3">
      <c r="A352" s="104" t="s">
        <v>165</v>
      </c>
      <c r="B352" s="105" t="s">
        <v>166</v>
      </c>
      <c r="C352" s="106"/>
      <c r="D352" s="107"/>
      <c r="E352" s="114" t="s">
        <v>52</v>
      </c>
      <c r="F352" s="115" t="s">
        <v>220</v>
      </c>
      <c r="G352" s="76">
        <f t="shared" si="31"/>
        <v>-88.9</v>
      </c>
      <c r="H352" s="115" t="s">
        <v>218</v>
      </c>
      <c r="I352" s="76" t="s">
        <v>145</v>
      </c>
      <c r="J352" s="76" t="s">
        <v>191</v>
      </c>
      <c r="K352" s="27"/>
      <c r="L352" s="118" t="s">
        <v>167</v>
      </c>
      <c r="M352" s="27" t="str">
        <f t="shared" si="32"/>
        <v/>
      </c>
      <c r="N352" s="27" t="str">
        <f t="shared" si="30"/>
        <v>CHUADO</v>
      </c>
    </row>
    <row r="353" spans="1:14" x14ac:dyDescent="0.3">
      <c r="A353" s="104"/>
      <c r="B353" s="108"/>
      <c r="C353" s="109"/>
      <c r="D353" s="110"/>
      <c r="E353" s="114"/>
      <c r="F353" s="116"/>
      <c r="G353" s="76">
        <f t="shared" si="31"/>
        <v>-88.9</v>
      </c>
      <c r="H353" s="119"/>
      <c r="I353" s="76" t="str">
        <f>I352</f>
        <v>-52</v>
      </c>
      <c r="J353" s="76" t="s">
        <v>192</v>
      </c>
      <c r="K353" s="27"/>
      <c r="L353" s="118"/>
      <c r="M353" s="27" t="str">
        <f t="shared" si="32"/>
        <v/>
      </c>
      <c r="N353" s="27" t="str">
        <f t="shared" si="30"/>
        <v>CHUADO</v>
      </c>
    </row>
    <row r="354" spans="1:14" x14ac:dyDescent="0.3">
      <c r="A354" s="104"/>
      <c r="B354" s="108"/>
      <c r="C354" s="109"/>
      <c r="D354" s="110"/>
      <c r="E354" s="114"/>
      <c r="F354" s="116"/>
      <c r="G354" s="76">
        <f t="shared" si="31"/>
        <v>-88.9</v>
      </c>
      <c r="H354" s="119"/>
      <c r="I354" s="76" t="str">
        <f>I352</f>
        <v>-52</v>
      </c>
      <c r="J354" s="76" t="s">
        <v>193</v>
      </c>
      <c r="K354" s="27"/>
      <c r="L354" s="118"/>
      <c r="M354" s="27" t="str">
        <f t="shared" si="32"/>
        <v/>
      </c>
      <c r="N354" s="27" t="str">
        <f t="shared" si="30"/>
        <v>CHUADO</v>
      </c>
    </row>
    <row r="355" spans="1:14" x14ac:dyDescent="0.3">
      <c r="A355" s="104"/>
      <c r="B355" s="108"/>
      <c r="C355" s="109"/>
      <c r="D355" s="110"/>
      <c r="E355" s="114"/>
      <c r="F355" s="116"/>
      <c r="G355" s="76">
        <f t="shared" si="31"/>
        <v>-88.9</v>
      </c>
      <c r="H355" s="119"/>
      <c r="I355" s="76" t="str">
        <f>I352</f>
        <v>-52</v>
      </c>
      <c r="J355" s="76" t="s">
        <v>194</v>
      </c>
      <c r="K355" s="27"/>
      <c r="L355" s="118"/>
      <c r="M355" s="27" t="str">
        <f t="shared" si="32"/>
        <v/>
      </c>
      <c r="N355" s="27" t="str">
        <f t="shared" si="30"/>
        <v>CHUADO</v>
      </c>
    </row>
    <row r="356" spans="1:14" x14ac:dyDescent="0.3">
      <c r="A356" s="104"/>
      <c r="B356" s="108"/>
      <c r="C356" s="109"/>
      <c r="D356" s="110"/>
      <c r="E356" s="114"/>
      <c r="F356" s="116"/>
      <c r="G356" s="76">
        <f t="shared" si="31"/>
        <v>-88.9</v>
      </c>
      <c r="H356" s="119"/>
      <c r="I356" s="76" t="str">
        <f>I352</f>
        <v>-52</v>
      </c>
      <c r="J356" s="76" t="s">
        <v>195</v>
      </c>
      <c r="K356" s="27"/>
      <c r="L356" s="118"/>
      <c r="M356" s="27" t="str">
        <f t="shared" si="32"/>
        <v/>
      </c>
      <c r="N356" s="27" t="str">
        <f t="shared" si="30"/>
        <v>CHUADO</v>
      </c>
    </row>
    <row r="357" spans="1:14" x14ac:dyDescent="0.3">
      <c r="A357" s="104"/>
      <c r="B357" s="108"/>
      <c r="C357" s="109"/>
      <c r="D357" s="110"/>
      <c r="E357" s="114"/>
      <c r="F357" s="116"/>
      <c r="G357" s="76">
        <f t="shared" si="31"/>
        <v>-88.9</v>
      </c>
      <c r="H357" s="119"/>
      <c r="I357" s="76" t="str">
        <f>I352</f>
        <v>-52</v>
      </c>
      <c r="J357" s="76" t="s">
        <v>196</v>
      </c>
      <c r="K357" s="27"/>
      <c r="L357" s="118"/>
      <c r="M357" s="27" t="str">
        <f t="shared" si="32"/>
        <v/>
      </c>
      <c r="N357" s="27" t="str">
        <f t="shared" si="30"/>
        <v>CHUADO</v>
      </c>
    </row>
    <row r="358" spans="1:14" x14ac:dyDescent="0.3">
      <c r="A358" s="104"/>
      <c r="B358" s="108"/>
      <c r="C358" s="109"/>
      <c r="D358" s="110"/>
      <c r="E358" s="114"/>
      <c r="F358" s="116"/>
      <c r="G358" s="76">
        <f t="shared" si="31"/>
        <v>-88.9</v>
      </c>
      <c r="H358" s="119"/>
      <c r="I358" s="76" t="str">
        <f>I352</f>
        <v>-52</v>
      </c>
      <c r="J358" s="76" t="s">
        <v>197</v>
      </c>
      <c r="K358" s="27"/>
      <c r="L358" s="118"/>
      <c r="M358" s="27" t="str">
        <f t="shared" si="32"/>
        <v/>
      </c>
      <c r="N358" s="27" t="str">
        <f t="shared" si="30"/>
        <v>CHUADO</v>
      </c>
    </row>
    <row r="359" spans="1:14" x14ac:dyDescent="0.3">
      <c r="A359" s="104"/>
      <c r="B359" s="111"/>
      <c r="C359" s="112"/>
      <c r="D359" s="113"/>
      <c r="E359" s="114"/>
      <c r="F359" s="117"/>
      <c r="G359" s="76">
        <f t="shared" si="31"/>
        <v>-88.9</v>
      </c>
      <c r="H359" s="120"/>
      <c r="I359" s="76" t="str">
        <f>I352</f>
        <v>-52</v>
      </c>
      <c r="J359" s="76" t="s">
        <v>198</v>
      </c>
      <c r="K359" s="27"/>
      <c r="L359" s="118"/>
      <c r="M359" s="27" t="str">
        <f t="shared" si="32"/>
        <v/>
      </c>
      <c r="N359" s="27" t="str">
        <f t="shared" si="30"/>
        <v>CHUADO</v>
      </c>
    </row>
    <row r="360" spans="1:14" ht="15.6" customHeight="1" x14ac:dyDescent="0.3">
      <c r="A360" s="104" t="s">
        <v>168</v>
      </c>
      <c r="B360" s="105" t="s">
        <v>169</v>
      </c>
      <c r="C360" s="106"/>
      <c r="D360" s="107"/>
      <c r="E360" s="114" t="s">
        <v>52</v>
      </c>
      <c r="F360" s="115" t="s">
        <v>220</v>
      </c>
      <c r="G360" s="76" t="s">
        <v>209</v>
      </c>
      <c r="H360" s="115" t="s">
        <v>208</v>
      </c>
      <c r="I360" s="76" t="s">
        <v>170</v>
      </c>
      <c r="J360" s="76" t="s">
        <v>191</v>
      </c>
      <c r="K360" s="27"/>
      <c r="L360" s="118" t="s">
        <v>171</v>
      </c>
      <c r="M360" s="27" t="str">
        <f t="shared" si="32"/>
        <v/>
      </c>
      <c r="N360" s="27" t="str">
        <f t="shared" si="30"/>
        <v>CHUADO</v>
      </c>
    </row>
    <row r="361" spans="1:14" x14ac:dyDescent="0.3">
      <c r="A361" s="104"/>
      <c r="B361" s="108"/>
      <c r="C361" s="109"/>
      <c r="D361" s="110"/>
      <c r="E361" s="114"/>
      <c r="F361" s="116"/>
      <c r="G361" s="76" t="s">
        <v>210</v>
      </c>
      <c r="H361" s="116"/>
      <c r="I361" s="76" t="str">
        <f>I360</f>
        <v>-71.4</v>
      </c>
      <c r="J361" s="76" t="s">
        <v>192</v>
      </c>
      <c r="K361" s="27"/>
      <c r="L361" s="118"/>
      <c r="M361" s="27" t="str">
        <f t="shared" si="32"/>
        <v/>
      </c>
      <c r="N361" s="27" t="str">
        <f t="shared" si="30"/>
        <v>CHUADO</v>
      </c>
    </row>
    <row r="362" spans="1:14" x14ac:dyDescent="0.3">
      <c r="A362" s="104"/>
      <c r="B362" s="108"/>
      <c r="C362" s="109"/>
      <c r="D362" s="110"/>
      <c r="E362" s="114"/>
      <c r="F362" s="116"/>
      <c r="G362" s="76" t="s">
        <v>211</v>
      </c>
      <c r="H362" s="116"/>
      <c r="I362" s="76" t="str">
        <f>I360</f>
        <v>-71.4</v>
      </c>
      <c r="J362" s="76" t="s">
        <v>193</v>
      </c>
      <c r="K362" s="27"/>
      <c r="L362" s="118"/>
      <c r="M362" s="27" t="str">
        <f t="shared" si="32"/>
        <v/>
      </c>
      <c r="N362" s="27" t="str">
        <f t="shared" si="30"/>
        <v>CHUADO</v>
      </c>
    </row>
    <row r="363" spans="1:14" x14ac:dyDescent="0.3">
      <c r="A363" s="104"/>
      <c r="B363" s="108"/>
      <c r="C363" s="109"/>
      <c r="D363" s="110"/>
      <c r="E363" s="114"/>
      <c r="F363" s="116"/>
      <c r="G363" s="76" t="s">
        <v>212</v>
      </c>
      <c r="H363" s="116"/>
      <c r="I363" s="76" t="str">
        <f>I360</f>
        <v>-71.4</v>
      </c>
      <c r="J363" s="76" t="s">
        <v>194</v>
      </c>
      <c r="K363" s="27"/>
      <c r="L363" s="118"/>
      <c r="M363" s="27" t="str">
        <f t="shared" si="32"/>
        <v/>
      </c>
      <c r="N363" s="27" t="str">
        <f t="shared" si="30"/>
        <v>CHUADO</v>
      </c>
    </row>
    <row r="364" spans="1:14" x14ac:dyDescent="0.3">
      <c r="A364" s="104"/>
      <c r="B364" s="108"/>
      <c r="C364" s="109"/>
      <c r="D364" s="110"/>
      <c r="E364" s="114"/>
      <c r="F364" s="116"/>
      <c r="G364" s="76" t="s">
        <v>213</v>
      </c>
      <c r="H364" s="116"/>
      <c r="I364" s="76" t="str">
        <f>I360</f>
        <v>-71.4</v>
      </c>
      <c r="J364" s="76" t="s">
        <v>195</v>
      </c>
      <c r="K364" s="27"/>
      <c r="L364" s="118"/>
      <c r="M364" s="27" t="str">
        <f t="shared" si="32"/>
        <v/>
      </c>
      <c r="N364" s="27" t="str">
        <f t="shared" si="30"/>
        <v>CHUADO</v>
      </c>
    </row>
    <row r="365" spans="1:14" x14ac:dyDescent="0.3">
      <c r="A365" s="104"/>
      <c r="B365" s="108"/>
      <c r="C365" s="109"/>
      <c r="D365" s="110"/>
      <c r="E365" s="114"/>
      <c r="F365" s="116"/>
      <c r="G365" s="76" t="s">
        <v>214</v>
      </c>
      <c r="H365" s="116"/>
      <c r="I365" s="76" t="str">
        <f>I360</f>
        <v>-71.4</v>
      </c>
      <c r="J365" s="76" t="s">
        <v>196</v>
      </c>
      <c r="K365" s="27"/>
      <c r="L365" s="118"/>
      <c r="M365" s="27" t="str">
        <f t="shared" si="32"/>
        <v/>
      </c>
      <c r="N365" s="27" t="str">
        <f t="shared" si="30"/>
        <v>CHUADO</v>
      </c>
    </row>
    <row r="366" spans="1:14" x14ac:dyDescent="0.3">
      <c r="A366" s="104"/>
      <c r="B366" s="108"/>
      <c r="C366" s="109"/>
      <c r="D366" s="110"/>
      <c r="E366" s="114"/>
      <c r="F366" s="116"/>
      <c r="G366" s="76" t="s">
        <v>215</v>
      </c>
      <c r="H366" s="116"/>
      <c r="I366" s="76" t="str">
        <f>I360</f>
        <v>-71.4</v>
      </c>
      <c r="J366" s="76" t="s">
        <v>197</v>
      </c>
      <c r="K366" s="27"/>
      <c r="L366" s="118"/>
      <c r="M366" s="27" t="str">
        <f t="shared" si="32"/>
        <v/>
      </c>
      <c r="N366" s="27" t="str">
        <f t="shared" si="30"/>
        <v>CHUADO</v>
      </c>
    </row>
    <row r="367" spans="1:14" x14ac:dyDescent="0.3">
      <c r="A367" s="104"/>
      <c r="B367" s="111"/>
      <c r="C367" s="112"/>
      <c r="D367" s="113"/>
      <c r="E367" s="114"/>
      <c r="F367" s="117"/>
      <c r="G367" s="76" t="s">
        <v>216</v>
      </c>
      <c r="H367" s="117"/>
      <c r="I367" s="76" t="str">
        <f>I360</f>
        <v>-71.4</v>
      </c>
      <c r="J367" s="76" t="s">
        <v>198</v>
      </c>
      <c r="K367" s="27"/>
      <c r="L367" s="118"/>
      <c r="M367" s="27" t="str">
        <f t="shared" si="32"/>
        <v/>
      </c>
      <c r="N367" s="27" t="str">
        <f t="shared" si="30"/>
        <v>CHUADO</v>
      </c>
    </row>
    <row r="368" spans="1:14" x14ac:dyDescent="0.3">
      <c r="A368" s="45"/>
      <c r="B368" s="45"/>
      <c r="C368" s="45"/>
      <c r="D368" s="46"/>
      <c r="E368" s="47"/>
      <c r="F368" s="47"/>
      <c r="G368" s="47"/>
      <c r="H368" s="47"/>
      <c r="I368" s="47"/>
      <c r="J368" s="47"/>
      <c r="K368" s="48"/>
      <c r="L368" s="45"/>
      <c r="M368" s="48"/>
      <c r="N368" s="49"/>
    </row>
    <row r="369" spans="1:14" x14ac:dyDescent="0.3">
      <c r="A369" s="50"/>
      <c r="B369" s="50"/>
      <c r="C369" s="50"/>
      <c r="D369" s="51"/>
      <c r="E369" s="52"/>
      <c r="F369" s="52"/>
      <c r="G369" s="52"/>
      <c r="H369" s="52"/>
      <c r="I369" s="52"/>
      <c r="J369" s="52"/>
      <c r="K369" s="53"/>
      <c r="L369" s="50"/>
      <c r="M369" s="53"/>
      <c r="N369" s="54"/>
    </row>
    <row r="370" spans="1:14" ht="15.75" customHeight="1" x14ac:dyDescent="0.3">
      <c r="A370" s="122" t="s">
        <v>172</v>
      </c>
      <c r="B370" s="122"/>
      <c r="C370" s="122"/>
      <c r="D370" s="122"/>
      <c r="E370" s="122"/>
      <c r="F370" s="122"/>
      <c r="G370" s="55"/>
      <c r="H370" s="55"/>
      <c r="I370" s="55"/>
      <c r="J370" s="55"/>
      <c r="K370" s="122" t="s">
        <v>172</v>
      </c>
      <c r="L370" s="122"/>
      <c r="M370" s="122"/>
      <c r="N370" s="122"/>
    </row>
    <row r="371" spans="1:14" ht="15.75" customHeight="1" x14ac:dyDescent="0.3">
      <c r="A371" s="121" t="s">
        <v>173</v>
      </c>
      <c r="B371" s="121"/>
      <c r="C371" s="121"/>
      <c r="D371" s="121"/>
      <c r="E371" s="121"/>
      <c r="F371" s="121"/>
      <c r="G371" s="55"/>
      <c r="H371" s="55"/>
      <c r="I371" s="55"/>
      <c r="J371" s="55"/>
      <c r="K371" s="121" t="s">
        <v>174</v>
      </c>
      <c r="L371" s="121"/>
      <c r="M371" s="121"/>
      <c r="N371" s="121"/>
    </row>
    <row r="372" spans="1:14" x14ac:dyDescent="0.3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4"/>
      <c r="L372" s="52"/>
      <c r="M372" s="54"/>
      <c r="N372" s="54"/>
    </row>
    <row r="373" spans="1:14" x14ac:dyDescent="0.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4"/>
      <c r="L373" s="52"/>
      <c r="M373" s="54"/>
      <c r="N373" s="54"/>
    </row>
    <row r="374" spans="1:14" x14ac:dyDescent="0.3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4"/>
      <c r="L374" s="52"/>
      <c r="M374" s="54"/>
      <c r="N374" s="54"/>
    </row>
    <row r="375" spans="1:14" x14ac:dyDescent="0.3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4"/>
      <c r="L375" s="52"/>
      <c r="M375" s="54"/>
      <c r="N375" s="54"/>
    </row>
    <row r="376" spans="1:14" x14ac:dyDescent="0.3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4"/>
      <c r="L376" s="52"/>
      <c r="M376" s="54"/>
      <c r="N376" s="54"/>
    </row>
    <row r="377" spans="1:14" x14ac:dyDescent="0.3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4"/>
      <c r="L377" s="52"/>
      <c r="M377" s="54"/>
      <c r="N377" s="54"/>
    </row>
  </sheetData>
  <mergeCells count="236">
    <mergeCell ref="A1:D4"/>
    <mergeCell ref="E1:L1"/>
    <mergeCell ref="E2:L3"/>
    <mergeCell ref="E4:L4"/>
    <mergeCell ref="A5:D9"/>
    <mergeCell ref="F5:H5"/>
    <mergeCell ref="J5:K5"/>
    <mergeCell ref="F6:H6"/>
    <mergeCell ref="J6:K6"/>
    <mergeCell ref="F7:H7"/>
    <mergeCell ref="J7:K7"/>
    <mergeCell ref="F8:H8"/>
    <mergeCell ref="J8:K8"/>
    <mergeCell ref="F9:H9"/>
    <mergeCell ref="J9:K9"/>
    <mergeCell ref="A10:D12"/>
    <mergeCell ref="F10:N10"/>
    <mergeCell ref="F11:H11"/>
    <mergeCell ref="I11:K11"/>
    <mergeCell ref="F12:H12"/>
    <mergeCell ref="L13:L14"/>
    <mergeCell ref="M13:M14"/>
    <mergeCell ref="N13:N14"/>
    <mergeCell ref="A16:A23"/>
    <mergeCell ref="B16:D23"/>
    <mergeCell ref="E16:E23"/>
    <mergeCell ref="F16:F23"/>
    <mergeCell ref="L16:L23"/>
    <mergeCell ref="I12:K12"/>
    <mergeCell ref="A13:A14"/>
    <mergeCell ref="B13:D14"/>
    <mergeCell ref="E13:E14"/>
    <mergeCell ref="F13:I13"/>
    <mergeCell ref="J13:K14"/>
    <mergeCell ref="A25:A32"/>
    <mergeCell ref="B25:D32"/>
    <mergeCell ref="E25:E32"/>
    <mergeCell ref="F25:F32"/>
    <mergeCell ref="L25:L32"/>
    <mergeCell ref="A34:A41"/>
    <mergeCell ref="B34:D41"/>
    <mergeCell ref="E34:E41"/>
    <mergeCell ref="F34:F41"/>
    <mergeCell ref="L34:L41"/>
    <mergeCell ref="A42:A49"/>
    <mergeCell ref="B42:D49"/>
    <mergeCell ref="E42:E49"/>
    <mergeCell ref="F42:F49"/>
    <mergeCell ref="L42:L49"/>
    <mergeCell ref="A51:A58"/>
    <mergeCell ref="B51:D58"/>
    <mergeCell ref="E51:E58"/>
    <mergeCell ref="F51:F58"/>
    <mergeCell ref="L51:L58"/>
    <mergeCell ref="A59:A98"/>
    <mergeCell ref="B59:B66"/>
    <mergeCell ref="E59:E66"/>
    <mergeCell ref="F59:F66"/>
    <mergeCell ref="L59:L106"/>
    <mergeCell ref="B67:B74"/>
    <mergeCell ref="E67:E74"/>
    <mergeCell ref="F67:F74"/>
    <mergeCell ref="B91:B106"/>
    <mergeCell ref="E91:E98"/>
    <mergeCell ref="F91:F98"/>
    <mergeCell ref="E99:E106"/>
    <mergeCell ref="F99:F106"/>
    <mergeCell ref="B75:B90"/>
    <mergeCell ref="E75:E82"/>
    <mergeCell ref="F75:F82"/>
    <mergeCell ref="E83:E90"/>
    <mergeCell ref="F83:F90"/>
    <mergeCell ref="C59:D106"/>
    <mergeCell ref="A107:A114"/>
    <mergeCell ref="B107:D114"/>
    <mergeCell ref="E107:E114"/>
    <mergeCell ref="F107:F114"/>
    <mergeCell ref="L107:L114"/>
    <mergeCell ref="A116:A123"/>
    <mergeCell ref="B116:D123"/>
    <mergeCell ref="E116:E123"/>
    <mergeCell ref="F116:F123"/>
    <mergeCell ref="L116:L123"/>
    <mergeCell ref="L132:L139"/>
    <mergeCell ref="E140:E147"/>
    <mergeCell ref="G140:I147"/>
    <mergeCell ref="L140:L147"/>
    <mergeCell ref="E148:E155"/>
    <mergeCell ref="G148:I155"/>
    <mergeCell ref="L148:L155"/>
    <mergeCell ref="A124:A131"/>
    <mergeCell ref="B124:D131"/>
    <mergeCell ref="E124:E131"/>
    <mergeCell ref="F124:F131"/>
    <mergeCell ref="L124:L131"/>
    <mergeCell ref="A132:A155"/>
    <mergeCell ref="B132:D155"/>
    <mergeCell ref="E132:E139"/>
    <mergeCell ref="F132:F155"/>
    <mergeCell ref="G132:I139"/>
    <mergeCell ref="E172:E179"/>
    <mergeCell ref="F172:F179"/>
    <mergeCell ref="G172:I179"/>
    <mergeCell ref="L172:L179"/>
    <mergeCell ref="E180:E187"/>
    <mergeCell ref="F180:F187"/>
    <mergeCell ref="G180:I187"/>
    <mergeCell ref="L180:L187"/>
    <mergeCell ref="A156:A195"/>
    <mergeCell ref="B156:D195"/>
    <mergeCell ref="E156:E163"/>
    <mergeCell ref="F156:F163"/>
    <mergeCell ref="G156:I163"/>
    <mergeCell ref="L156:L163"/>
    <mergeCell ref="E164:E171"/>
    <mergeCell ref="F164:F171"/>
    <mergeCell ref="G164:I171"/>
    <mergeCell ref="L164:L171"/>
    <mergeCell ref="E188:E195"/>
    <mergeCell ref="F188:F195"/>
    <mergeCell ref="G188:I195"/>
    <mergeCell ref="L188:L195"/>
    <mergeCell ref="A196:A267"/>
    <mergeCell ref="B196:C267"/>
    <mergeCell ref="D196:D203"/>
    <mergeCell ref="E196:E203"/>
    <mergeCell ref="F196:F203"/>
    <mergeCell ref="L196:L267"/>
    <mergeCell ref="D204:D227"/>
    <mergeCell ref="E204:E211"/>
    <mergeCell ref="F204:F211"/>
    <mergeCell ref="G204:I211"/>
    <mergeCell ref="E212:E219"/>
    <mergeCell ref="F212:F219"/>
    <mergeCell ref="G212:I219"/>
    <mergeCell ref="E220:E227"/>
    <mergeCell ref="F220:F227"/>
    <mergeCell ref="G220:I227"/>
    <mergeCell ref="E252:E259"/>
    <mergeCell ref="F252:F259"/>
    <mergeCell ref="G252:I259"/>
    <mergeCell ref="E260:E267"/>
    <mergeCell ref="F260:F267"/>
    <mergeCell ref="G260:I267"/>
    <mergeCell ref="D228:D267"/>
    <mergeCell ref="E228:E235"/>
    <mergeCell ref="F228:F235"/>
    <mergeCell ref="G228:I235"/>
    <mergeCell ref="E236:E243"/>
    <mergeCell ref="F236:F243"/>
    <mergeCell ref="G236:I243"/>
    <mergeCell ref="E244:E251"/>
    <mergeCell ref="F244:F251"/>
    <mergeCell ref="G244:I251"/>
    <mergeCell ref="M268:M270"/>
    <mergeCell ref="N268:N270"/>
    <mergeCell ref="A272:A279"/>
    <mergeCell ref="B272:D279"/>
    <mergeCell ref="E272:E279"/>
    <mergeCell ref="F272:F279"/>
    <mergeCell ref="L272:L279"/>
    <mergeCell ref="A268:A270"/>
    <mergeCell ref="B268:D270"/>
    <mergeCell ref="E268:E270"/>
    <mergeCell ref="F268:I268"/>
    <mergeCell ref="J268:K270"/>
    <mergeCell ref="L268:L270"/>
    <mergeCell ref="F269:G269"/>
    <mergeCell ref="H269:I269"/>
    <mergeCell ref="H272:H279"/>
    <mergeCell ref="A280:A287"/>
    <mergeCell ref="B280:D287"/>
    <mergeCell ref="E280:E287"/>
    <mergeCell ref="F280:F287"/>
    <mergeCell ref="L280:L287"/>
    <mergeCell ref="A288:A295"/>
    <mergeCell ref="B288:D295"/>
    <mergeCell ref="E288:E295"/>
    <mergeCell ref="F288:F295"/>
    <mergeCell ref="L288:L295"/>
    <mergeCell ref="H280:H287"/>
    <mergeCell ref="H288:H295"/>
    <mergeCell ref="A296:A303"/>
    <mergeCell ref="B296:D303"/>
    <mergeCell ref="E296:E303"/>
    <mergeCell ref="F296:F303"/>
    <mergeCell ref="L296:L303"/>
    <mergeCell ref="A304:A311"/>
    <mergeCell ref="B304:D311"/>
    <mergeCell ref="E304:E311"/>
    <mergeCell ref="F304:F311"/>
    <mergeCell ref="L304:L311"/>
    <mergeCell ref="H296:H303"/>
    <mergeCell ref="H304:H311"/>
    <mergeCell ref="B312:D319"/>
    <mergeCell ref="E312:E319"/>
    <mergeCell ref="F312:F319"/>
    <mergeCell ref="L312:L319"/>
    <mergeCell ref="A320:A343"/>
    <mergeCell ref="B320:D343"/>
    <mergeCell ref="E320:E327"/>
    <mergeCell ref="F320:F327"/>
    <mergeCell ref="G320:I327"/>
    <mergeCell ref="H312:H319"/>
    <mergeCell ref="L320:L327"/>
    <mergeCell ref="E328:E335"/>
    <mergeCell ref="F328:F335"/>
    <mergeCell ref="G328:I335"/>
    <mergeCell ref="L328:L335"/>
    <mergeCell ref="E336:E343"/>
    <mergeCell ref="F336:F343"/>
    <mergeCell ref="G336:I343"/>
    <mergeCell ref="L336:L343"/>
    <mergeCell ref="A312:A319"/>
    <mergeCell ref="A371:F371"/>
    <mergeCell ref="K371:N371"/>
    <mergeCell ref="A360:A367"/>
    <mergeCell ref="B360:D367"/>
    <mergeCell ref="E360:E367"/>
    <mergeCell ref="F360:F367"/>
    <mergeCell ref="L360:L367"/>
    <mergeCell ref="A370:F370"/>
    <mergeCell ref="K370:N370"/>
    <mergeCell ref="H360:H367"/>
    <mergeCell ref="A344:A351"/>
    <mergeCell ref="B344:D351"/>
    <mergeCell ref="E344:E351"/>
    <mergeCell ref="F344:F351"/>
    <mergeCell ref="L344:L351"/>
    <mergeCell ref="A352:A359"/>
    <mergeCell ref="B352:D359"/>
    <mergeCell ref="E352:E359"/>
    <mergeCell ref="F352:F359"/>
    <mergeCell ref="L352:L359"/>
    <mergeCell ref="H344:H351"/>
    <mergeCell ref="H352:H359"/>
  </mergeCells>
  <conditionalFormatting sqref="E24 M16:M267 M271 N272:N367">
    <cfRule type="containsText" dxfId="7" priority="7" operator="containsText" text="PASS">
      <formula>NOT(ISERROR(SEARCH("PASS",E16)))</formula>
    </cfRule>
    <cfRule type="containsText" dxfId="6" priority="8" operator="containsText" text="FAIL">
      <formula>NOT(ISERROR(SEARCH("FAIL",E16)))</formula>
    </cfRule>
  </conditionalFormatting>
  <conditionalFormatting sqref="M272:M279">
    <cfRule type="containsText" dxfId="5" priority="5" operator="containsText" text="PASS">
      <formula>NOT(ISERROR(SEARCH("PASS",M272)))</formula>
    </cfRule>
    <cfRule type="containsText" dxfId="4" priority="6" operator="containsText" text="FAIL">
      <formula>NOT(ISERROR(SEARCH("FAIL",M272)))</formula>
    </cfRule>
  </conditionalFormatting>
  <conditionalFormatting sqref="M280:M343">
    <cfRule type="containsText" dxfId="3" priority="3" operator="containsText" text="PASS">
      <formula>NOT(ISERROR(SEARCH("PASS",M280)))</formula>
    </cfRule>
    <cfRule type="containsText" dxfId="2" priority="4" operator="containsText" text="FAIL">
      <formula>NOT(ISERROR(SEARCH("FAIL",M280)))</formula>
    </cfRule>
  </conditionalFormatting>
  <conditionalFormatting sqref="M344:M367">
    <cfRule type="containsText" dxfId="1" priority="1" operator="containsText" text="PASS">
      <formula>NOT(ISERROR(SEARCH("PASS",M344)))</formula>
    </cfRule>
    <cfRule type="containsText" dxfId="0" priority="2" operator="containsText" text="FAIL">
      <formula>NOT(ISERROR(SEARCH("FAIL",M344)))</formula>
    </cfRule>
  </conditionalFormatting>
  <dataValidations disablePrompts="1" count="6">
    <dataValidation type="list" allowBlank="1" showInputMessage="1" showErrorMessage="1" sqref="F6:H6">
      <formula1>"N5182B,SMW200A,M9010A"</formula1>
    </dataValidation>
    <dataValidation type="list" allowBlank="1" showInputMessage="1" showErrorMessage="1" sqref="F5:H5">
      <formula1>"N9020A,FSW26,FSV3030,M9010A"</formula1>
    </dataValidation>
    <dataValidation type="list" allowBlank="1" showInputMessage="1" showErrorMessage="1" sqref="F8:H8">
      <formula1>"8T8R,32T32R"</formula1>
    </dataValidation>
    <dataValidation type="list" allowBlank="1" showInputMessage="1" showErrorMessage="1" sqref="J9:K9">
      <formula1>"20,30,40,50,60,70,80,90,100"</formula1>
    </dataValidation>
    <dataValidation type="list" allowBlank="1" showInputMessage="1" showErrorMessage="1" sqref="F9:H9">
      <formula1>"2550,2600,2640,3650,3700,3750"</formula1>
    </dataValidation>
    <dataValidation type="list" allowBlank="1" showInputMessage="1" showErrorMessage="1" sqref="F7:H7">
      <formula1>"DELL188,DELL180,SUPERMICRO192,SUPERMICRO195,SUPERMICRO190"</formula1>
    </dataValidation>
  </dataValidations>
  <pageMargins left="0.7" right="0.7" top="0.75" bottom="0.75" header="0.3" footer="0.3"/>
  <pageSetup scale="5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73"/>
  <sheetViews>
    <sheetView topLeftCell="B6" zoomScaleNormal="100" workbookViewId="0">
      <selection activeCell="L106" sqref="L106"/>
    </sheetView>
  </sheetViews>
  <sheetFormatPr defaultRowHeight="14.4" x14ac:dyDescent="0.3"/>
  <cols>
    <col min="1" max="1" width="49" bestFit="1" customWidth="1"/>
    <col min="2" max="2" width="7.44140625" bestFit="1" customWidth="1"/>
    <col min="3" max="3" width="42.21875" bestFit="1" customWidth="1"/>
    <col min="4" max="5" width="6" bestFit="1" customWidth="1"/>
    <col min="6" max="6" width="5.6640625" bestFit="1" customWidth="1"/>
    <col min="7" max="7" width="6" bestFit="1" customWidth="1"/>
    <col min="8" max="8" width="10.109375" bestFit="1" customWidth="1"/>
    <col min="9" max="9" width="8.109375" bestFit="1" customWidth="1"/>
    <col min="10" max="10" width="9.109375" bestFit="1" customWidth="1"/>
    <col min="16" max="16" width="49.33203125" bestFit="1" customWidth="1"/>
  </cols>
  <sheetData>
    <row r="1" spans="1:21" x14ac:dyDescent="0.3">
      <c r="B1" t="s">
        <v>230</v>
      </c>
      <c r="C1" t="s">
        <v>231</v>
      </c>
      <c r="D1" t="s">
        <v>232</v>
      </c>
      <c r="E1" t="s">
        <v>48</v>
      </c>
      <c r="F1" t="s">
        <v>233</v>
      </c>
      <c r="G1" t="s">
        <v>49</v>
      </c>
      <c r="H1" t="s">
        <v>241</v>
      </c>
      <c r="I1" t="s">
        <v>234</v>
      </c>
      <c r="J1" t="s">
        <v>235</v>
      </c>
      <c r="K1" t="s">
        <v>258</v>
      </c>
      <c r="P1" t="s">
        <v>236</v>
      </c>
    </row>
    <row r="2" spans="1:21" x14ac:dyDescent="0.3">
      <c r="A2" t="str">
        <f>C2&amp;B2&amp;H2</f>
        <v>Base station output powerPORT1TM1.1</v>
      </c>
      <c r="B2" t="s">
        <v>57</v>
      </c>
      <c r="C2" t="s">
        <v>227</v>
      </c>
      <c r="D2">
        <v>40</v>
      </c>
      <c r="E2">
        <v>37.299999999999997</v>
      </c>
      <c r="F2">
        <v>40.1</v>
      </c>
      <c r="G2">
        <v>42.7</v>
      </c>
      <c r="H2" t="s">
        <v>53</v>
      </c>
      <c r="I2" s="70">
        <v>0.24914351851851854</v>
      </c>
      <c r="J2" t="s">
        <v>237</v>
      </c>
      <c r="P2" s="71" t="s">
        <v>238</v>
      </c>
    </row>
    <row r="3" spans="1:21" x14ac:dyDescent="0.3">
      <c r="A3" t="str">
        <f t="shared" ref="A3:A66" si="0">C3&amp;B3&amp;H3</f>
        <v>Base station output powerPORT2TM1.1</v>
      </c>
      <c r="B3" t="s">
        <v>59</v>
      </c>
      <c r="C3" t="s">
        <v>227</v>
      </c>
      <c r="D3">
        <v>40</v>
      </c>
      <c r="E3">
        <v>37.299999999999997</v>
      </c>
      <c r="F3">
        <v>40.299999999999997</v>
      </c>
      <c r="G3">
        <v>42.7</v>
      </c>
      <c r="H3" t="s">
        <v>53</v>
      </c>
      <c r="I3" s="70">
        <v>0.24935185185185185</v>
      </c>
      <c r="J3" t="s">
        <v>237</v>
      </c>
      <c r="P3" s="71" t="s">
        <v>239</v>
      </c>
    </row>
    <row r="4" spans="1:21" x14ac:dyDescent="0.3">
      <c r="A4" t="str">
        <f t="shared" si="0"/>
        <v>Base station output powerPORT3TM1.1</v>
      </c>
      <c r="B4" t="s">
        <v>60</v>
      </c>
      <c r="C4" t="s">
        <v>227</v>
      </c>
      <c r="D4">
        <v>40</v>
      </c>
      <c r="E4">
        <v>37.299999999999997</v>
      </c>
      <c r="F4">
        <v>40.1</v>
      </c>
      <c r="G4">
        <v>42.7</v>
      </c>
      <c r="H4" t="s">
        <v>53</v>
      </c>
      <c r="I4" s="70">
        <v>0.24956018518518519</v>
      </c>
      <c r="J4" t="s">
        <v>237</v>
      </c>
      <c r="P4" s="71" t="s">
        <v>240</v>
      </c>
    </row>
    <row r="5" spans="1:21" x14ac:dyDescent="0.3">
      <c r="A5" t="str">
        <f t="shared" si="0"/>
        <v>Base station output powerPORT4TM1.1</v>
      </c>
      <c r="B5" t="s">
        <v>61</v>
      </c>
      <c r="C5" t="s">
        <v>227</v>
      </c>
      <c r="D5">
        <v>40</v>
      </c>
      <c r="E5">
        <v>37.299999999999997</v>
      </c>
      <c r="F5">
        <v>40.1</v>
      </c>
      <c r="G5">
        <v>42.7</v>
      </c>
      <c r="H5" t="s">
        <v>53</v>
      </c>
      <c r="I5" s="70">
        <v>0.24976851851851853</v>
      </c>
      <c r="J5" t="s">
        <v>237</v>
      </c>
      <c r="P5" s="71" t="s">
        <v>264</v>
      </c>
    </row>
    <row r="6" spans="1:21" x14ac:dyDescent="0.3">
      <c r="A6" t="str">
        <f t="shared" si="0"/>
        <v>Base station output powerPORT5TM1.1</v>
      </c>
      <c r="B6" t="s">
        <v>62</v>
      </c>
      <c r="C6" t="s">
        <v>227</v>
      </c>
      <c r="D6">
        <v>40</v>
      </c>
      <c r="E6">
        <v>37.299999999999997</v>
      </c>
      <c r="F6">
        <v>39.6</v>
      </c>
      <c r="G6">
        <v>42.7</v>
      </c>
      <c r="H6" t="s">
        <v>53</v>
      </c>
      <c r="I6" s="70">
        <v>0.24996527777777777</v>
      </c>
      <c r="J6" t="s">
        <v>237</v>
      </c>
      <c r="P6" s="71" t="s">
        <v>263</v>
      </c>
    </row>
    <row r="7" spans="1:21" x14ac:dyDescent="0.3">
      <c r="A7" t="str">
        <f t="shared" si="0"/>
        <v>Base station output powerPORT6TM1.1</v>
      </c>
      <c r="B7" t="s">
        <v>63</v>
      </c>
      <c r="C7" t="s">
        <v>227</v>
      </c>
      <c r="D7">
        <v>40</v>
      </c>
      <c r="E7">
        <v>37.299999999999997</v>
      </c>
      <c r="F7">
        <v>39.9</v>
      </c>
      <c r="G7">
        <v>42.7</v>
      </c>
      <c r="H7" t="s">
        <v>53</v>
      </c>
      <c r="I7" s="70">
        <v>0.25017361111111108</v>
      </c>
      <c r="J7" t="s">
        <v>237</v>
      </c>
      <c r="P7" s="71" t="s">
        <v>265</v>
      </c>
    </row>
    <row r="8" spans="1:21" x14ac:dyDescent="0.3">
      <c r="A8" t="str">
        <f t="shared" si="0"/>
        <v>Base station output powerPORT7TM1.1</v>
      </c>
      <c r="B8" t="s">
        <v>64</v>
      </c>
      <c r="C8" t="s">
        <v>227</v>
      </c>
      <c r="D8">
        <v>40</v>
      </c>
      <c r="E8">
        <v>37.299999999999997</v>
      </c>
      <c r="F8">
        <v>39.9</v>
      </c>
      <c r="G8">
        <v>42.7</v>
      </c>
      <c r="H8" t="s">
        <v>53</v>
      </c>
      <c r="I8" s="70">
        <v>0.25038194444444445</v>
      </c>
      <c r="J8" t="s">
        <v>237</v>
      </c>
    </row>
    <row r="9" spans="1:21" x14ac:dyDescent="0.3">
      <c r="A9" t="str">
        <f t="shared" si="0"/>
        <v>Base station output powerPORT8TM1.1</v>
      </c>
      <c r="B9" t="s">
        <v>65</v>
      </c>
      <c r="C9" t="s">
        <v>227</v>
      </c>
      <c r="D9">
        <v>40</v>
      </c>
      <c r="E9">
        <v>37.299999999999997</v>
      </c>
      <c r="F9">
        <v>39.799999999999997</v>
      </c>
      <c r="G9">
        <v>42.7</v>
      </c>
      <c r="H9" t="s">
        <v>53</v>
      </c>
      <c r="I9" s="70">
        <v>0.25059027777777781</v>
      </c>
      <c r="J9" t="s">
        <v>237</v>
      </c>
      <c r="Q9" t="s">
        <v>241</v>
      </c>
      <c r="R9" t="s">
        <v>230</v>
      </c>
      <c r="S9" t="s">
        <v>233</v>
      </c>
    </row>
    <row r="10" spans="1:21" x14ac:dyDescent="0.3">
      <c r="A10" t="str">
        <f t="shared" si="0"/>
        <v>Base station output powerPORT9TM1.1</v>
      </c>
      <c r="B10" t="s">
        <v>175</v>
      </c>
      <c r="C10" t="s">
        <v>227</v>
      </c>
      <c r="D10">
        <v>40</v>
      </c>
      <c r="E10">
        <v>37.299999999999997</v>
      </c>
      <c r="F10">
        <v>39.799999999999997</v>
      </c>
      <c r="G10">
        <v>42.7</v>
      </c>
      <c r="H10" t="s">
        <v>53</v>
      </c>
      <c r="I10" s="70">
        <v>0.25078703703703703</v>
      </c>
      <c r="J10" t="s">
        <v>237</v>
      </c>
      <c r="P10" t="s">
        <v>227</v>
      </c>
      <c r="Q10" t="s">
        <v>53</v>
      </c>
      <c r="R10" t="s">
        <v>182</v>
      </c>
      <c r="S10" t="e">
        <f>VLOOKUP(P10&amp;R10,A1:$J$613,6,FALSE)</f>
        <v>#N/A</v>
      </c>
      <c r="U10">
        <v>32</v>
      </c>
    </row>
    <row r="11" spans="1:21" x14ac:dyDescent="0.3">
      <c r="A11" t="str">
        <f t="shared" si="0"/>
        <v>Base station output powerPORT10TM1.1</v>
      </c>
      <c r="B11" t="s">
        <v>176</v>
      </c>
      <c r="C11" t="s">
        <v>227</v>
      </c>
      <c r="D11">
        <v>40</v>
      </c>
      <c r="E11">
        <v>37.299999999999997</v>
      </c>
      <c r="F11">
        <v>39.5</v>
      </c>
      <c r="G11">
        <v>42.7</v>
      </c>
      <c r="H11" t="s">
        <v>53</v>
      </c>
      <c r="I11" s="70">
        <v>0.2509953703703704</v>
      </c>
      <c r="J11" t="s">
        <v>237</v>
      </c>
      <c r="P11" t="s">
        <v>242</v>
      </c>
      <c r="Q11" t="s">
        <v>53</v>
      </c>
      <c r="R11" t="s">
        <v>187</v>
      </c>
      <c r="S11" t="e">
        <f>VLOOKUP(P11&amp;R11,A2:$J$613,6,FALSE)</f>
        <v>#N/A</v>
      </c>
      <c r="U11">
        <v>32</v>
      </c>
    </row>
    <row r="12" spans="1:21" ht="28.8" x14ac:dyDescent="0.3">
      <c r="A12" t="str">
        <f t="shared" si="0"/>
        <v>Base station output powerPORT11TM1.1</v>
      </c>
      <c r="B12" t="s">
        <v>177</v>
      </c>
      <c r="C12" t="s">
        <v>227</v>
      </c>
      <c r="D12">
        <v>40</v>
      </c>
      <c r="E12">
        <v>37.299999999999997</v>
      </c>
      <c r="F12">
        <v>39.799999999999997</v>
      </c>
      <c r="G12">
        <v>42.7</v>
      </c>
      <c r="H12" t="s">
        <v>53</v>
      </c>
      <c r="I12" s="70">
        <v>0.25120370370370371</v>
      </c>
      <c r="J12" t="s">
        <v>237</v>
      </c>
      <c r="P12" t="s">
        <v>243</v>
      </c>
      <c r="Q12" s="72" t="s">
        <v>244</v>
      </c>
      <c r="R12" t="s">
        <v>60</v>
      </c>
      <c r="S12" t="e">
        <f>MIN(IF((B2:B97=R12)*(C2:C97=P12),F2:F97,""))</f>
        <v>#VALUE!</v>
      </c>
      <c r="U12">
        <v>64</v>
      </c>
    </row>
    <row r="13" spans="1:21" ht="28.8" x14ac:dyDescent="0.3">
      <c r="A13" t="str">
        <f t="shared" si="0"/>
        <v>Base station output powerPORT12TM1.1</v>
      </c>
      <c r="B13" t="s">
        <v>178</v>
      </c>
      <c r="C13" t="s">
        <v>227</v>
      </c>
      <c r="D13">
        <v>40</v>
      </c>
      <c r="E13">
        <v>37.299999999999997</v>
      </c>
      <c r="F13">
        <v>39.6</v>
      </c>
      <c r="G13">
        <v>42.7</v>
      </c>
      <c r="H13" t="s">
        <v>53</v>
      </c>
      <c r="I13" s="70">
        <v>0.25141203703703702</v>
      </c>
      <c r="J13" t="s">
        <v>237</v>
      </c>
      <c r="P13" t="s">
        <v>245</v>
      </c>
      <c r="Q13" s="72" t="s">
        <v>244</v>
      </c>
      <c r="R13" t="s">
        <v>57</v>
      </c>
      <c r="S13">
        <f t="array" ref="S13">MAX(IF((B1:B1000=R13)*(C1:C1000=P13)*(K1:K1000="OBUE1"),F1:F1000,""))</f>
        <v>0</v>
      </c>
      <c r="U13">
        <f>3*32*2</f>
        <v>192</v>
      </c>
    </row>
    <row r="14" spans="1:21" x14ac:dyDescent="0.3">
      <c r="A14" t="str">
        <f t="shared" si="0"/>
        <v>Base station output powerPORT13TM1.1</v>
      </c>
      <c r="B14" t="s">
        <v>179</v>
      </c>
      <c r="C14" t="s">
        <v>227</v>
      </c>
      <c r="D14">
        <v>40</v>
      </c>
      <c r="E14">
        <v>37.299999999999997</v>
      </c>
      <c r="F14">
        <v>39.5</v>
      </c>
      <c r="G14">
        <v>42.7</v>
      </c>
      <c r="H14" t="s">
        <v>53</v>
      </c>
      <c r="I14" s="70">
        <v>0.25162037037037038</v>
      </c>
      <c r="J14" t="s">
        <v>237</v>
      </c>
      <c r="P14" t="s">
        <v>229</v>
      </c>
      <c r="Q14" t="s">
        <v>246</v>
      </c>
      <c r="R14" t="s">
        <v>62</v>
      </c>
      <c r="S14" t="e">
        <f>VLOOKUP(P14&amp;R14,A5:$J$613,6,FALSE)</f>
        <v>#N/A</v>
      </c>
      <c r="U14">
        <f>32*6</f>
        <v>192</v>
      </c>
    </row>
    <row r="15" spans="1:21" ht="57.6" x14ac:dyDescent="0.3">
      <c r="A15" t="str">
        <f t="shared" si="0"/>
        <v>Base station output powerPORT14TM1.1</v>
      </c>
      <c r="B15" t="s">
        <v>180</v>
      </c>
      <c r="C15" t="s">
        <v>227</v>
      </c>
      <c r="D15">
        <v>40</v>
      </c>
      <c r="E15">
        <v>37.299999999999997</v>
      </c>
      <c r="F15">
        <v>39.799999999999997</v>
      </c>
      <c r="G15">
        <v>42.7</v>
      </c>
      <c r="H15" t="s">
        <v>53</v>
      </c>
      <c r="I15" s="70">
        <v>0.25182870370370369</v>
      </c>
      <c r="J15" t="s">
        <v>237</v>
      </c>
      <c r="P15" t="s">
        <v>84</v>
      </c>
      <c r="Q15" s="72" t="s">
        <v>247</v>
      </c>
      <c r="R15" t="s">
        <v>63</v>
      </c>
      <c r="S15">
        <f t="array" ref="S15">MAX(IF((B1:B613=R15)*(C1:C613=P15),F1:F613,""))</f>
        <v>0</v>
      </c>
      <c r="U15">
        <f>32*6</f>
        <v>192</v>
      </c>
    </row>
    <row r="16" spans="1:21" ht="28.8" x14ac:dyDescent="0.3">
      <c r="A16" t="str">
        <f t="shared" si="0"/>
        <v>Base station output powerPORT15TM1.1</v>
      </c>
      <c r="B16" t="s">
        <v>181</v>
      </c>
      <c r="C16" t="s">
        <v>227</v>
      </c>
      <c r="D16">
        <v>40</v>
      </c>
      <c r="E16">
        <v>37.299999999999997</v>
      </c>
      <c r="F16">
        <v>39.799999999999997</v>
      </c>
      <c r="G16">
        <v>42.7</v>
      </c>
      <c r="H16" t="s">
        <v>53</v>
      </c>
      <c r="I16" s="70">
        <v>0.25202546296296297</v>
      </c>
      <c r="J16" t="s">
        <v>237</v>
      </c>
      <c r="P16" t="s">
        <v>228</v>
      </c>
      <c r="Q16" s="72" t="s">
        <v>248</v>
      </c>
      <c r="R16" t="s">
        <v>64</v>
      </c>
      <c r="S16" t="e">
        <f>VLOOKUP(P16&amp;R16,A7:$J$613,6,FALSE)</f>
        <v>#N/A</v>
      </c>
      <c r="U16">
        <v>32</v>
      </c>
    </row>
    <row r="17" spans="1:21" x14ac:dyDescent="0.3">
      <c r="A17" t="str">
        <f t="shared" si="0"/>
        <v>Base station output powerPORT16TM1.1</v>
      </c>
      <c r="B17" t="s">
        <v>182</v>
      </c>
      <c r="C17" t="s">
        <v>227</v>
      </c>
      <c r="D17">
        <v>40</v>
      </c>
      <c r="E17">
        <v>37.299999999999997</v>
      </c>
      <c r="F17">
        <v>39.9</v>
      </c>
      <c r="G17">
        <v>42.7</v>
      </c>
      <c r="H17" t="s">
        <v>53</v>
      </c>
      <c r="I17" s="70">
        <v>0.25223379629629633</v>
      </c>
      <c r="J17" t="s">
        <v>237</v>
      </c>
      <c r="P17" t="s">
        <v>260</v>
      </c>
      <c r="Q17" s="72" t="s">
        <v>53</v>
      </c>
      <c r="R17" t="s">
        <v>57</v>
      </c>
      <c r="S17">
        <f t="array" ref="S17">MIN(IF((C1:C2000=P17)*(B1:B2000=R17)*(K1:K2000="SPUR1"),F1:F2000,""))</f>
        <v>0</v>
      </c>
      <c r="U17">
        <f>32*5</f>
        <v>160</v>
      </c>
    </row>
    <row r="18" spans="1:21" x14ac:dyDescent="0.3">
      <c r="A18" t="str">
        <f t="shared" si="0"/>
        <v>Base station output powerPORT17TM1.1</v>
      </c>
      <c r="B18" t="s">
        <v>183</v>
      </c>
      <c r="C18" t="s">
        <v>227</v>
      </c>
      <c r="D18">
        <v>40</v>
      </c>
      <c r="E18">
        <v>37.299999999999997</v>
      </c>
      <c r="F18">
        <v>39.799999999999997</v>
      </c>
      <c r="G18">
        <v>42.7</v>
      </c>
      <c r="H18" t="s">
        <v>53</v>
      </c>
      <c r="I18" s="70">
        <v>0.25244212962962964</v>
      </c>
      <c r="J18" t="s">
        <v>237</v>
      </c>
      <c r="P18" t="s">
        <v>253</v>
      </c>
      <c r="U18">
        <v>32</v>
      </c>
    </row>
    <row r="19" spans="1:21" x14ac:dyDescent="0.3">
      <c r="A19" t="str">
        <f t="shared" si="0"/>
        <v>Base station output powerPORT18TM1.1</v>
      </c>
      <c r="B19" t="s">
        <v>184</v>
      </c>
      <c r="C19" t="s">
        <v>227</v>
      </c>
      <c r="D19">
        <v>40</v>
      </c>
      <c r="E19">
        <v>37.299999999999997</v>
      </c>
      <c r="F19">
        <v>39.700000000000003</v>
      </c>
      <c r="G19">
        <v>42.7</v>
      </c>
      <c r="H19" t="s">
        <v>53</v>
      </c>
      <c r="I19" s="70">
        <v>0.25265046296296295</v>
      </c>
      <c r="J19" t="s">
        <v>237</v>
      </c>
      <c r="P19" t="s">
        <v>77</v>
      </c>
      <c r="U19">
        <v>32</v>
      </c>
    </row>
    <row r="20" spans="1:21" x14ac:dyDescent="0.3">
      <c r="A20" t="str">
        <f t="shared" si="0"/>
        <v>Base station output powerPORT19TM1.1</v>
      </c>
      <c r="B20" t="s">
        <v>185</v>
      </c>
      <c r="C20" t="s">
        <v>227</v>
      </c>
      <c r="D20">
        <v>40</v>
      </c>
      <c r="E20">
        <v>37.299999999999997</v>
      </c>
      <c r="F20">
        <v>39.799999999999997</v>
      </c>
      <c r="G20">
        <v>42.7</v>
      </c>
      <c r="H20" t="s">
        <v>53</v>
      </c>
      <c r="I20" s="70">
        <v>0.25284722222222222</v>
      </c>
      <c r="J20" t="s">
        <v>237</v>
      </c>
      <c r="P20" t="s">
        <v>254</v>
      </c>
      <c r="U20">
        <v>32</v>
      </c>
    </row>
    <row r="21" spans="1:21" x14ac:dyDescent="0.3">
      <c r="A21" t="str">
        <f t="shared" si="0"/>
        <v>Base station output powerPORT20TM1.1</v>
      </c>
      <c r="B21" t="s">
        <v>186</v>
      </c>
      <c r="C21" t="s">
        <v>227</v>
      </c>
      <c r="D21">
        <v>40</v>
      </c>
      <c r="E21">
        <v>37.299999999999997</v>
      </c>
      <c r="F21">
        <v>39.6</v>
      </c>
      <c r="G21">
        <v>42.7</v>
      </c>
      <c r="H21" t="s">
        <v>53</v>
      </c>
      <c r="I21" s="70">
        <v>0.25305555555555553</v>
      </c>
      <c r="J21" t="s">
        <v>237</v>
      </c>
      <c r="P21" t="s">
        <v>256</v>
      </c>
      <c r="U21">
        <v>32</v>
      </c>
    </row>
    <row r="22" spans="1:21" x14ac:dyDescent="0.3">
      <c r="A22" t="str">
        <f t="shared" si="0"/>
        <v>Base station output powerPORT21TM1.1</v>
      </c>
      <c r="B22" t="s">
        <v>187</v>
      </c>
      <c r="C22" t="s">
        <v>227</v>
      </c>
      <c r="D22">
        <v>40</v>
      </c>
      <c r="E22">
        <v>37.299999999999997</v>
      </c>
      <c r="F22">
        <v>40</v>
      </c>
      <c r="G22">
        <v>42.7</v>
      </c>
      <c r="H22" t="s">
        <v>53</v>
      </c>
      <c r="I22" s="70">
        <v>0.2532638888888889</v>
      </c>
      <c r="J22" t="s">
        <v>237</v>
      </c>
      <c r="P22" t="s">
        <v>257</v>
      </c>
      <c r="U22">
        <f>3*32*1</f>
        <v>96</v>
      </c>
    </row>
    <row r="23" spans="1:21" x14ac:dyDescent="0.3">
      <c r="A23" t="str">
        <f t="shared" si="0"/>
        <v>Base station output powerPORT22TM1.1</v>
      </c>
      <c r="B23" t="s">
        <v>188</v>
      </c>
      <c r="C23" t="s">
        <v>227</v>
      </c>
      <c r="D23">
        <v>40</v>
      </c>
      <c r="E23">
        <v>37.299999999999997</v>
      </c>
      <c r="F23">
        <v>39.5</v>
      </c>
      <c r="G23">
        <v>42.7</v>
      </c>
      <c r="H23" t="s">
        <v>53</v>
      </c>
      <c r="I23" s="70">
        <v>0.25347222222222221</v>
      </c>
      <c r="J23" t="s">
        <v>237</v>
      </c>
      <c r="P23" t="s">
        <v>261</v>
      </c>
      <c r="U23">
        <f>32*5</f>
        <v>160</v>
      </c>
    </row>
    <row r="24" spans="1:21" x14ac:dyDescent="0.3">
      <c r="A24" t="str">
        <f t="shared" si="0"/>
        <v>Base station output powerPORT23TM1.1</v>
      </c>
      <c r="B24" t="s">
        <v>189</v>
      </c>
      <c r="C24" t="s">
        <v>227</v>
      </c>
      <c r="D24">
        <v>40</v>
      </c>
      <c r="E24">
        <v>37.299999999999997</v>
      </c>
      <c r="F24">
        <v>39.700000000000003</v>
      </c>
      <c r="G24">
        <v>42.7</v>
      </c>
      <c r="H24" t="s">
        <v>53</v>
      </c>
      <c r="I24" s="70">
        <v>0.25368055555555552</v>
      </c>
      <c r="J24" t="s">
        <v>237</v>
      </c>
      <c r="U24">
        <f>SUM(U10:U23)</f>
        <v>1280</v>
      </c>
    </row>
    <row r="25" spans="1:21" x14ac:dyDescent="0.3">
      <c r="A25" t="str">
        <f t="shared" si="0"/>
        <v>Base station output powerPORT24TM1.1</v>
      </c>
      <c r="B25" t="s">
        <v>190</v>
      </c>
      <c r="C25" t="s">
        <v>227</v>
      </c>
      <c r="D25">
        <v>40</v>
      </c>
      <c r="E25">
        <v>37.299999999999997</v>
      </c>
      <c r="F25">
        <v>39.4</v>
      </c>
      <c r="G25">
        <v>42.7</v>
      </c>
      <c r="H25" t="s">
        <v>53</v>
      </c>
      <c r="I25" s="70">
        <v>0.25388888888888889</v>
      </c>
      <c r="J25" t="s">
        <v>237</v>
      </c>
    </row>
    <row r="26" spans="1:21" x14ac:dyDescent="0.3">
      <c r="A26" t="str">
        <f t="shared" si="0"/>
        <v>Base station output powerPORT25TM1.1</v>
      </c>
      <c r="B26" t="s">
        <v>191</v>
      </c>
      <c r="C26" t="s">
        <v>227</v>
      </c>
      <c r="D26">
        <v>40</v>
      </c>
      <c r="E26">
        <v>37.299999999999997</v>
      </c>
      <c r="F26">
        <v>39.799999999999997</v>
      </c>
      <c r="G26">
        <v>42.7</v>
      </c>
      <c r="H26" t="s">
        <v>53</v>
      </c>
      <c r="I26" s="70">
        <v>0.25408564814814816</v>
      </c>
      <c r="J26" t="s">
        <v>237</v>
      </c>
    </row>
    <row r="27" spans="1:21" x14ac:dyDescent="0.3">
      <c r="A27" t="str">
        <f t="shared" si="0"/>
        <v>Base station output powerPORT26TM1.1</v>
      </c>
      <c r="B27" t="s">
        <v>192</v>
      </c>
      <c r="C27" t="s">
        <v>227</v>
      </c>
      <c r="D27">
        <v>40</v>
      </c>
      <c r="E27">
        <v>37.299999999999997</v>
      </c>
      <c r="F27">
        <v>39.700000000000003</v>
      </c>
      <c r="G27">
        <v>42.7</v>
      </c>
      <c r="H27" t="s">
        <v>53</v>
      </c>
      <c r="I27" s="70">
        <v>0.25429398148148147</v>
      </c>
      <c r="J27" t="s">
        <v>237</v>
      </c>
    </row>
    <row r="28" spans="1:21" x14ac:dyDescent="0.3">
      <c r="A28" t="str">
        <f t="shared" si="0"/>
        <v>Base station output powerPORT27TM1.1</v>
      </c>
      <c r="B28" t="s">
        <v>193</v>
      </c>
      <c r="C28" t="s">
        <v>227</v>
      </c>
      <c r="D28">
        <v>40</v>
      </c>
      <c r="E28">
        <v>37.299999999999997</v>
      </c>
      <c r="F28">
        <v>39.700000000000003</v>
      </c>
      <c r="G28">
        <v>42.7</v>
      </c>
      <c r="H28" t="s">
        <v>53</v>
      </c>
      <c r="I28" s="70">
        <v>0.25450231481481483</v>
      </c>
      <c r="J28" t="s">
        <v>237</v>
      </c>
    </row>
    <row r="29" spans="1:21" x14ac:dyDescent="0.3">
      <c r="A29" t="str">
        <f t="shared" si="0"/>
        <v>Base station output powerPORT28TM1.1</v>
      </c>
      <c r="B29" t="s">
        <v>194</v>
      </c>
      <c r="C29" t="s">
        <v>227</v>
      </c>
      <c r="D29">
        <v>40</v>
      </c>
      <c r="E29">
        <v>37.299999999999997</v>
      </c>
      <c r="F29">
        <v>39.6</v>
      </c>
      <c r="G29">
        <v>42.7</v>
      </c>
      <c r="H29" t="s">
        <v>53</v>
      </c>
      <c r="I29" s="70">
        <v>0.25469907407407405</v>
      </c>
      <c r="J29" t="s">
        <v>237</v>
      </c>
    </row>
    <row r="30" spans="1:21" x14ac:dyDescent="0.3">
      <c r="A30" t="str">
        <f t="shared" si="0"/>
        <v>Base station output powerPORT29TM1.1</v>
      </c>
      <c r="B30" t="s">
        <v>195</v>
      </c>
      <c r="C30" t="s">
        <v>227</v>
      </c>
      <c r="D30">
        <v>40</v>
      </c>
      <c r="E30">
        <v>37.299999999999997</v>
      </c>
      <c r="F30">
        <v>39.9</v>
      </c>
      <c r="G30">
        <v>42.7</v>
      </c>
      <c r="H30" t="s">
        <v>53</v>
      </c>
      <c r="I30" s="70">
        <v>0.25490740740740742</v>
      </c>
      <c r="J30" t="s">
        <v>237</v>
      </c>
    </row>
    <row r="31" spans="1:21" x14ac:dyDescent="0.3">
      <c r="A31" t="str">
        <f t="shared" si="0"/>
        <v>Base station output powerPORT30TM1.1</v>
      </c>
      <c r="B31" t="s">
        <v>196</v>
      </c>
      <c r="C31" t="s">
        <v>227</v>
      </c>
      <c r="D31">
        <v>40</v>
      </c>
      <c r="E31">
        <v>37.299999999999997</v>
      </c>
      <c r="F31">
        <v>39.799999999999997</v>
      </c>
      <c r="G31">
        <v>42.7</v>
      </c>
      <c r="H31" t="s">
        <v>53</v>
      </c>
      <c r="I31" s="70">
        <v>0.25511574074074073</v>
      </c>
      <c r="J31" t="s">
        <v>237</v>
      </c>
    </row>
    <row r="32" spans="1:21" x14ac:dyDescent="0.3">
      <c r="A32" t="str">
        <f t="shared" si="0"/>
        <v>Base station output powerPORT31TM1.1</v>
      </c>
      <c r="B32" t="s">
        <v>197</v>
      </c>
      <c r="C32" t="s">
        <v>227</v>
      </c>
      <c r="D32">
        <v>40</v>
      </c>
      <c r="E32">
        <v>37.299999999999997</v>
      </c>
      <c r="F32">
        <v>39.6</v>
      </c>
      <c r="G32">
        <v>42.7</v>
      </c>
      <c r="H32" t="s">
        <v>53</v>
      </c>
      <c r="I32" s="70">
        <v>0.25532407407407409</v>
      </c>
      <c r="J32" t="s">
        <v>237</v>
      </c>
    </row>
    <row r="33" spans="1:10" x14ac:dyDescent="0.3">
      <c r="A33" t="str">
        <f t="shared" si="0"/>
        <v>Base station output powerPORT32TM1.1</v>
      </c>
      <c r="B33" t="s">
        <v>198</v>
      </c>
      <c r="C33" t="s">
        <v>227</v>
      </c>
      <c r="D33">
        <v>40</v>
      </c>
      <c r="E33">
        <v>37.299999999999997</v>
      </c>
      <c r="F33">
        <v>39.4</v>
      </c>
      <c r="G33">
        <v>42.7</v>
      </c>
      <c r="H33" t="s">
        <v>53</v>
      </c>
      <c r="I33" s="70">
        <v>0.2555324074074074</v>
      </c>
      <c r="J33" t="s">
        <v>237</v>
      </c>
    </row>
    <row r="34" spans="1:10" hidden="1" x14ac:dyDescent="0.3">
      <c r="A34" t="str">
        <f t="shared" si="0"/>
        <v>Occupied bandwidthPORT1TM1.1</v>
      </c>
      <c r="B34" t="s">
        <v>57</v>
      </c>
      <c r="C34" t="s">
        <v>242</v>
      </c>
      <c r="D34">
        <v>98.28</v>
      </c>
      <c r="G34">
        <v>98.28</v>
      </c>
      <c r="H34" t="s">
        <v>53</v>
      </c>
      <c r="I34" s="70">
        <v>0.43822916666666667</v>
      </c>
      <c r="J34" t="s">
        <v>237</v>
      </c>
    </row>
    <row r="35" spans="1:10" hidden="1" x14ac:dyDescent="0.3">
      <c r="A35" t="str">
        <f t="shared" si="0"/>
        <v>Occupied bandwidthPORT2TM1.1</v>
      </c>
      <c r="B35" t="s">
        <v>59</v>
      </c>
      <c r="C35" t="s">
        <v>242</v>
      </c>
      <c r="D35">
        <v>98.28</v>
      </c>
      <c r="G35">
        <v>98.28</v>
      </c>
      <c r="H35" t="s">
        <v>53</v>
      </c>
      <c r="I35" s="70">
        <v>0.43850694444444444</v>
      </c>
      <c r="J35" t="s">
        <v>237</v>
      </c>
    </row>
    <row r="36" spans="1:10" hidden="1" x14ac:dyDescent="0.3">
      <c r="A36" t="str">
        <f t="shared" si="0"/>
        <v>Occupied bandwidthPORT3TM1.1</v>
      </c>
      <c r="B36" t="s">
        <v>60</v>
      </c>
      <c r="C36" t="s">
        <v>242</v>
      </c>
      <c r="D36">
        <v>98.28</v>
      </c>
      <c r="G36">
        <v>98.28</v>
      </c>
      <c r="H36" t="s">
        <v>53</v>
      </c>
      <c r="I36" s="70">
        <v>0.43878472222222226</v>
      </c>
      <c r="J36" t="s">
        <v>237</v>
      </c>
    </row>
    <row r="37" spans="1:10" hidden="1" x14ac:dyDescent="0.3">
      <c r="A37" t="str">
        <f t="shared" si="0"/>
        <v>Occupied bandwidthPORT4TM1.1</v>
      </c>
      <c r="B37" t="s">
        <v>61</v>
      </c>
      <c r="C37" t="s">
        <v>242</v>
      </c>
      <c r="D37">
        <v>98.28</v>
      </c>
      <c r="G37">
        <v>98.28</v>
      </c>
      <c r="H37" t="s">
        <v>53</v>
      </c>
      <c r="I37" s="70">
        <v>0.43905092592592593</v>
      </c>
      <c r="J37" t="s">
        <v>237</v>
      </c>
    </row>
    <row r="38" spans="1:10" hidden="1" x14ac:dyDescent="0.3">
      <c r="A38" t="str">
        <f t="shared" si="0"/>
        <v>Occupied bandwidthPORT5TM1.1</v>
      </c>
      <c r="B38" t="s">
        <v>62</v>
      </c>
      <c r="C38" t="s">
        <v>242</v>
      </c>
      <c r="D38">
        <v>98.28</v>
      </c>
      <c r="G38">
        <v>98.28</v>
      </c>
      <c r="H38" t="s">
        <v>53</v>
      </c>
      <c r="I38" s="70">
        <v>0.43932870370370369</v>
      </c>
      <c r="J38" t="s">
        <v>237</v>
      </c>
    </row>
    <row r="39" spans="1:10" hidden="1" x14ac:dyDescent="0.3">
      <c r="A39" t="str">
        <f t="shared" si="0"/>
        <v>Occupied bandwidthPORT6TM1.1</v>
      </c>
      <c r="B39" t="s">
        <v>63</v>
      </c>
      <c r="C39" t="s">
        <v>242</v>
      </c>
      <c r="D39">
        <v>98.28</v>
      </c>
      <c r="G39">
        <v>98.28</v>
      </c>
      <c r="H39" t="s">
        <v>53</v>
      </c>
      <c r="I39" s="70">
        <v>0.43960648148148151</v>
      </c>
      <c r="J39" t="s">
        <v>237</v>
      </c>
    </row>
    <row r="40" spans="1:10" hidden="1" x14ac:dyDescent="0.3">
      <c r="A40" t="str">
        <f t="shared" si="0"/>
        <v>Occupied bandwidthPORT7TM1.1</v>
      </c>
      <c r="B40" t="s">
        <v>64</v>
      </c>
      <c r="C40" t="s">
        <v>242</v>
      </c>
      <c r="D40">
        <v>98.28</v>
      </c>
      <c r="G40">
        <v>98.28</v>
      </c>
      <c r="H40" t="s">
        <v>53</v>
      </c>
      <c r="I40" s="70">
        <v>0.43988425925925928</v>
      </c>
      <c r="J40" t="s">
        <v>237</v>
      </c>
    </row>
    <row r="41" spans="1:10" hidden="1" x14ac:dyDescent="0.3">
      <c r="A41" t="str">
        <f t="shared" si="0"/>
        <v>Occupied bandwidthPORT8TM1.1</v>
      </c>
      <c r="B41" t="s">
        <v>65</v>
      </c>
      <c r="C41" t="s">
        <v>242</v>
      </c>
      <c r="D41">
        <v>98.28</v>
      </c>
      <c r="G41">
        <v>98.28</v>
      </c>
      <c r="H41" t="s">
        <v>53</v>
      </c>
      <c r="I41" s="70">
        <v>0.44015046296296295</v>
      </c>
      <c r="J41" t="s">
        <v>237</v>
      </c>
    </row>
    <row r="42" spans="1:10" hidden="1" x14ac:dyDescent="0.3">
      <c r="A42" t="str">
        <f t="shared" si="0"/>
        <v>Occupied bandwidthPORT9TM1.1</v>
      </c>
      <c r="B42" t="s">
        <v>175</v>
      </c>
      <c r="C42" t="s">
        <v>242</v>
      </c>
      <c r="D42">
        <v>98.28</v>
      </c>
      <c r="G42">
        <v>98.28</v>
      </c>
      <c r="H42" t="s">
        <v>53</v>
      </c>
      <c r="I42" s="70">
        <v>0.44042824074074072</v>
      </c>
      <c r="J42" t="s">
        <v>237</v>
      </c>
    </row>
    <row r="43" spans="1:10" hidden="1" x14ac:dyDescent="0.3">
      <c r="A43" t="str">
        <f t="shared" si="0"/>
        <v>Occupied bandwidthPORT10TM1.1</v>
      </c>
      <c r="B43" t="s">
        <v>176</v>
      </c>
      <c r="C43" t="s">
        <v>242</v>
      </c>
      <c r="D43">
        <v>98.28</v>
      </c>
      <c r="G43">
        <v>98.28</v>
      </c>
      <c r="H43" t="s">
        <v>53</v>
      </c>
      <c r="I43" s="70">
        <v>0.44070601851851854</v>
      </c>
      <c r="J43" t="s">
        <v>237</v>
      </c>
    </row>
    <row r="44" spans="1:10" hidden="1" x14ac:dyDescent="0.3">
      <c r="A44" t="str">
        <f t="shared" si="0"/>
        <v>Occupied bandwidthPORT11TM1.1</v>
      </c>
      <c r="B44" t="s">
        <v>177</v>
      </c>
      <c r="C44" t="s">
        <v>242</v>
      </c>
      <c r="D44">
        <v>98.28</v>
      </c>
      <c r="G44">
        <v>98.28</v>
      </c>
      <c r="H44" t="s">
        <v>53</v>
      </c>
      <c r="I44" s="70">
        <v>0.4409837962962963</v>
      </c>
      <c r="J44" t="s">
        <v>237</v>
      </c>
    </row>
    <row r="45" spans="1:10" hidden="1" x14ac:dyDescent="0.3">
      <c r="A45" t="str">
        <f t="shared" si="0"/>
        <v>Occupied bandwidthPORT12TM1.1</v>
      </c>
      <c r="B45" t="s">
        <v>178</v>
      </c>
      <c r="C45" t="s">
        <v>242</v>
      </c>
      <c r="D45">
        <v>98.28</v>
      </c>
      <c r="G45">
        <v>98.28</v>
      </c>
      <c r="H45" t="s">
        <v>53</v>
      </c>
      <c r="I45" s="70">
        <v>0.44124999999999998</v>
      </c>
      <c r="J45" t="s">
        <v>237</v>
      </c>
    </row>
    <row r="46" spans="1:10" hidden="1" x14ac:dyDescent="0.3">
      <c r="A46" t="str">
        <f t="shared" si="0"/>
        <v>Occupied bandwidthPORT13TM1.1</v>
      </c>
      <c r="B46" t="s">
        <v>179</v>
      </c>
      <c r="C46" t="s">
        <v>242</v>
      </c>
      <c r="D46">
        <v>98.28</v>
      </c>
      <c r="G46">
        <v>98.28</v>
      </c>
      <c r="H46" t="s">
        <v>53</v>
      </c>
      <c r="I46" s="70">
        <v>0.44152777777777774</v>
      </c>
      <c r="J46" t="s">
        <v>237</v>
      </c>
    </row>
    <row r="47" spans="1:10" hidden="1" x14ac:dyDescent="0.3">
      <c r="A47" t="str">
        <f t="shared" si="0"/>
        <v>Occupied bandwidthPORT14TM1.1</v>
      </c>
      <c r="B47" t="s">
        <v>180</v>
      </c>
      <c r="C47" t="s">
        <v>242</v>
      </c>
      <c r="D47">
        <v>98.28</v>
      </c>
      <c r="G47">
        <v>98.28</v>
      </c>
      <c r="H47" t="s">
        <v>53</v>
      </c>
      <c r="I47" s="70">
        <v>0.44180555555555556</v>
      </c>
      <c r="J47" t="s">
        <v>237</v>
      </c>
    </row>
    <row r="48" spans="1:10" hidden="1" x14ac:dyDescent="0.3">
      <c r="A48" t="str">
        <f t="shared" si="0"/>
        <v>Occupied bandwidthPORT15TM1.1</v>
      </c>
      <c r="B48" t="s">
        <v>181</v>
      </c>
      <c r="C48" t="s">
        <v>242</v>
      </c>
      <c r="D48">
        <v>98.28</v>
      </c>
      <c r="G48">
        <v>98.28</v>
      </c>
      <c r="H48" t="s">
        <v>53</v>
      </c>
      <c r="I48" s="70">
        <v>0.44207175925925929</v>
      </c>
      <c r="J48" t="s">
        <v>237</v>
      </c>
    </row>
    <row r="49" spans="1:10" hidden="1" x14ac:dyDescent="0.3">
      <c r="A49" t="str">
        <f t="shared" si="0"/>
        <v>Occupied bandwidthPORT16TM1.1</v>
      </c>
      <c r="B49" t="s">
        <v>182</v>
      </c>
      <c r="C49" t="s">
        <v>242</v>
      </c>
      <c r="D49">
        <v>98.28</v>
      </c>
      <c r="G49">
        <v>98.28</v>
      </c>
      <c r="H49" t="s">
        <v>53</v>
      </c>
      <c r="I49" s="70">
        <v>0.442349537037037</v>
      </c>
      <c r="J49" t="s">
        <v>237</v>
      </c>
    </row>
    <row r="50" spans="1:10" hidden="1" x14ac:dyDescent="0.3">
      <c r="A50" t="str">
        <f t="shared" si="0"/>
        <v>Occupied bandwidthPORT17TM1.1</v>
      </c>
      <c r="B50" t="s">
        <v>183</v>
      </c>
      <c r="C50" t="s">
        <v>242</v>
      </c>
      <c r="D50">
        <v>98.28</v>
      </c>
      <c r="G50">
        <v>98.28</v>
      </c>
      <c r="H50" t="s">
        <v>53</v>
      </c>
      <c r="I50" s="70">
        <v>0.44262731481481482</v>
      </c>
      <c r="J50" t="s">
        <v>237</v>
      </c>
    </row>
    <row r="51" spans="1:10" hidden="1" x14ac:dyDescent="0.3">
      <c r="A51" t="str">
        <f t="shared" si="0"/>
        <v>Occupied bandwidthPORT18TM1.1</v>
      </c>
      <c r="B51" t="s">
        <v>184</v>
      </c>
      <c r="C51" t="s">
        <v>242</v>
      </c>
      <c r="D51">
        <v>98.28</v>
      </c>
      <c r="G51">
        <v>98.28</v>
      </c>
      <c r="H51" t="s">
        <v>53</v>
      </c>
      <c r="I51" s="70">
        <v>0.44290509259259259</v>
      </c>
      <c r="J51" t="s">
        <v>237</v>
      </c>
    </row>
    <row r="52" spans="1:10" hidden="1" x14ac:dyDescent="0.3">
      <c r="A52" t="str">
        <f t="shared" si="0"/>
        <v>Occupied bandwidthPORT19TM1.1</v>
      </c>
      <c r="B52" t="s">
        <v>185</v>
      </c>
      <c r="C52" t="s">
        <v>242</v>
      </c>
      <c r="D52">
        <v>98.28</v>
      </c>
      <c r="G52">
        <v>98.28</v>
      </c>
      <c r="H52" t="s">
        <v>53</v>
      </c>
      <c r="I52" s="70">
        <v>0.44317129629629631</v>
      </c>
      <c r="J52" t="s">
        <v>237</v>
      </c>
    </row>
    <row r="53" spans="1:10" hidden="1" x14ac:dyDescent="0.3">
      <c r="A53" t="str">
        <f t="shared" si="0"/>
        <v>Occupied bandwidthPORT20TM1.1</v>
      </c>
      <c r="B53" t="s">
        <v>186</v>
      </c>
      <c r="C53" t="s">
        <v>242</v>
      </c>
      <c r="D53">
        <v>98.28</v>
      </c>
      <c r="G53">
        <v>98.28</v>
      </c>
      <c r="H53" t="s">
        <v>53</v>
      </c>
      <c r="I53" s="70">
        <v>0.44344907407407402</v>
      </c>
      <c r="J53" t="s">
        <v>237</v>
      </c>
    </row>
    <row r="54" spans="1:10" hidden="1" x14ac:dyDescent="0.3">
      <c r="A54" t="str">
        <f t="shared" si="0"/>
        <v>Occupied bandwidthPORT21TM1.1</v>
      </c>
      <c r="B54" t="s">
        <v>187</v>
      </c>
      <c r="C54" t="s">
        <v>242</v>
      </c>
      <c r="D54">
        <v>98.28</v>
      </c>
      <c r="G54">
        <v>98.28</v>
      </c>
      <c r="H54" t="s">
        <v>53</v>
      </c>
      <c r="I54" s="70">
        <v>0.44372685185185184</v>
      </c>
      <c r="J54" t="s">
        <v>237</v>
      </c>
    </row>
    <row r="55" spans="1:10" hidden="1" x14ac:dyDescent="0.3">
      <c r="A55" t="str">
        <f t="shared" si="0"/>
        <v>Occupied bandwidthPORT22TM1.1</v>
      </c>
      <c r="B55" t="s">
        <v>188</v>
      </c>
      <c r="C55" t="s">
        <v>242</v>
      </c>
      <c r="D55">
        <v>98.28</v>
      </c>
      <c r="G55">
        <v>98.28</v>
      </c>
      <c r="H55" t="s">
        <v>53</v>
      </c>
      <c r="I55" s="70">
        <v>0.44400462962962961</v>
      </c>
      <c r="J55" t="s">
        <v>237</v>
      </c>
    </row>
    <row r="56" spans="1:10" hidden="1" x14ac:dyDescent="0.3">
      <c r="A56" t="str">
        <f t="shared" si="0"/>
        <v>Occupied bandwidthPORT23TM1.1</v>
      </c>
      <c r="B56" t="s">
        <v>189</v>
      </c>
      <c r="C56" t="s">
        <v>242</v>
      </c>
      <c r="D56">
        <v>98.28</v>
      </c>
      <c r="G56">
        <v>98.28</v>
      </c>
      <c r="H56" t="s">
        <v>53</v>
      </c>
      <c r="I56" s="70">
        <v>0.44427083333333334</v>
      </c>
      <c r="J56" t="s">
        <v>237</v>
      </c>
    </row>
    <row r="57" spans="1:10" hidden="1" x14ac:dyDescent="0.3">
      <c r="A57" t="str">
        <f t="shared" si="0"/>
        <v>Occupied bandwidthPORT24TM1.1</v>
      </c>
      <c r="B57" t="s">
        <v>190</v>
      </c>
      <c r="C57" t="s">
        <v>242</v>
      </c>
      <c r="D57">
        <v>98.28</v>
      </c>
      <c r="G57">
        <v>98.28</v>
      </c>
      <c r="H57" t="s">
        <v>53</v>
      </c>
      <c r="I57" s="70">
        <v>0.44454861111111116</v>
      </c>
      <c r="J57" t="s">
        <v>237</v>
      </c>
    </row>
    <row r="58" spans="1:10" hidden="1" x14ac:dyDescent="0.3">
      <c r="A58" t="str">
        <f t="shared" si="0"/>
        <v>Occupied bandwidthPORT25TM1.1</v>
      </c>
      <c r="B58" t="s">
        <v>191</v>
      </c>
      <c r="C58" t="s">
        <v>242</v>
      </c>
      <c r="D58">
        <v>98.28</v>
      </c>
      <c r="G58">
        <v>98.28</v>
      </c>
      <c r="H58" t="s">
        <v>53</v>
      </c>
      <c r="I58" s="70">
        <v>0.44482638888888887</v>
      </c>
      <c r="J58" t="s">
        <v>237</v>
      </c>
    </row>
    <row r="59" spans="1:10" hidden="1" x14ac:dyDescent="0.3">
      <c r="A59" t="str">
        <f t="shared" si="0"/>
        <v>Occupied bandwidthPORT26TM1.1</v>
      </c>
      <c r="B59" t="s">
        <v>192</v>
      </c>
      <c r="C59" t="s">
        <v>242</v>
      </c>
      <c r="D59">
        <v>98.28</v>
      </c>
      <c r="G59">
        <v>98.28</v>
      </c>
      <c r="H59" t="s">
        <v>53</v>
      </c>
      <c r="I59" s="70">
        <v>0.44510416666666663</v>
      </c>
      <c r="J59" t="s">
        <v>237</v>
      </c>
    </row>
    <row r="60" spans="1:10" hidden="1" x14ac:dyDescent="0.3">
      <c r="A60" t="str">
        <f t="shared" si="0"/>
        <v>Occupied bandwidthPORT27TM1.1</v>
      </c>
      <c r="B60" t="s">
        <v>193</v>
      </c>
      <c r="C60" t="s">
        <v>242</v>
      </c>
      <c r="D60">
        <v>98.28</v>
      </c>
      <c r="G60">
        <v>98.28</v>
      </c>
      <c r="H60" t="s">
        <v>53</v>
      </c>
      <c r="I60" s="70">
        <v>0.44537037037037036</v>
      </c>
      <c r="J60" t="s">
        <v>237</v>
      </c>
    </row>
    <row r="61" spans="1:10" hidden="1" x14ac:dyDescent="0.3">
      <c r="A61" t="str">
        <f t="shared" si="0"/>
        <v>Occupied bandwidthPORT28TM1.1</v>
      </c>
      <c r="B61" t="s">
        <v>194</v>
      </c>
      <c r="C61" t="s">
        <v>242</v>
      </c>
      <c r="D61">
        <v>98.28</v>
      </c>
      <c r="G61">
        <v>98.28</v>
      </c>
      <c r="H61" t="s">
        <v>53</v>
      </c>
      <c r="I61" s="70">
        <v>0.44564814814814818</v>
      </c>
      <c r="J61" t="s">
        <v>237</v>
      </c>
    </row>
    <row r="62" spans="1:10" hidden="1" x14ac:dyDescent="0.3">
      <c r="A62" t="str">
        <f t="shared" si="0"/>
        <v>Occupied bandwidthPORT29TM1.1</v>
      </c>
      <c r="B62" t="s">
        <v>195</v>
      </c>
      <c r="C62" t="s">
        <v>242</v>
      </c>
      <c r="D62">
        <v>98.28</v>
      </c>
      <c r="G62">
        <v>98.28</v>
      </c>
      <c r="H62" t="s">
        <v>53</v>
      </c>
      <c r="I62" s="70">
        <v>0.44592592592592589</v>
      </c>
      <c r="J62" t="s">
        <v>237</v>
      </c>
    </row>
    <row r="63" spans="1:10" hidden="1" x14ac:dyDescent="0.3">
      <c r="A63" t="str">
        <f t="shared" si="0"/>
        <v>Occupied bandwidthPORT30TM1.1</v>
      </c>
      <c r="B63" t="s">
        <v>196</v>
      </c>
      <c r="C63" t="s">
        <v>242</v>
      </c>
      <c r="D63">
        <v>98.28</v>
      </c>
      <c r="G63">
        <v>98.28</v>
      </c>
      <c r="H63" t="s">
        <v>53</v>
      </c>
      <c r="I63" s="70">
        <v>0.44620370370370371</v>
      </c>
      <c r="J63" t="s">
        <v>237</v>
      </c>
    </row>
    <row r="64" spans="1:10" hidden="1" x14ac:dyDescent="0.3">
      <c r="A64" t="str">
        <f t="shared" si="0"/>
        <v>Occupied bandwidthPORT31TM1.1</v>
      </c>
      <c r="B64" t="s">
        <v>197</v>
      </c>
      <c r="C64" t="s">
        <v>242</v>
      </c>
      <c r="D64">
        <v>98.28</v>
      </c>
      <c r="G64">
        <v>98.28</v>
      </c>
      <c r="H64" t="s">
        <v>53</v>
      </c>
      <c r="I64" s="70">
        <v>0.44646990740740744</v>
      </c>
      <c r="J64" t="s">
        <v>237</v>
      </c>
    </row>
    <row r="65" spans="1:17" hidden="1" x14ac:dyDescent="0.3">
      <c r="A65" t="str">
        <f t="shared" si="0"/>
        <v>Occupied bandwidthPORT32TM1.1</v>
      </c>
      <c r="B65" t="s">
        <v>198</v>
      </c>
      <c r="C65" t="s">
        <v>242</v>
      </c>
      <c r="D65">
        <v>98.28</v>
      </c>
      <c r="G65">
        <v>98.28</v>
      </c>
      <c r="H65" t="s">
        <v>53</v>
      </c>
      <c r="I65" s="70">
        <v>0.44674768518518521</v>
      </c>
      <c r="J65" t="s">
        <v>237</v>
      </c>
      <c r="P65" t="str">
        <f>LEFT(C66,30)</f>
        <v>Adjacent channel leakage power</v>
      </c>
      <c r="Q65" t="s">
        <v>243</v>
      </c>
    </row>
    <row r="66" spans="1:17" x14ac:dyDescent="0.3">
      <c r="A66" t="str">
        <f t="shared" si="0"/>
        <v>Adjacent channel leakage power TM1.1PORT1TM1.1</v>
      </c>
      <c r="B66" t="s">
        <v>57</v>
      </c>
      <c r="C66" t="s">
        <v>282</v>
      </c>
      <c r="D66">
        <v>43.8</v>
      </c>
      <c r="E66">
        <v>43.8</v>
      </c>
      <c r="F66">
        <v>48.6</v>
      </c>
      <c r="H66" t="s">
        <v>53</v>
      </c>
      <c r="I66" s="70">
        <v>0.34379629629629632</v>
      </c>
      <c r="J66" t="s">
        <v>237</v>
      </c>
    </row>
    <row r="67" spans="1:17" x14ac:dyDescent="0.3">
      <c r="A67" t="str">
        <f t="shared" ref="A67:A130" si="1">C67&amp;B67&amp;H67</f>
        <v>Adjacent channel leakage power TM1.1PORT2TM1.1</v>
      </c>
      <c r="B67" t="s">
        <v>59</v>
      </c>
      <c r="C67" t="s">
        <v>282</v>
      </c>
      <c r="D67">
        <v>43.8</v>
      </c>
      <c r="E67">
        <v>43.8</v>
      </c>
      <c r="F67">
        <v>46.1</v>
      </c>
      <c r="H67" t="s">
        <v>53</v>
      </c>
      <c r="I67" s="70">
        <v>0.34424768518518517</v>
      </c>
      <c r="J67" t="s">
        <v>250</v>
      </c>
    </row>
    <row r="68" spans="1:17" x14ac:dyDescent="0.3">
      <c r="A68" t="str">
        <f t="shared" si="1"/>
        <v>Adjacent channel leakage power TM1.1PORT3TM1.1</v>
      </c>
      <c r="B68" t="s">
        <v>60</v>
      </c>
      <c r="C68" t="s">
        <v>282</v>
      </c>
      <c r="D68">
        <v>43.8</v>
      </c>
      <c r="E68">
        <v>43.8</v>
      </c>
      <c r="F68">
        <v>48.6</v>
      </c>
      <c r="H68" t="s">
        <v>53</v>
      </c>
      <c r="I68" s="70">
        <v>0.34439814814814818</v>
      </c>
      <c r="J68" t="s">
        <v>237</v>
      </c>
    </row>
    <row r="69" spans="1:17" x14ac:dyDescent="0.3">
      <c r="A69" t="str">
        <f t="shared" si="1"/>
        <v>Adjacent channel leakage power TM1.1PORT4TM1.1</v>
      </c>
      <c r="B69" t="s">
        <v>61</v>
      </c>
      <c r="C69" t="s">
        <v>282</v>
      </c>
      <c r="D69">
        <v>43.8</v>
      </c>
      <c r="E69">
        <v>43.8</v>
      </c>
      <c r="F69">
        <v>51.1</v>
      </c>
      <c r="H69" t="s">
        <v>53</v>
      </c>
      <c r="I69" s="70">
        <v>0.34454861111111112</v>
      </c>
      <c r="J69" t="s">
        <v>237</v>
      </c>
    </row>
    <row r="70" spans="1:17" x14ac:dyDescent="0.3">
      <c r="A70" t="str">
        <f t="shared" si="1"/>
        <v>Adjacent channel leakage power TM1.1PORT5TM1.1</v>
      </c>
      <c r="B70" t="s">
        <v>62</v>
      </c>
      <c r="C70" t="s">
        <v>282</v>
      </c>
      <c r="D70">
        <v>43.8</v>
      </c>
      <c r="E70">
        <v>43.8</v>
      </c>
      <c r="F70">
        <v>48.5</v>
      </c>
      <c r="H70" t="s">
        <v>53</v>
      </c>
      <c r="I70" s="70">
        <v>0.34469907407407407</v>
      </c>
      <c r="J70" t="s">
        <v>237</v>
      </c>
    </row>
    <row r="71" spans="1:17" x14ac:dyDescent="0.3">
      <c r="A71" t="str">
        <f t="shared" si="1"/>
        <v>Adjacent channel leakage power TM1.1PORT6TM1.1</v>
      </c>
      <c r="B71" t="s">
        <v>63</v>
      </c>
      <c r="C71" t="s">
        <v>282</v>
      </c>
      <c r="D71">
        <v>43.8</v>
      </c>
      <c r="E71">
        <v>43.8</v>
      </c>
      <c r="F71">
        <v>45.7</v>
      </c>
      <c r="H71" t="s">
        <v>53</v>
      </c>
      <c r="I71" s="70">
        <v>0.34515046296296298</v>
      </c>
      <c r="J71" t="s">
        <v>250</v>
      </c>
      <c r="P71" t="b">
        <f t="array" ref="P71">LEFT(C66:C92,30)="Adjacent channel leakage power"</f>
        <v>1</v>
      </c>
    </row>
    <row r="72" spans="1:17" x14ac:dyDescent="0.3">
      <c r="A72" t="str">
        <f t="shared" si="1"/>
        <v>Adjacent channel leakage power TM1.1PORT7TM1.1</v>
      </c>
      <c r="B72" t="s">
        <v>64</v>
      </c>
      <c r="C72" t="s">
        <v>282</v>
      </c>
      <c r="D72">
        <v>43.8</v>
      </c>
      <c r="E72">
        <v>43.8</v>
      </c>
      <c r="F72">
        <v>50.1</v>
      </c>
      <c r="H72" t="s">
        <v>53</v>
      </c>
      <c r="I72" s="70">
        <v>0.34530092592592593</v>
      </c>
      <c r="J72" t="s">
        <v>237</v>
      </c>
    </row>
    <row r="73" spans="1:17" x14ac:dyDescent="0.3">
      <c r="A73" t="str">
        <f t="shared" si="1"/>
        <v>Adjacent channel leakage power TM1.1PORT8TM1.1</v>
      </c>
      <c r="B73" t="s">
        <v>65</v>
      </c>
      <c r="C73" t="s">
        <v>282</v>
      </c>
      <c r="D73">
        <v>43.8</v>
      </c>
      <c r="E73">
        <v>43.8</v>
      </c>
      <c r="F73">
        <v>51.2</v>
      </c>
      <c r="H73" t="s">
        <v>53</v>
      </c>
      <c r="I73" s="70">
        <v>0.34545138888888888</v>
      </c>
      <c r="J73" t="s">
        <v>237</v>
      </c>
    </row>
    <row r="74" spans="1:17" x14ac:dyDescent="0.3">
      <c r="A74" t="str">
        <f t="shared" si="1"/>
        <v>Adjacent channel leakage power TM1.1PORT9TM1.1</v>
      </c>
      <c r="B74" t="s">
        <v>175</v>
      </c>
      <c r="C74" t="s">
        <v>282</v>
      </c>
      <c r="D74">
        <v>43.8</v>
      </c>
      <c r="E74">
        <v>43.8</v>
      </c>
      <c r="F74">
        <v>49.2</v>
      </c>
      <c r="H74" t="s">
        <v>53</v>
      </c>
      <c r="I74" s="70">
        <v>0.34560185185185183</v>
      </c>
      <c r="J74" t="s">
        <v>237</v>
      </c>
    </row>
    <row r="75" spans="1:17" x14ac:dyDescent="0.3">
      <c r="A75" t="str">
        <f t="shared" si="1"/>
        <v>Adjacent channel leakage power TM1.1PORT10TM1.1</v>
      </c>
      <c r="B75" t="s">
        <v>176</v>
      </c>
      <c r="C75" t="s">
        <v>282</v>
      </c>
      <c r="D75">
        <v>43.8</v>
      </c>
      <c r="E75">
        <v>43.8</v>
      </c>
      <c r="F75">
        <v>46.1</v>
      </c>
      <c r="H75" t="s">
        <v>53</v>
      </c>
      <c r="I75" s="70">
        <v>0.34606481481481483</v>
      </c>
      <c r="J75" t="s">
        <v>250</v>
      </c>
    </row>
    <row r="76" spans="1:17" x14ac:dyDescent="0.3">
      <c r="A76" t="str">
        <f t="shared" si="1"/>
        <v>Adjacent channel leakage power TM1.1PORT11TM1.1</v>
      </c>
      <c r="B76" t="s">
        <v>177</v>
      </c>
      <c r="C76" t="s">
        <v>282</v>
      </c>
      <c r="D76">
        <v>43.8</v>
      </c>
      <c r="E76">
        <v>43.8</v>
      </c>
      <c r="F76">
        <v>48.7</v>
      </c>
      <c r="H76" t="s">
        <v>53</v>
      </c>
      <c r="I76" s="70">
        <v>0.34621527777777777</v>
      </c>
      <c r="J76" t="s">
        <v>237</v>
      </c>
    </row>
    <row r="77" spans="1:17" x14ac:dyDescent="0.3">
      <c r="A77" t="str">
        <f t="shared" si="1"/>
        <v>Adjacent channel leakage power TM1.1PORT12TM1.1</v>
      </c>
      <c r="B77" t="s">
        <v>178</v>
      </c>
      <c r="C77" t="s">
        <v>282</v>
      </c>
      <c r="D77">
        <v>43.8</v>
      </c>
      <c r="E77">
        <v>43.8</v>
      </c>
      <c r="F77">
        <v>50.4</v>
      </c>
      <c r="H77" t="s">
        <v>53</v>
      </c>
      <c r="I77" s="70">
        <v>0.34636574074074072</v>
      </c>
      <c r="J77" t="s">
        <v>237</v>
      </c>
    </row>
    <row r="78" spans="1:17" x14ac:dyDescent="0.3">
      <c r="A78" t="str">
        <f t="shared" si="1"/>
        <v>Adjacent channel leakage power TM1.1PORT13TM1.1</v>
      </c>
      <c r="B78" t="s">
        <v>179</v>
      </c>
      <c r="C78" t="s">
        <v>282</v>
      </c>
      <c r="D78">
        <v>43.8</v>
      </c>
      <c r="E78">
        <v>43.8</v>
      </c>
      <c r="F78">
        <v>47.6</v>
      </c>
      <c r="H78" t="s">
        <v>53</v>
      </c>
      <c r="I78" s="70">
        <v>0.34681712962962963</v>
      </c>
      <c r="J78" t="s">
        <v>250</v>
      </c>
    </row>
    <row r="79" spans="1:17" x14ac:dyDescent="0.3">
      <c r="A79" t="str">
        <f t="shared" si="1"/>
        <v>Adjacent channel leakage power TM1.1PORT14TM1.1</v>
      </c>
      <c r="B79" t="s">
        <v>180</v>
      </c>
      <c r="C79" t="s">
        <v>282</v>
      </c>
      <c r="D79">
        <v>43.8</v>
      </c>
      <c r="E79">
        <v>43.8</v>
      </c>
      <c r="F79">
        <v>45.8</v>
      </c>
      <c r="H79" t="s">
        <v>53</v>
      </c>
      <c r="I79" s="70">
        <v>0.34726851851851853</v>
      </c>
      <c r="J79" t="s">
        <v>250</v>
      </c>
    </row>
    <row r="80" spans="1:17" x14ac:dyDescent="0.3">
      <c r="A80" t="str">
        <f t="shared" si="1"/>
        <v>Adjacent channel leakage power TM1.1PORT15TM1.1</v>
      </c>
      <c r="B80" t="s">
        <v>181</v>
      </c>
      <c r="C80" t="s">
        <v>282</v>
      </c>
      <c r="D80">
        <v>43.8</v>
      </c>
      <c r="E80">
        <v>43.8</v>
      </c>
      <c r="F80">
        <v>49.9</v>
      </c>
      <c r="H80" t="s">
        <v>53</v>
      </c>
      <c r="I80" s="70">
        <v>0.34741898148148148</v>
      </c>
      <c r="J80" t="s">
        <v>237</v>
      </c>
    </row>
    <row r="81" spans="1:10" x14ac:dyDescent="0.3">
      <c r="A81" t="str">
        <f t="shared" si="1"/>
        <v>Adjacent channel leakage power TM1.1PORT16TM1.1</v>
      </c>
      <c r="B81" t="s">
        <v>182</v>
      </c>
      <c r="C81" t="s">
        <v>282</v>
      </c>
      <c r="D81">
        <v>43.8</v>
      </c>
      <c r="E81">
        <v>43.8</v>
      </c>
      <c r="F81">
        <v>50.8</v>
      </c>
      <c r="H81" t="s">
        <v>53</v>
      </c>
      <c r="I81" s="70">
        <v>0.34756944444444443</v>
      </c>
      <c r="J81" t="s">
        <v>237</v>
      </c>
    </row>
    <row r="82" spans="1:10" x14ac:dyDescent="0.3">
      <c r="A82" t="str">
        <f t="shared" si="1"/>
        <v>Adjacent channel leakage power TM1.1PORT17TM1.1</v>
      </c>
      <c r="B82" t="s">
        <v>183</v>
      </c>
      <c r="C82" t="s">
        <v>282</v>
      </c>
      <c r="D82">
        <v>43.8</v>
      </c>
      <c r="E82">
        <v>43.8</v>
      </c>
      <c r="F82">
        <v>48.8</v>
      </c>
      <c r="H82" t="s">
        <v>53</v>
      </c>
      <c r="I82" s="70">
        <v>0.34771990740740738</v>
      </c>
      <c r="J82" t="s">
        <v>237</v>
      </c>
    </row>
    <row r="83" spans="1:10" x14ac:dyDescent="0.3">
      <c r="A83" t="str">
        <f t="shared" si="1"/>
        <v>Adjacent channel leakage power TM1.1PORT18TM1.1</v>
      </c>
      <c r="B83" t="s">
        <v>184</v>
      </c>
      <c r="C83" t="s">
        <v>282</v>
      </c>
      <c r="D83">
        <v>43.8</v>
      </c>
      <c r="E83">
        <v>43.8</v>
      </c>
      <c r="F83">
        <v>46.7</v>
      </c>
      <c r="H83" t="s">
        <v>53</v>
      </c>
      <c r="I83" s="70">
        <v>0.34817129629629634</v>
      </c>
      <c r="J83" t="s">
        <v>250</v>
      </c>
    </row>
    <row r="84" spans="1:10" x14ac:dyDescent="0.3">
      <c r="A84" t="str">
        <f t="shared" si="1"/>
        <v>Adjacent channel leakage power TM1.1PORT19TM1.1</v>
      </c>
      <c r="B84" t="s">
        <v>185</v>
      </c>
      <c r="C84" t="s">
        <v>282</v>
      </c>
      <c r="D84">
        <v>43.8</v>
      </c>
      <c r="E84">
        <v>43.8</v>
      </c>
      <c r="F84">
        <v>49.1</v>
      </c>
      <c r="H84" t="s">
        <v>53</v>
      </c>
      <c r="I84" s="70">
        <v>0.34833333333333333</v>
      </c>
      <c r="J84" t="s">
        <v>237</v>
      </c>
    </row>
    <row r="85" spans="1:10" x14ac:dyDescent="0.3">
      <c r="A85" t="str">
        <f t="shared" si="1"/>
        <v>Adjacent channel leakage power TM1.1PORT20TM1.1</v>
      </c>
      <c r="B85" t="s">
        <v>186</v>
      </c>
      <c r="C85" t="s">
        <v>282</v>
      </c>
      <c r="D85">
        <v>43.8</v>
      </c>
      <c r="E85">
        <v>43.8</v>
      </c>
      <c r="F85">
        <v>50.3</v>
      </c>
      <c r="H85" t="s">
        <v>53</v>
      </c>
      <c r="I85" s="70">
        <v>0.34848379629629633</v>
      </c>
      <c r="J85" t="s">
        <v>237</v>
      </c>
    </row>
    <row r="86" spans="1:10" x14ac:dyDescent="0.3">
      <c r="A86" t="str">
        <f t="shared" si="1"/>
        <v>Adjacent channel leakage power TM1.1PORT21TM1.1</v>
      </c>
      <c r="B86" t="s">
        <v>187</v>
      </c>
      <c r="C86" t="s">
        <v>282</v>
      </c>
      <c r="D86">
        <v>43.8</v>
      </c>
      <c r="E86">
        <v>43.8</v>
      </c>
      <c r="F86">
        <v>48</v>
      </c>
      <c r="H86" t="s">
        <v>53</v>
      </c>
      <c r="I86" s="70">
        <v>0.34878472222222223</v>
      </c>
      <c r="J86" t="s">
        <v>237</v>
      </c>
    </row>
    <row r="87" spans="1:10" x14ac:dyDescent="0.3">
      <c r="A87" t="str">
        <f t="shared" si="1"/>
        <v>Adjacent channel leakage power TM1.1PORT22TM1.1</v>
      </c>
      <c r="B87" t="s">
        <v>188</v>
      </c>
      <c r="C87" t="s">
        <v>282</v>
      </c>
      <c r="D87">
        <v>43.8</v>
      </c>
      <c r="E87">
        <v>43.8</v>
      </c>
      <c r="F87">
        <v>46.3</v>
      </c>
      <c r="H87" t="s">
        <v>53</v>
      </c>
      <c r="I87" s="70">
        <v>0.34923611111111108</v>
      </c>
      <c r="J87" t="s">
        <v>250</v>
      </c>
    </row>
    <row r="88" spans="1:10" x14ac:dyDescent="0.3">
      <c r="A88" t="str">
        <f t="shared" si="1"/>
        <v>Adjacent channel leakage power TM1.1PORT23TM1.1</v>
      </c>
      <c r="B88" t="s">
        <v>189</v>
      </c>
      <c r="C88" t="s">
        <v>282</v>
      </c>
      <c r="D88">
        <v>43.8</v>
      </c>
      <c r="E88">
        <v>43.8</v>
      </c>
      <c r="F88">
        <v>50.1</v>
      </c>
      <c r="H88" t="s">
        <v>53</v>
      </c>
      <c r="I88" s="70">
        <v>0.34938657407407409</v>
      </c>
      <c r="J88" t="s">
        <v>237</v>
      </c>
    </row>
    <row r="89" spans="1:10" x14ac:dyDescent="0.3">
      <c r="A89" t="str">
        <f t="shared" si="1"/>
        <v>Adjacent channel leakage power TM1.1PORT24TM1.1</v>
      </c>
      <c r="B89" t="s">
        <v>190</v>
      </c>
      <c r="C89" t="s">
        <v>282</v>
      </c>
      <c r="D89">
        <v>43.8</v>
      </c>
      <c r="E89">
        <v>43.8</v>
      </c>
      <c r="F89">
        <v>51.5</v>
      </c>
      <c r="H89" t="s">
        <v>53</v>
      </c>
      <c r="I89" s="70">
        <v>0.34953703703703703</v>
      </c>
      <c r="J89" t="s">
        <v>237</v>
      </c>
    </row>
    <row r="90" spans="1:10" x14ac:dyDescent="0.3">
      <c r="A90" t="str">
        <f t="shared" si="1"/>
        <v>Adjacent channel leakage power TM1.1PORT25TM1.1</v>
      </c>
      <c r="B90" t="s">
        <v>191</v>
      </c>
      <c r="C90" t="s">
        <v>282</v>
      </c>
      <c r="D90">
        <v>43.8</v>
      </c>
      <c r="E90">
        <v>43.8</v>
      </c>
      <c r="F90">
        <v>49.5</v>
      </c>
      <c r="H90" t="s">
        <v>53</v>
      </c>
      <c r="I90" s="70">
        <v>0.34968749999999998</v>
      </c>
      <c r="J90" t="s">
        <v>237</v>
      </c>
    </row>
    <row r="91" spans="1:10" x14ac:dyDescent="0.3">
      <c r="A91" t="str">
        <f t="shared" si="1"/>
        <v>Adjacent channel leakage power TM1.1PORT26TM1.1</v>
      </c>
      <c r="B91" t="s">
        <v>192</v>
      </c>
      <c r="C91" t="s">
        <v>282</v>
      </c>
      <c r="D91">
        <v>43.8</v>
      </c>
      <c r="E91">
        <v>43.8</v>
      </c>
      <c r="F91">
        <v>46.4</v>
      </c>
      <c r="H91" t="s">
        <v>53</v>
      </c>
      <c r="I91" s="70">
        <v>0.35013888888888883</v>
      </c>
      <c r="J91" t="s">
        <v>250</v>
      </c>
    </row>
    <row r="92" spans="1:10" x14ac:dyDescent="0.3">
      <c r="A92" t="str">
        <f t="shared" si="1"/>
        <v>Adjacent channel leakage power TM1.1PORT27TM1.1</v>
      </c>
      <c r="B92" t="s">
        <v>193</v>
      </c>
      <c r="C92" t="s">
        <v>282</v>
      </c>
      <c r="D92">
        <v>43.8</v>
      </c>
      <c r="E92">
        <v>43.8</v>
      </c>
      <c r="F92">
        <v>50.2</v>
      </c>
      <c r="H92" t="s">
        <v>53</v>
      </c>
      <c r="I92" s="70">
        <v>0.35028935185185189</v>
      </c>
      <c r="J92" t="s">
        <v>237</v>
      </c>
    </row>
    <row r="93" spans="1:10" x14ac:dyDescent="0.3">
      <c r="A93" t="str">
        <f t="shared" si="1"/>
        <v>Adjacent channel leakage power TM1.1PORT28TM1.1</v>
      </c>
      <c r="B93" t="s">
        <v>194</v>
      </c>
      <c r="C93" t="s">
        <v>282</v>
      </c>
      <c r="D93">
        <v>43.8</v>
      </c>
      <c r="E93">
        <v>43.8</v>
      </c>
      <c r="F93">
        <v>50.8</v>
      </c>
      <c r="H93" t="s">
        <v>53</v>
      </c>
      <c r="I93" s="70">
        <v>0.35045138888888888</v>
      </c>
      <c r="J93" t="s">
        <v>237</v>
      </c>
    </row>
    <row r="94" spans="1:10" x14ac:dyDescent="0.3">
      <c r="A94" t="str">
        <f t="shared" si="1"/>
        <v>Adjacent channel leakage power TM1.1PORT29TM1.1</v>
      </c>
      <c r="B94" t="s">
        <v>195</v>
      </c>
      <c r="C94" t="s">
        <v>282</v>
      </c>
      <c r="D94">
        <v>43.8</v>
      </c>
      <c r="E94">
        <v>43.8</v>
      </c>
      <c r="F94">
        <v>47.7</v>
      </c>
      <c r="H94" t="s">
        <v>53</v>
      </c>
      <c r="I94" s="70">
        <v>0.35090277777777779</v>
      </c>
      <c r="J94" t="s">
        <v>250</v>
      </c>
    </row>
    <row r="95" spans="1:10" x14ac:dyDescent="0.3">
      <c r="A95" t="str">
        <f t="shared" si="1"/>
        <v>Adjacent channel leakage power TM1.1PORT30TM1.1</v>
      </c>
      <c r="B95" t="s">
        <v>196</v>
      </c>
      <c r="C95" t="s">
        <v>282</v>
      </c>
      <c r="D95">
        <v>43.8</v>
      </c>
      <c r="E95">
        <v>43.8</v>
      </c>
      <c r="F95">
        <v>46.6</v>
      </c>
      <c r="H95" t="s">
        <v>53</v>
      </c>
      <c r="I95" s="70">
        <v>0.35135416666666663</v>
      </c>
      <c r="J95" t="s">
        <v>250</v>
      </c>
    </row>
    <row r="96" spans="1:10" x14ac:dyDescent="0.3">
      <c r="A96" t="str">
        <f t="shared" si="1"/>
        <v>Adjacent channel leakage power TM1.1PORT31TM1.1</v>
      </c>
      <c r="B96" t="s">
        <v>197</v>
      </c>
      <c r="C96" t="s">
        <v>282</v>
      </c>
      <c r="D96">
        <v>43.8</v>
      </c>
      <c r="E96">
        <v>43.8</v>
      </c>
      <c r="F96">
        <v>49.9</v>
      </c>
      <c r="H96" t="s">
        <v>53</v>
      </c>
      <c r="I96" s="70">
        <v>0.35150462962962964</v>
      </c>
      <c r="J96" t="s">
        <v>237</v>
      </c>
    </row>
    <row r="97" spans="1:10" x14ac:dyDescent="0.3">
      <c r="A97" t="str">
        <f t="shared" si="1"/>
        <v>Adjacent channel leakage power TM1.1PORT32TM1.1</v>
      </c>
      <c r="B97" t="s">
        <v>198</v>
      </c>
      <c r="C97" t="s">
        <v>282</v>
      </c>
      <c r="D97">
        <v>43.8</v>
      </c>
      <c r="E97">
        <v>43.8</v>
      </c>
      <c r="F97">
        <v>50.8</v>
      </c>
      <c r="H97" t="s">
        <v>53</v>
      </c>
      <c r="I97" s="70">
        <v>0.35165509259259259</v>
      </c>
      <c r="J97" t="s">
        <v>237</v>
      </c>
    </row>
    <row r="98" spans="1:10" x14ac:dyDescent="0.3">
      <c r="A98" t="str">
        <f t="shared" si="1"/>
        <v>Adjacent channel leakage power TM1.2PORT1TM1.2</v>
      </c>
      <c r="B98" t="s">
        <v>57</v>
      </c>
      <c r="C98" t="s">
        <v>283</v>
      </c>
      <c r="D98">
        <v>43.8</v>
      </c>
      <c r="E98">
        <v>43.8</v>
      </c>
      <c r="F98">
        <v>48.7</v>
      </c>
      <c r="H98" t="s">
        <v>249</v>
      </c>
      <c r="I98" s="70">
        <v>0.35223379629629631</v>
      </c>
      <c r="J98" t="s">
        <v>237</v>
      </c>
    </row>
    <row r="99" spans="1:10" x14ac:dyDescent="0.3">
      <c r="A99" t="str">
        <f t="shared" si="1"/>
        <v>Adjacent channel leakage power TM1.2PORT2TM1.2</v>
      </c>
      <c r="B99" t="s">
        <v>59</v>
      </c>
      <c r="C99" t="s">
        <v>283</v>
      </c>
      <c r="D99">
        <v>43.8</v>
      </c>
      <c r="E99">
        <v>43.8</v>
      </c>
      <c r="F99">
        <v>47</v>
      </c>
      <c r="H99" t="s">
        <v>249</v>
      </c>
      <c r="I99" s="70">
        <v>0.35268518518518516</v>
      </c>
      <c r="J99" t="s">
        <v>250</v>
      </c>
    </row>
    <row r="100" spans="1:10" x14ac:dyDescent="0.3">
      <c r="A100" t="str">
        <f t="shared" si="1"/>
        <v>Adjacent channel leakage power TM1.2PORT3TM1.2</v>
      </c>
      <c r="B100" t="s">
        <v>60</v>
      </c>
      <c r="C100" t="s">
        <v>283</v>
      </c>
      <c r="D100">
        <v>43.8</v>
      </c>
      <c r="E100">
        <v>43.8</v>
      </c>
      <c r="F100">
        <v>50.5</v>
      </c>
      <c r="H100" t="s">
        <v>249</v>
      </c>
      <c r="I100" s="70">
        <v>0.35284722222222226</v>
      </c>
      <c r="J100" t="s">
        <v>237</v>
      </c>
    </row>
    <row r="101" spans="1:10" x14ac:dyDescent="0.3">
      <c r="A101" t="str">
        <f t="shared" si="1"/>
        <v>Adjacent channel leakage power TM1.2PORT4TM1.2</v>
      </c>
      <c r="B101" t="s">
        <v>61</v>
      </c>
      <c r="C101" t="s">
        <v>283</v>
      </c>
      <c r="D101">
        <v>43.8</v>
      </c>
      <c r="E101">
        <v>43.8</v>
      </c>
      <c r="F101">
        <v>51.3</v>
      </c>
      <c r="H101" t="s">
        <v>249</v>
      </c>
      <c r="I101" s="70">
        <v>0.35299768518518521</v>
      </c>
      <c r="J101" t="s">
        <v>237</v>
      </c>
    </row>
    <row r="102" spans="1:10" x14ac:dyDescent="0.3">
      <c r="A102" t="str">
        <f t="shared" si="1"/>
        <v>Adjacent channel leakage power TM1.2PORT5TM1.2</v>
      </c>
      <c r="B102" t="s">
        <v>62</v>
      </c>
      <c r="C102" t="s">
        <v>283</v>
      </c>
      <c r="D102">
        <v>43.8</v>
      </c>
      <c r="E102">
        <v>43.8</v>
      </c>
      <c r="F102">
        <v>49.2</v>
      </c>
      <c r="H102" t="s">
        <v>249</v>
      </c>
      <c r="I102" s="70">
        <v>0.35314814814814816</v>
      </c>
      <c r="J102" t="s">
        <v>237</v>
      </c>
    </row>
    <row r="103" spans="1:10" x14ac:dyDescent="0.3">
      <c r="A103" t="str">
        <f t="shared" si="1"/>
        <v>Adjacent channel leakage power TM1.2PORT6TM1.2</v>
      </c>
      <c r="B103" t="s">
        <v>63</v>
      </c>
      <c r="C103" t="s">
        <v>283</v>
      </c>
      <c r="D103">
        <v>43.8</v>
      </c>
      <c r="E103">
        <v>43.8</v>
      </c>
      <c r="F103">
        <v>46.1</v>
      </c>
      <c r="H103" t="s">
        <v>249</v>
      </c>
      <c r="I103" s="70">
        <v>0.35359953703703706</v>
      </c>
      <c r="J103" t="s">
        <v>250</v>
      </c>
    </row>
    <row r="104" spans="1:10" x14ac:dyDescent="0.3">
      <c r="A104" t="str">
        <f t="shared" si="1"/>
        <v>Adjacent channel leakage power TM1.2PORT7TM1.2</v>
      </c>
      <c r="B104" t="s">
        <v>64</v>
      </c>
      <c r="C104" t="s">
        <v>283</v>
      </c>
      <c r="D104">
        <v>43.8</v>
      </c>
      <c r="E104">
        <v>43.8</v>
      </c>
      <c r="F104">
        <v>50.2</v>
      </c>
      <c r="H104" t="s">
        <v>249</v>
      </c>
      <c r="I104" s="70">
        <v>0.35375000000000001</v>
      </c>
      <c r="J104" t="s">
        <v>237</v>
      </c>
    </row>
    <row r="105" spans="1:10" x14ac:dyDescent="0.3">
      <c r="A105" t="str">
        <f t="shared" si="1"/>
        <v>Adjacent channel leakage power TM1.2PORT8TM1.2</v>
      </c>
      <c r="B105" t="s">
        <v>65</v>
      </c>
      <c r="C105" t="s">
        <v>283</v>
      </c>
      <c r="D105">
        <v>43.8</v>
      </c>
      <c r="E105">
        <v>43.8</v>
      </c>
      <c r="F105">
        <v>51.4</v>
      </c>
      <c r="H105" t="s">
        <v>249</v>
      </c>
      <c r="I105" s="70">
        <v>0.35390046296296296</v>
      </c>
      <c r="J105" t="s">
        <v>237</v>
      </c>
    </row>
    <row r="106" spans="1:10" x14ac:dyDescent="0.3">
      <c r="A106" t="str">
        <f t="shared" si="1"/>
        <v>Adjacent channel leakage power TM1.2PORT9TM1.2</v>
      </c>
      <c r="B106" t="s">
        <v>175</v>
      </c>
      <c r="C106" t="s">
        <v>283</v>
      </c>
      <c r="D106">
        <v>43.8</v>
      </c>
      <c r="E106">
        <v>43.8</v>
      </c>
      <c r="F106">
        <v>50.4</v>
      </c>
      <c r="H106" t="s">
        <v>249</v>
      </c>
      <c r="I106" s="70">
        <v>0.35405092592592591</v>
      </c>
      <c r="J106" t="s">
        <v>237</v>
      </c>
    </row>
    <row r="107" spans="1:10" x14ac:dyDescent="0.3">
      <c r="A107" t="str">
        <f t="shared" si="1"/>
        <v>Adjacent channel leakage power TM1.2PORT10TM1.2</v>
      </c>
      <c r="B107" t="s">
        <v>176</v>
      </c>
      <c r="C107" t="s">
        <v>283</v>
      </c>
      <c r="D107">
        <v>43.8</v>
      </c>
      <c r="E107">
        <v>43.8</v>
      </c>
      <c r="F107">
        <v>48.1</v>
      </c>
      <c r="H107" t="s">
        <v>249</v>
      </c>
      <c r="I107" s="70">
        <v>0.35450231481481481</v>
      </c>
      <c r="J107" t="s">
        <v>237</v>
      </c>
    </row>
    <row r="108" spans="1:10" x14ac:dyDescent="0.3">
      <c r="A108" t="str">
        <f t="shared" si="1"/>
        <v>Adjacent channel leakage power TM1.2PORT11TM1.2</v>
      </c>
      <c r="B108" t="s">
        <v>177</v>
      </c>
      <c r="C108" t="s">
        <v>283</v>
      </c>
      <c r="D108">
        <v>43.8</v>
      </c>
      <c r="E108">
        <v>43.8</v>
      </c>
      <c r="F108">
        <v>50.1</v>
      </c>
      <c r="H108" t="s">
        <v>249</v>
      </c>
      <c r="I108" s="70">
        <v>0.35465277777777776</v>
      </c>
      <c r="J108" t="s">
        <v>237</v>
      </c>
    </row>
    <row r="109" spans="1:10" x14ac:dyDescent="0.3">
      <c r="A109" t="str">
        <f t="shared" si="1"/>
        <v>Adjacent channel leakage power TM1.2PORT12TM1.2</v>
      </c>
      <c r="B109" t="s">
        <v>178</v>
      </c>
      <c r="C109" t="s">
        <v>283</v>
      </c>
      <c r="D109">
        <v>43.8</v>
      </c>
      <c r="E109">
        <v>43.8</v>
      </c>
      <c r="F109">
        <v>51.8</v>
      </c>
      <c r="H109" t="s">
        <v>249</v>
      </c>
      <c r="I109" s="70">
        <v>0.35480324074074071</v>
      </c>
      <c r="J109" t="s">
        <v>237</v>
      </c>
    </row>
    <row r="110" spans="1:10" x14ac:dyDescent="0.3">
      <c r="A110" t="str">
        <f t="shared" si="1"/>
        <v>Adjacent channel leakage power TM1.2PORT13TM1.2</v>
      </c>
      <c r="B110" t="s">
        <v>179</v>
      </c>
      <c r="C110" t="s">
        <v>283</v>
      </c>
      <c r="D110">
        <v>43.8</v>
      </c>
      <c r="E110">
        <v>43.8</v>
      </c>
      <c r="F110">
        <v>49.4</v>
      </c>
      <c r="H110" t="s">
        <v>249</v>
      </c>
      <c r="I110" s="70">
        <v>0.35495370370370366</v>
      </c>
      <c r="J110" t="s">
        <v>237</v>
      </c>
    </row>
    <row r="111" spans="1:10" x14ac:dyDescent="0.3">
      <c r="A111" t="str">
        <f t="shared" si="1"/>
        <v>Adjacent channel leakage power TM1.2PORT14TM1.2</v>
      </c>
      <c r="B111" t="s">
        <v>180</v>
      </c>
      <c r="C111" t="s">
        <v>283</v>
      </c>
      <c r="D111">
        <v>43.8</v>
      </c>
      <c r="E111">
        <v>43.8</v>
      </c>
      <c r="F111">
        <v>46.2</v>
      </c>
      <c r="H111" t="s">
        <v>249</v>
      </c>
      <c r="I111" s="70">
        <v>0.35540509259259262</v>
      </c>
      <c r="J111" t="s">
        <v>250</v>
      </c>
    </row>
    <row r="112" spans="1:10" x14ac:dyDescent="0.3">
      <c r="A112" t="str">
        <f t="shared" si="1"/>
        <v>Adjacent channel leakage power TM1.2PORT15TM1.2</v>
      </c>
      <c r="B112" t="s">
        <v>181</v>
      </c>
      <c r="C112" t="s">
        <v>283</v>
      </c>
      <c r="D112">
        <v>43.8</v>
      </c>
      <c r="E112">
        <v>43.8</v>
      </c>
      <c r="F112">
        <v>49.9</v>
      </c>
      <c r="H112" t="s">
        <v>249</v>
      </c>
      <c r="I112" s="70">
        <v>0.35556712962962966</v>
      </c>
      <c r="J112" t="s">
        <v>237</v>
      </c>
    </row>
    <row r="113" spans="1:10" x14ac:dyDescent="0.3">
      <c r="A113" t="str">
        <f t="shared" si="1"/>
        <v>Adjacent channel leakage power TM1.2PORT16TM1.2</v>
      </c>
      <c r="B113" t="s">
        <v>182</v>
      </c>
      <c r="C113" t="s">
        <v>283</v>
      </c>
      <c r="D113">
        <v>43.8</v>
      </c>
      <c r="E113">
        <v>43.8</v>
      </c>
      <c r="F113">
        <v>51.7</v>
      </c>
      <c r="H113" t="s">
        <v>249</v>
      </c>
      <c r="I113" s="70">
        <v>0.35571759259259261</v>
      </c>
      <c r="J113" t="s">
        <v>237</v>
      </c>
    </row>
    <row r="114" spans="1:10" x14ac:dyDescent="0.3">
      <c r="A114" t="str">
        <f t="shared" si="1"/>
        <v>Adjacent channel leakage power TM1.2PORT17TM1.2</v>
      </c>
      <c r="B114" t="s">
        <v>183</v>
      </c>
      <c r="C114" t="s">
        <v>283</v>
      </c>
      <c r="D114">
        <v>43.8</v>
      </c>
      <c r="E114">
        <v>43.8</v>
      </c>
      <c r="F114">
        <v>49.7</v>
      </c>
      <c r="H114" t="s">
        <v>249</v>
      </c>
      <c r="I114" s="70">
        <v>0.35586805555555556</v>
      </c>
      <c r="J114" t="s">
        <v>237</v>
      </c>
    </row>
    <row r="115" spans="1:10" x14ac:dyDescent="0.3">
      <c r="A115" t="str">
        <f t="shared" si="1"/>
        <v>Adjacent channel leakage power TM1.2PORT18TM1.2</v>
      </c>
      <c r="B115" t="s">
        <v>184</v>
      </c>
      <c r="C115" t="s">
        <v>283</v>
      </c>
      <c r="D115">
        <v>43.8</v>
      </c>
      <c r="E115">
        <v>43.8</v>
      </c>
      <c r="F115">
        <v>47.5</v>
      </c>
      <c r="H115" t="s">
        <v>249</v>
      </c>
      <c r="I115" s="70">
        <v>0.35631944444444441</v>
      </c>
      <c r="J115" t="s">
        <v>250</v>
      </c>
    </row>
    <row r="116" spans="1:10" x14ac:dyDescent="0.3">
      <c r="A116" t="str">
        <f t="shared" si="1"/>
        <v>Adjacent channel leakage power TM1.2PORT19TM1.2</v>
      </c>
      <c r="B116" t="s">
        <v>185</v>
      </c>
      <c r="C116" t="s">
        <v>283</v>
      </c>
      <c r="D116">
        <v>43.8</v>
      </c>
      <c r="E116">
        <v>43.8</v>
      </c>
      <c r="F116">
        <v>49.3</v>
      </c>
      <c r="H116" t="s">
        <v>249</v>
      </c>
      <c r="I116" s="70">
        <v>0.35646990740740742</v>
      </c>
      <c r="J116" t="s">
        <v>237</v>
      </c>
    </row>
    <row r="117" spans="1:10" x14ac:dyDescent="0.3">
      <c r="A117" t="str">
        <f t="shared" si="1"/>
        <v>Adjacent channel leakage power TM1.2PORT20TM1.2</v>
      </c>
      <c r="B117" t="s">
        <v>186</v>
      </c>
      <c r="C117" t="s">
        <v>283</v>
      </c>
      <c r="D117">
        <v>43.8</v>
      </c>
      <c r="E117">
        <v>43.8</v>
      </c>
      <c r="F117">
        <v>50.8</v>
      </c>
      <c r="H117" t="s">
        <v>249</v>
      </c>
      <c r="I117" s="70">
        <v>0.35662037037037037</v>
      </c>
      <c r="J117" t="s">
        <v>237</v>
      </c>
    </row>
    <row r="118" spans="1:10" x14ac:dyDescent="0.3">
      <c r="A118" t="str">
        <f t="shared" si="1"/>
        <v>Adjacent channel leakage power TM1.2PORT21TM1.2</v>
      </c>
      <c r="B118" t="s">
        <v>187</v>
      </c>
      <c r="C118" t="s">
        <v>283</v>
      </c>
      <c r="D118">
        <v>43.8</v>
      </c>
      <c r="E118">
        <v>43.8</v>
      </c>
      <c r="F118">
        <v>48.3</v>
      </c>
      <c r="H118" t="s">
        <v>249</v>
      </c>
      <c r="I118" s="70">
        <v>0.35677083333333331</v>
      </c>
      <c r="J118" t="s">
        <v>237</v>
      </c>
    </row>
    <row r="119" spans="1:10" x14ac:dyDescent="0.3">
      <c r="A119" t="str">
        <f t="shared" si="1"/>
        <v>Adjacent channel leakage power TM1.2PORT22TM1.2</v>
      </c>
      <c r="B119" t="s">
        <v>188</v>
      </c>
      <c r="C119" t="s">
        <v>283</v>
      </c>
      <c r="D119">
        <v>43.8</v>
      </c>
      <c r="E119">
        <v>43.8</v>
      </c>
      <c r="F119">
        <v>47.2</v>
      </c>
      <c r="H119" t="s">
        <v>249</v>
      </c>
      <c r="I119" s="70">
        <v>0.35722222222222227</v>
      </c>
      <c r="J119" t="s">
        <v>250</v>
      </c>
    </row>
    <row r="120" spans="1:10" x14ac:dyDescent="0.3">
      <c r="A120" t="str">
        <f t="shared" si="1"/>
        <v>Adjacent channel leakage power TM1.2PORT23TM1.2</v>
      </c>
      <c r="B120" t="s">
        <v>189</v>
      </c>
      <c r="C120" t="s">
        <v>283</v>
      </c>
      <c r="D120">
        <v>43.8</v>
      </c>
      <c r="E120">
        <v>43.8</v>
      </c>
      <c r="F120">
        <v>50.5</v>
      </c>
      <c r="H120" t="s">
        <v>249</v>
      </c>
      <c r="I120" s="70">
        <v>0.35737268518518522</v>
      </c>
      <c r="J120" t="s">
        <v>237</v>
      </c>
    </row>
    <row r="121" spans="1:10" x14ac:dyDescent="0.3">
      <c r="A121" t="str">
        <f t="shared" si="1"/>
        <v>Adjacent channel leakage power TM1.2PORT24TM1.2</v>
      </c>
      <c r="B121" t="s">
        <v>190</v>
      </c>
      <c r="C121" t="s">
        <v>283</v>
      </c>
      <c r="D121">
        <v>43.8</v>
      </c>
      <c r="E121">
        <v>43.8</v>
      </c>
      <c r="F121">
        <v>51.6</v>
      </c>
      <c r="H121" t="s">
        <v>249</v>
      </c>
      <c r="I121" s="70">
        <v>0.35752314814814817</v>
      </c>
      <c r="J121" t="s">
        <v>237</v>
      </c>
    </row>
    <row r="122" spans="1:10" x14ac:dyDescent="0.3">
      <c r="A122" t="str">
        <f t="shared" si="1"/>
        <v>Adjacent channel leakage power TM1.2PORT25TM1.2</v>
      </c>
      <c r="B122" t="s">
        <v>191</v>
      </c>
      <c r="C122" t="s">
        <v>283</v>
      </c>
      <c r="D122">
        <v>43.8</v>
      </c>
      <c r="E122">
        <v>43.8</v>
      </c>
      <c r="F122">
        <v>50.1</v>
      </c>
      <c r="H122" t="s">
        <v>249</v>
      </c>
      <c r="I122" s="70">
        <v>0.35767361111111112</v>
      </c>
      <c r="J122" t="s">
        <v>237</v>
      </c>
    </row>
    <row r="123" spans="1:10" x14ac:dyDescent="0.3">
      <c r="A123" t="str">
        <f t="shared" si="1"/>
        <v>Adjacent channel leakage power TM1.2PORT26TM1.2</v>
      </c>
      <c r="B123" t="s">
        <v>192</v>
      </c>
      <c r="C123" t="s">
        <v>283</v>
      </c>
      <c r="D123">
        <v>43.8</v>
      </c>
      <c r="E123">
        <v>43.8</v>
      </c>
      <c r="F123">
        <v>47.9</v>
      </c>
      <c r="H123" t="s">
        <v>249</v>
      </c>
      <c r="I123" s="70">
        <v>0.35812500000000003</v>
      </c>
      <c r="J123" t="s">
        <v>250</v>
      </c>
    </row>
    <row r="124" spans="1:10" x14ac:dyDescent="0.3">
      <c r="A124" t="str">
        <f t="shared" si="1"/>
        <v>Adjacent channel leakage power TM1.2PORT27TM1.2</v>
      </c>
      <c r="B124" t="s">
        <v>193</v>
      </c>
      <c r="C124" t="s">
        <v>283</v>
      </c>
      <c r="D124">
        <v>43.8</v>
      </c>
      <c r="E124">
        <v>43.8</v>
      </c>
      <c r="F124">
        <v>49.9</v>
      </c>
      <c r="H124" t="s">
        <v>249</v>
      </c>
      <c r="I124" s="70">
        <v>0.35827546296296298</v>
      </c>
      <c r="J124" t="s">
        <v>237</v>
      </c>
    </row>
    <row r="125" spans="1:10" x14ac:dyDescent="0.3">
      <c r="A125" t="str">
        <f t="shared" si="1"/>
        <v>Adjacent channel leakage power TM1.2PORT28TM1.2</v>
      </c>
      <c r="B125" t="s">
        <v>194</v>
      </c>
      <c r="C125" t="s">
        <v>283</v>
      </c>
      <c r="D125">
        <v>43.8</v>
      </c>
      <c r="E125">
        <v>43.8</v>
      </c>
      <c r="F125">
        <v>51.1</v>
      </c>
      <c r="H125" t="s">
        <v>249</v>
      </c>
      <c r="I125" s="70">
        <v>0.35843749999999996</v>
      </c>
      <c r="J125" t="s">
        <v>237</v>
      </c>
    </row>
    <row r="126" spans="1:10" x14ac:dyDescent="0.3">
      <c r="A126" t="str">
        <f t="shared" si="1"/>
        <v>Adjacent channel leakage power TM1.2PORT29TM1.2</v>
      </c>
      <c r="B126" t="s">
        <v>195</v>
      </c>
      <c r="C126" t="s">
        <v>283</v>
      </c>
      <c r="D126">
        <v>43.8</v>
      </c>
      <c r="E126">
        <v>43.8</v>
      </c>
      <c r="F126">
        <v>48.2</v>
      </c>
      <c r="H126" t="s">
        <v>249</v>
      </c>
      <c r="I126" s="70">
        <v>0.35858796296296297</v>
      </c>
      <c r="J126" t="s">
        <v>237</v>
      </c>
    </row>
    <row r="127" spans="1:10" x14ac:dyDescent="0.3">
      <c r="A127" t="str">
        <f t="shared" si="1"/>
        <v>Adjacent channel leakage power TM1.2PORT30TM1.2</v>
      </c>
      <c r="B127" t="s">
        <v>196</v>
      </c>
      <c r="C127" t="s">
        <v>283</v>
      </c>
      <c r="D127">
        <v>43.8</v>
      </c>
      <c r="E127">
        <v>43.8</v>
      </c>
      <c r="F127">
        <v>47.9</v>
      </c>
      <c r="H127" t="s">
        <v>249</v>
      </c>
      <c r="I127" s="70">
        <v>0.35903935185185182</v>
      </c>
      <c r="J127" t="s">
        <v>250</v>
      </c>
    </row>
    <row r="128" spans="1:10" x14ac:dyDescent="0.3">
      <c r="A128" t="str">
        <f t="shared" si="1"/>
        <v>Adjacent channel leakage power TM1.2PORT31TM1.2</v>
      </c>
      <c r="B128" t="s">
        <v>197</v>
      </c>
      <c r="C128" t="s">
        <v>283</v>
      </c>
      <c r="D128">
        <v>43.8</v>
      </c>
      <c r="E128">
        <v>43.8</v>
      </c>
      <c r="F128">
        <v>50.1</v>
      </c>
      <c r="H128" t="s">
        <v>249</v>
      </c>
      <c r="I128" s="70">
        <v>0.35918981481481477</v>
      </c>
      <c r="J128" t="s">
        <v>237</v>
      </c>
    </row>
    <row r="129" spans="1:16" x14ac:dyDescent="0.3">
      <c r="A129" t="str">
        <f t="shared" si="1"/>
        <v>Adjacent channel leakage power TM1.2PORT32TM1.2</v>
      </c>
      <c r="B129" t="s">
        <v>198</v>
      </c>
      <c r="C129" t="s">
        <v>283</v>
      </c>
      <c r="D129">
        <v>43.8</v>
      </c>
      <c r="E129">
        <v>43.8</v>
      </c>
      <c r="F129">
        <v>51.3</v>
      </c>
      <c r="H129" t="s">
        <v>249</v>
      </c>
      <c r="I129" s="70">
        <v>0.35934027777777783</v>
      </c>
      <c r="J129" t="s">
        <v>237</v>
      </c>
    </row>
    <row r="130" spans="1:16" hidden="1" x14ac:dyDescent="0.3">
      <c r="A130" t="str">
        <f t="shared" si="1"/>
        <v/>
      </c>
      <c r="I130" s="70"/>
      <c r="P130">
        <f>LEN(C130)</f>
        <v>0</v>
      </c>
    </row>
    <row r="131" spans="1:16" hidden="1" x14ac:dyDescent="0.3">
      <c r="A131" t="str">
        <f t="shared" ref="A131:A194" si="2">C131&amp;B131&amp;H131</f>
        <v/>
      </c>
      <c r="I131" s="70"/>
      <c r="P131" t="str">
        <f>LEFT(C130,33)</f>
        <v/>
      </c>
    </row>
    <row r="132" spans="1:16" hidden="1" x14ac:dyDescent="0.3">
      <c r="A132" t="str">
        <f t="shared" si="2"/>
        <v/>
      </c>
      <c r="I132" s="70"/>
    </row>
    <row r="133" spans="1:16" hidden="1" x14ac:dyDescent="0.3">
      <c r="A133" t="str">
        <f t="shared" si="2"/>
        <v/>
      </c>
      <c r="I133" s="70"/>
    </row>
    <row r="134" spans="1:16" hidden="1" x14ac:dyDescent="0.3">
      <c r="A134" t="str">
        <f t="shared" si="2"/>
        <v/>
      </c>
      <c r="I134" s="70"/>
    </row>
    <row r="135" spans="1:16" hidden="1" x14ac:dyDescent="0.3">
      <c r="A135" t="str">
        <f t="shared" si="2"/>
        <v/>
      </c>
      <c r="I135" s="70"/>
    </row>
    <row r="136" spans="1:16" hidden="1" x14ac:dyDescent="0.3">
      <c r="A136" t="str">
        <f t="shared" si="2"/>
        <v/>
      </c>
      <c r="I136" s="70"/>
    </row>
    <row r="137" spans="1:16" hidden="1" x14ac:dyDescent="0.3">
      <c r="A137" t="str">
        <f t="shared" si="2"/>
        <v/>
      </c>
      <c r="I137" s="70"/>
    </row>
    <row r="138" spans="1:16" hidden="1" x14ac:dyDescent="0.3">
      <c r="A138" t="str">
        <f t="shared" si="2"/>
        <v/>
      </c>
      <c r="I138" s="70"/>
    </row>
    <row r="139" spans="1:16" hidden="1" x14ac:dyDescent="0.3">
      <c r="A139" t="str">
        <f t="shared" si="2"/>
        <v/>
      </c>
      <c r="I139" s="70"/>
    </row>
    <row r="140" spans="1:16" hidden="1" x14ac:dyDescent="0.3">
      <c r="A140" t="str">
        <f t="shared" si="2"/>
        <v/>
      </c>
      <c r="I140" s="70"/>
    </row>
    <row r="141" spans="1:16" hidden="1" x14ac:dyDescent="0.3">
      <c r="A141" t="str">
        <f t="shared" si="2"/>
        <v/>
      </c>
      <c r="I141" s="70"/>
    </row>
    <row r="142" spans="1:16" hidden="1" x14ac:dyDescent="0.3">
      <c r="A142" t="str">
        <f t="shared" si="2"/>
        <v/>
      </c>
      <c r="I142" s="70"/>
    </row>
    <row r="143" spans="1:16" hidden="1" x14ac:dyDescent="0.3">
      <c r="A143" t="str">
        <f t="shared" si="2"/>
        <v/>
      </c>
      <c r="I143" s="70"/>
    </row>
    <row r="144" spans="1:16" hidden="1" x14ac:dyDescent="0.3">
      <c r="A144" t="str">
        <f t="shared" si="2"/>
        <v/>
      </c>
      <c r="I144" s="70"/>
    </row>
    <row r="145" spans="1:9" hidden="1" x14ac:dyDescent="0.3">
      <c r="A145" t="str">
        <f t="shared" si="2"/>
        <v/>
      </c>
      <c r="I145" s="70"/>
    </row>
    <row r="146" spans="1:9" hidden="1" x14ac:dyDescent="0.3">
      <c r="A146" t="str">
        <f t="shared" si="2"/>
        <v/>
      </c>
      <c r="I146" s="70"/>
    </row>
    <row r="147" spans="1:9" hidden="1" x14ac:dyDescent="0.3">
      <c r="A147" t="str">
        <f t="shared" si="2"/>
        <v/>
      </c>
      <c r="I147" s="70"/>
    </row>
    <row r="148" spans="1:9" hidden="1" x14ac:dyDescent="0.3">
      <c r="A148" t="str">
        <f t="shared" si="2"/>
        <v/>
      </c>
      <c r="I148" s="70"/>
    </row>
    <row r="149" spans="1:9" hidden="1" x14ac:dyDescent="0.3">
      <c r="A149" t="str">
        <f t="shared" si="2"/>
        <v/>
      </c>
      <c r="I149" s="70"/>
    </row>
    <row r="150" spans="1:9" hidden="1" x14ac:dyDescent="0.3">
      <c r="A150" t="str">
        <f t="shared" si="2"/>
        <v/>
      </c>
      <c r="I150" s="70"/>
    </row>
    <row r="151" spans="1:9" hidden="1" x14ac:dyDescent="0.3">
      <c r="A151" t="str">
        <f t="shared" si="2"/>
        <v/>
      </c>
      <c r="I151" s="70"/>
    </row>
    <row r="152" spans="1:9" hidden="1" x14ac:dyDescent="0.3">
      <c r="A152" t="str">
        <f t="shared" si="2"/>
        <v/>
      </c>
      <c r="I152" s="70"/>
    </row>
    <row r="153" spans="1:9" hidden="1" x14ac:dyDescent="0.3">
      <c r="A153" t="str">
        <f t="shared" si="2"/>
        <v/>
      </c>
      <c r="I153" s="70"/>
    </row>
    <row r="154" spans="1:9" hidden="1" x14ac:dyDescent="0.3">
      <c r="A154" t="str">
        <f t="shared" si="2"/>
        <v/>
      </c>
      <c r="I154" s="70"/>
    </row>
    <row r="155" spans="1:9" hidden="1" x14ac:dyDescent="0.3">
      <c r="A155" t="str">
        <f t="shared" si="2"/>
        <v/>
      </c>
      <c r="I155" s="70"/>
    </row>
    <row r="156" spans="1:9" hidden="1" x14ac:dyDescent="0.3">
      <c r="A156" t="str">
        <f t="shared" si="2"/>
        <v/>
      </c>
      <c r="I156" s="70"/>
    </row>
    <row r="157" spans="1:9" hidden="1" x14ac:dyDescent="0.3">
      <c r="A157" t="str">
        <f t="shared" si="2"/>
        <v/>
      </c>
      <c r="I157" s="70"/>
    </row>
    <row r="158" spans="1:9" hidden="1" x14ac:dyDescent="0.3">
      <c r="A158" t="str">
        <f t="shared" si="2"/>
        <v/>
      </c>
      <c r="I158" s="70"/>
    </row>
    <row r="159" spans="1:9" hidden="1" x14ac:dyDescent="0.3">
      <c r="A159" t="str">
        <f t="shared" si="2"/>
        <v/>
      </c>
      <c r="I159" s="70"/>
    </row>
    <row r="160" spans="1:9" hidden="1" x14ac:dyDescent="0.3">
      <c r="A160" t="str">
        <f t="shared" si="2"/>
        <v/>
      </c>
      <c r="I160" s="70"/>
    </row>
    <row r="161" spans="1:9" hidden="1" x14ac:dyDescent="0.3">
      <c r="A161" t="str">
        <f t="shared" si="2"/>
        <v/>
      </c>
      <c r="I161" s="70"/>
    </row>
    <row r="162" spans="1:9" hidden="1" x14ac:dyDescent="0.3">
      <c r="A162" t="str">
        <f t="shared" si="2"/>
        <v/>
      </c>
      <c r="I162" s="70"/>
    </row>
    <row r="163" spans="1:9" hidden="1" x14ac:dyDescent="0.3">
      <c r="A163" t="str">
        <f t="shared" si="2"/>
        <v/>
      </c>
      <c r="I163" s="70"/>
    </row>
    <row r="164" spans="1:9" hidden="1" x14ac:dyDescent="0.3">
      <c r="A164" t="str">
        <f t="shared" si="2"/>
        <v/>
      </c>
      <c r="I164" s="70"/>
    </row>
    <row r="165" spans="1:9" hidden="1" x14ac:dyDescent="0.3">
      <c r="A165" t="str">
        <f t="shared" si="2"/>
        <v/>
      </c>
      <c r="I165" s="70"/>
    </row>
    <row r="166" spans="1:9" hidden="1" x14ac:dyDescent="0.3">
      <c r="A166" t="str">
        <f t="shared" si="2"/>
        <v/>
      </c>
      <c r="I166" s="70"/>
    </row>
    <row r="167" spans="1:9" hidden="1" x14ac:dyDescent="0.3">
      <c r="A167" t="str">
        <f t="shared" si="2"/>
        <v/>
      </c>
      <c r="I167" s="70"/>
    </row>
    <row r="168" spans="1:9" hidden="1" x14ac:dyDescent="0.3">
      <c r="A168" t="str">
        <f t="shared" si="2"/>
        <v/>
      </c>
      <c r="I168" s="70"/>
    </row>
    <row r="169" spans="1:9" hidden="1" x14ac:dyDescent="0.3">
      <c r="A169" t="str">
        <f t="shared" si="2"/>
        <v/>
      </c>
      <c r="I169" s="70"/>
    </row>
    <row r="170" spans="1:9" hidden="1" x14ac:dyDescent="0.3">
      <c r="A170" t="str">
        <f t="shared" si="2"/>
        <v/>
      </c>
      <c r="I170" s="70"/>
    </row>
    <row r="171" spans="1:9" hidden="1" x14ac:dyDescent="0.3">
      <c r="A171" t="str">
        <f t="shared" si="2"/>
        <v/>
      </c>
      <c r="I171" s="70"/>
    </row>
    <row r="172" spans="1:9" hidden="1" x14ac:dyDescent="0.3">
      <c r="A172" t="str">
        <f t="shared" si="2"/>
        <v/>
      </c>
      <c r="I172" s="70"/>
    </row>
    <row r="173" spans="1:9" hidden="1" x14ac:dyDescent="0.3">
      <c r="A173" t="str">
        <f t="shared" si="2"/>
        <v/>
      </c>
      <c r="I173" s="70"/>
    </row>
    <row r="174" spans="1:9" hidden="1" x14ac:dyDescent="0.3">
      <c r="A174" t="str">
        <f t="shared" si="2"/>
        <v/>
      </c>
      <c r="I174" s="70"/>
    </row>
    <row r="175" spans="1:9" hidden="1" x14ac:dyDescent="0.3">
      <c r="A175" t="str">
        <f t="shared" si="2"/>
        <v/>
      </c>
      <c r="I175" s="70"/>
    </row>
    <row r="176" spans="1:9" hidden="1" x14ac:dyDescent="0.3">
      <c r="A176" t="str">
        <f t="shared" si="2"/>
        <v/>
      </c>
      <c r="I176" s="70"/>
    </row>
    <row r="177" spans="1:9" hidden="1" x14ac:dyDescent="0.3">
      <c r="A177" t="str">
        <f t="shared" si="2"/>
        <v/>
      </c>
      <c r="I177" s="70"/>
    </row>
    <row r="178" spans="1:9" hidden="1" x14ac:dyDescent="0.3">
      <c r="A178" t="str">
        <f t="shared" si="2"/>
        <v/>
      </c>
      <c r="I178" s="70"/>
    </row>
    <row r="179" spans="1:9" hidden="1" x14ac:dyDescent="0.3">
      <c r="A179" t="str">
        <f t="shared" si="2"/>
        <v/>
      </c>
      <c r="I179" s="70"/>
    </row>
    <row r="180" spans="1:9" hidden="1" x14ac:dyDescent="0.3">
      <c r="A180" t="str">
        <f t="shared" si="2"/>
        <v/>
      </c>
      <c r="I180" s="70"/>
    </row>
    <row r="181" spans="1:9" hidden="1" x14ac:dyDescent="0.3">
      <c r="A181" t="str">
        <f t="shared" si="2"/>
        <v/>
      </c>
      <c r="I181" s="70"/>
    </row>
    <row r="182" spans="1:9" hidden="1" x14ac:dyDescent="0.3">
      <c r="A182" t="str">
        <f t="shared" si="2"/>
        <v/>
      </c>
      <c r="I182" s="70"/>
    </row>
    <row r="183" spans="1:9" hidden="1" x14ac:dyDescent="0.3">
      <c r="A183" t="str">
        <f t="shared" si="2"/>
        <v/>
      </c>
      <c r="I183" s="70"/>
    </row>
    <row r="184" spans="1:9" hidden="1" x14ac:dyDescent="0.3">
      <c r="A184" t="str">
        <f t="shared" si="2"/>
        <v/>
      </c>
      <c r="I184" s="70"/>
    </row>
    <row r="185" spans="1:9" hidden="1" x14ac:dyDescent="0.3">
      <c r="A185" t="str">
        <f t="shared" si="2"/>
        <v/>
      </c>
      <c r="I185" s="70"/>
    </row>
    <row r="186" spans="1:9" hidden="1" x14ac:dyDescent="0.3">
      <c r="A186" t="str">
        <f t="shared" si="2"/>
        <v/>
      </c>
      <c r="I186" s="70"/>
    </row>
    <row r="187" spans="1:9" hidden="1" x14ac:dyDescent="0.3">
      <c r="A187" t="str">
        <f t="shared" si="2"/>
        <v/>
      </c>
      <c r="I187" s="70"/>
    </row>
    <row r="188" spans="1:9" hidden="1" x14ac:dyDescent="0.3">
      <c r="A188" t="str">
        <f t="shared" si="2"/>
        <v/>
      </c>
      <c r="I188" s="70"/>
    </row>
    <row r="189" spans="1:9" hidden="1" x14ac:dyDescent="0.3">
      <c r="A189" t="str">
        <f t="shared" si="2"/>
        <v/>
      </c>
      <c r="I189" s="70"/>
    </row>
    <row r="190" spans="1:9" hidden="1" x14ac:dyDescent="0.3">
      <c r="A190" t="str">
        <f t="shared" si="2"/>
        <v/>
      </c>
      <c r="I190" s="70"/>
    </row>
    <row r="191" spans="1:9" hidden="1" x14ac:dyDescent="0.3">
      <c r="A191" t="str">
        <f t="shared" si="2"/>
        <v/>
      </c>
      <c r="I191" s="70"/>
    </row>
    <row r="192" spans="1:9" hidden="1" x14ac:dyDescent="0.3">
      <c r="A192" t="str">
        <f t="shared" si="2"/>
        <v/>
      </c>
      <c r="I192" s="70"/>
    </row>
    <row r="193" spans="1:10" hidden="1" x14ac:dyDescent="0.3">
      <c r="A193" t="str">
        <f t="shared" si="2"/>
        <v/>
      </c>
      <c r="I193" s="70"/>
    </row>
    <row r="194" spans="1:10" hidden="1" x14ac:dyDescent="0.3">
      <c r="A194" t="str">
        <f t="shared" si="2"/>
        <v/>
      </c>
      <c r="I194" s="70"/>
    </row>
    <row r="195" spans="1:10" hidden="1" x14ac:dyDescent="0.3">
      <c r="A195" t="str">
        <f t="shared" ref="A195:A258" si="3">C195&amp;B195&amp;H195</f>
        <v/>
      </c>
      <c r="I195" s="70"/>
    </row>
    <row r="196" spans="1:10" hidden="1" x14ac:dyDescent="0.3">
      <c r="A196" t="str">
        <f t="shared" si="3"/>
        <v/>
      </c>
      <c r="I196" s="70"/>
    </row>
    <row r="197" spans="1:10" hidden="1" x14ac:dyDescent="0.3">
      <c r="A197" t="str">
        <f t="shared" si="3"/>
        <v/>
      </c>
      <c r="I197" s="70"/>
    </row>
    <row r="198" spans="1:10" x14ac:dyDescent="0.3">
      <c r="A198" t="str">
        <f t="shared" si="3"/>
        <v>Modulation quality TM2.0PORT1TM2.0</v>
      </c>
      <c r="B198" t="s">
        <v>57</v>
      </c>
      <c r="C198" t="s">
        <v>270</v>
      </c>
      <c r="D198">
        <v>8</v>
      </c>
      <c r="F198">
        <v>0.7</v>
      </c>
      <c r="G198">
        <v>8</v>
      </c>
      <c r="H198" t="s">
        <v>98</v>
      </c>
      <c r="I198" s="70">
        <v>0.27099537037037036</v>
      </c>
      <c r="J198" t="s">
        <v>237</v>
      </c>
    </row>
    <row r="199" spans="1:10" x14ac:dyDescent="0.3">
      <c r="A199" t="str">
        <f t="shared" si="3"/>
        <v>Modulation quality TM2.0PORT2TM2.0</v>
      </c>
      <c r="B199" t="s">
        <v>59</v>
      </c>
      <c r="C199" t="s">
        <v>270</v>
      </c>
      <c r="D199">
        <v>8</v>
      </c>
      <c r="F199">
        <v>0.6</v>
      </c>
      <c r="G199">
        <v>8</v>
      </c>
      <c r="H199" t="s">
        <v>98</v>
      </c>
      <c r="I199" s="70">
        <v>0.2711689814814815</v>
      </c>
      <c r="J199" t="s">
        <v>237</v>
      </c>
    </row>
    <row r="200" spans="1:10" x14ac:dyDescent="0.3">
      <c r="A200" t="str">
        <f t="shared" si="3"/>
        <v>Modulation quality TM2.0PORT3TM2.0</v>
      </c>
      <c r="B200" t="s">
        <v>60</v>
      </c>
      <c r="C200" t="s">
        <v>270</v>
      </c>
      <c r="D200">
        <v>8</v>
      </c>
      <c r="F200">
        <v>0.6</v>
      </c>
      <c r="G200">
        <v>8</v>
      </c>
      <c r="H200" t="s">
        <v>98</v>
      </c>
      <c r="I200" s="70">
        <v>0.27134259259259258</v>
      </c>
      <c r="J200" t="s">
        <v>237</v>
      </c>
    </row>
    <row r="201" spans="1:10" x14ac:dyDescent="0.3">
      <c r="A201" t="str">
        <f t="shared" si="3"/>
        <v>Modulation quality TM2.0PORT4TM2.0</v>
      </c>
      <c r="B201" t="s">
        <v>61</v>
      </c>
      <c r="C201" t="s">
        <v>270</v>
      </c>
      <c r="D201">
        <v>8</v>
      </c>
      <c r="F201">
        <v>0.5</v>
      </c>
      <c r="G201">
        <v>8</v>
      </c>
      <c r="H201" t="s">
        <v>98</v>
      </c>
      <c r="I201" s="70">
        <v>0.27150462962962962</v>
      </c>
      <c r="J201" t="s">
        <v>237</v>
      </c>
    </row>
    <row r="202" spans="1:10" x14ac:dyDescent="0.3">
      <c r="A202" t="str">
        <f t="shared" si="3"/>
        <v>Modulation quality TM2.0PORT5TM2.0</v>
      </c>
      <c r="B202" t="s">
        <v>62</v>
      </c>
      <c r="C202" t="s">
        <v>270</v>
      </c>
      <c r="D202">
        <v>8</v>
      </c>
      <c r="F202">
        <v>0.4</v>
      </c>
      <c r="G202">
        <v>8</v>
      </c>
      <c r="H202" t="s">
        <v>98</v>
      </c>
      <c r="I202" s="70">
        <v>0.27167824074074071</v>
      </c>
      <c r="J202" t="s">
        <v>237</v>
      </c>
    </row>
    <row r="203" spans="1:10" x14ac:dyDescent="0.3">
      <c r="A203" t="str">
        <f t="shared" si="3"/>
        <v>Modulation quality TM2.0PORT6TM2.0</v>
      </c>
      <c r="B203" t="s">
        <v>63</v>
      </c>
      <c r="C203" t="s">
        <v>270</v>
      </c>
      <c r="D203">
        <v>8</v>
      </c>
      <c r="F203">
        <v>0.7</v>
      </c>
      <c r="G203">
        <v>8</v>
      </c>
      <c r="H203" t="s">
        <v>98</v>
      </c>
      <c r="I203" s="70">
        <v>0.27185185185185184</v>
      </c>
      <c r="J203" t="s">
        <v>237</v>
      </c>
    </row>
    <row r="204" spans="1:10" x14ac:dyDescent="0.3">
      <c r="A204" t="str">
        <f t="shared" si="3"/>
        <v>Modulation quality TM2.0PORT7TM2.0</v>
      </c>
      <c r="B204" t="s">
        <v>64</v>
      </c>
      <c r="C204" t="s">
        <v>270</v>
      </c>
      <c r="D204">
        <v>8</v>
      </c>
      <c r="F204">
        <v>0.5</v>
      </c>
      <c r="G204">
        <v>8</v>
      </c>
      <c r="H204" t="s">
        <v>98</v>
      </c>
      <c r="I204" s="70">
        <v>0.27202546296296298</v>
      </c>
      <c r="J204" t="s">
        <v>237</v>
      </c>
    </row>
    <row r="205" spans="1:10" x14ac:dyDescent="0.3">
      <c r="A205" t="str">
        <f t="shared" si="3"/>
        <v>Modulation quality TM2.0PORT8TM2.0</v>
      </c>
      <c r="B205" t="s">
        <v>65</v>
      </c>
      <c r="C205" t="s">
        <v>270</v>
      </c>
      <c r="D205">
        <v>8</v>
      </c>
      <c r="F205">
        <v>0.6</v>
      </c>
      <c r="G205">
        <v>8</v>
      </c>
      <c r="H205" t="s">
        <v>98</v>
      </c>
      <c r="I205" s="70">
        <v>0.27219907407407407</v>
      </c>
      <c r="J205" t="s">
        <v>237</v>
      </c>
    </row>
    <row r="206" spans="1:10" x14ac:dyDescent="0.3">
      <c r="A206" t="str">
        <f t="shared" si="3"/>
        <v>Modulation quality TM2.0PORT9TM2.0</v>
      </c>
      <c r="B206" t="s">
        <v>175</v>
      </c>
      <c r="C206" t="s">
        <v>270</v>
      </c>
      <c r="D206">
        <v>8</v>
      </c>
      <c r="F206">
        <v>0.6</v>
      </c>
      <c r="G206">
        <v>8</v>
      </c>
      <c r="H206" t="s">
        <v>98</v>
      </c>
      <c r="I206" s="70">
        <v>0.27237268518518515</v>
      </c>
      <c r="J206" t="s">
        <v>237</v>
      </c>
    </row>
    <row r="207" spans="1:10" x14ac:dyDescent="0.3">
      <c r="A207" t="str">
        <f t="shared" si="3"/>
        <v>Modulation quality TM2.0PORT10TM2.0</v>
      </c>
      <c r="B207" t="s">
        <v>176</v>
      </c>
      <c r="C207" t="s">
        <v>270</v>
      </c>
      <c r="D207">
        <v>8</v>
      </c>
      <c r="F207">
        <v>0.5</v>
      </c>
      <c r="G207">
        <v>8</v>
      </c>
      <c r="H207" t="s">
        <v>98</v>
      </c>
      <c r="I207" s="70">
        <v>0.27254629629629629</v>
      </c>
      <c r="J207" t="s">
        <v>237</v>
      </c>
    </row>
    <row r="208" spans="1:10" x14ac:dyDescent="0.3">
      <c r="A208" t="str">
        <f t="shared" si="3"/>
        <v>Modulation quality TM2.0PORT11TM2.0</v>
      </c>
      <c r="B208" t="s">
        <v>177</v>
      </c>
      <c r="C208" t="s">
        <v>270</v>
      </c>
      <c r="D208">
        <v>8</v>
      </c>
      <c r="F208">
        <v>0.5</v>
      </c>
      <c r="G208">
        <v>8</v>
      </c>
      <c r="H208" t="s">
        <v>98</v>
      </c>
      <c r="I208" s="70">
        <v>0.27271990740740742</v>
      </c>
      <c r="J208" t="s">
        <v>237</v>
      </c>
    </row>
    <row r="209" spans="1:10" x14ac:dyDescent="0.3">
      <c r="A209" t="str">
        <f t="shared" si="3"/>
        <v>Modulation quality TM2.0PORT12TM2.0</v>
      </c>
      <c r="B209" t="s">
        <v>178</v>
      </c>
      <c r="C209" t="s">
        <v>270</v>
      </c>
      <c r="D209">
        <v>8</v>
      </c>
      <c r="F209">
        <v>0.7</v>
      </c>
      <c r="G209">
        <v>8</v>
      </c>
      <c r="H209" t="s">
        <v>98</v>
      </c>
      <c r="I209" s="70">
        <v>0.27289351851851851</v>
      </c>
      <c r="J209" t="s">
        <v>237</v>
      </c>
    </row>
    <row r="210" spans="1:10" x14ac:dyDescent="0.3">
      <c r="A210" t="str">
        <f t="shared" si="3"/>
        <v>Modulation quality TM2.0PORT13TM2.0</v>
      </c>
      <c r="B210" t="s">
        <v>179</v>
      </c>
      <c r="C210" t="s">
        <v>270</v>
      </c>
      <c r="D210">
        <v>8</v>
      </c>
      <c r="F210">
        <v>0.4</v>
      </c>
      <c r="G210">
        <v>8</v>
      </c>
      <c r="H210" t="s">
        <v>98</v>
      </c>
      <c r="I210" s="70">
        <v>0.27306712962962965</v>
      </c>
      <c r="J210" t="s">
        <v>237</v>
      </c>
    </row>
    <row r="211" spans="1:10" x14ac:dyDescent="0.3">
      <c r="A211" t="str">
        <f t="shared" si="3"/>
        <v>Modulation quality TM2.0PORT14TM2.0</v>
      </c>
      <c r="B211" t="s">
        <v>180</v>
      </c>
      <c r="C211" t="s">
        <v>270</v>
      </c>
      <c r="D211">
        <v>8</v>
      </c>
      <c r="F211">
        <v>0.6</v>
      </c>
      <c r="G211">
        <v>8</v>
      </c>
      <c r="H211" t="s">
        <v>98</v>
      </c>
      <c r="I211" s="70">
        <v>0.27324074074074073</v>
      </c>
      <c r="J211" t="s">
        <v>237</v>
      </c>
    </row>
    <row r="212" spans="1:10" x14ac:dyDescent="0.3">
      <c r="A212" t="str">
        <f t="shared" si="3"/>
        <v>Modulation quality TM2.0PORT15TM2.0</v>
      </c>
      <c r="B212" t="s">
        <v>181</v>
      </c>
      <c r="C212" t="s">
        <v>270</v>
      </c>
      <c r="D212">
        <v>8</v>
      </c>
      <c r="F212">
        <v>0.6</v>
      </c>
      <c r="G212">
        <v>8</v>
      </c>
      <c r="H212" t="s">
        <v>98</v>
      </c>
      <c r="I212" s="70">
        <v>0.27341435185185187</v>
      </c>
      <c r="J212" t="s">
        <v>237</v>
      </c>
    </row>
    <row r="213" spans="1:10" x14ac:dyDescent="0.3">
      <c r="A213" t="str">
        <f t="shared" si="3"/>
        <v>Modulation quality TM2.0PORT16TM2.0</v>
      </c>
      <c r="B213" t="s">
        <v>182</v>
      </c>
      <c r="C213" t="s">
        <v>270</v>
      </c>
      <c r="D213">
        <v>8</v>
      </c>
      <c r="F213">
        <v>0.5</v>
      </c>
      <c r="G213">
        <v>8</v>
      </c>
      <c r="H213" t="s">
        <v>98</v>
      </c>
      <c r="I213" s="70">
        <v>0.27358796296296295</v>
      </c>
      <c r="J213" t="s">
        <v>237</v>
      </c>
    </row>
    <row r="214" spans="1:10" x14ac:dyDescent="0.3">
      <c r="A214" t="str">
        <f t="shared" si="3"/>
        <v>Modulation quality TM2.0PORT17TM2.0</v>
      </c>
      <c r="B214" t="s">
        <v>183</v>
      </c>
      <c r="C214" t="s">
        <v>270</v>
      </c>
      <c r="D214">
        <v>8</v>
      </c>
      <c r="F214">
        <v>0.7</v>
      </c>
      <c r="G214">
        <v>8</v>
      </c>
      <c r="H214" t="s">
        <v>98</v>
      </c>
      <c r="I214" s="70">
        <v>0.27376157407407409</v>
      </c>
      <c r="J214" t="s">
        <v>237</v>
      </c>
    </row>
    <row r="215" spans="1:10" x14ac:dyDescent="0.3">
      <c r="A215" t="str">
        <f t="shared" si="3"/>
        <v>Modulation quality TM2.0PORT18TM2.0</v>
      </c>
      <c r="B215" t="s">
        <v>184</v>
      </c>
      <c r="C215" t="s">
        <v>270</v>
      </c>
      <c r="D215">
        <v>8</v>
      </c>
      <c r="F215">
        <v>0.5</v>
      </c>
      <c r="G215">
        <v>8</v>
      </c>
      <c r="H215" t="s">
        <v>98</v>
      </c>
      <c r="I215" s="70">
        <v>0.27393518518518517</v>
      </c>
      <c r="J215" t="s">
        <v>237</v>
      </c>
    </row>
    <row r="216" spans="1:10" x14ac:dyDescent="0.3">
      <c r="A216" t="str">
        <f t="shared" si="3"/>
        <v>Modulation quality TM2.0PORT19TM2.0</v>
      </c>
      <c r="B216" t="s">
        <v>185</v>
      </c>
      <c r="C216" t="s">
        <v>270</v>
      </c>
      <c r="D216">
        <v>8</v>
      </c>
      <c r="F216">
        <v>0.5</v>
      </c>
      <c r="G216">
        <v>8</v>
      </c>
      <c r="H216" t="s">
        <v>98</v>
      </c>
      <c r="I216" s="70">
        <v>0.27410879629629631</v>
      </c>
      <c r="J216" t="s">
        <v>237</v>
      </c>
    </row>
    <row r="217" spans="1:10" x14ac:dyDescent="0.3">
      <c r="A217" t="str">
        <f t="shared" si="3"/>
        <v>Modulation quality TM2.0PORT20TM2.0</v>
      </c>
      <c r="B217" t="s">
        <v>186</v>
      </c>
      <c r="C217" t="s">
        <v>270</v>
      </c>
      <c r="D217">
        <v>8</v>
      </c>
      <c r="F217">
        <v>0.5</v>
      </c>
      <c r="G217">
        <v>8</v>
      </c>
      <c r="H217" t="s">
        <v>98</v>
      </c>
      <c r="I217" s="70">
        <v>0.27428240740740745</v>
      </c>
      <c r="J217" t="s">
        <v>237</v>
      </c>
    </row>
    <row r="218" spans="1:10" x14ac:dyDescent="0.3">
      <c r="A218" t="str">
        <f t="shared" si="3"/>
        <v>Modulation quality TM2.0PORT21TM2.0</v>
      </c>
      <c r="B218" t="s">
        <v>187</v>
      </c>
      <c r="C218" t="s">
        <v>270</v>
      </c>
      <c r="D218">
        <v>8</v>
      </c>
      <c r="F218">
        <v>0.7</v>
      </c>
      <c r="G218">
        <v>8</v>
      </c>
      <c r="H218" t="s">
        <v>98</v>
      </c>
      <c r="I218" s="70">
        <v>0.27445601851851853</v>
      </c>
      <c r="J218" t="s">
        <v>237</v>
      </c>
    </row>
    <row r="219" spans="1:10" x14ac:dyDescent="0.3">
      <c r="A219" t="str">
        <f t="shared" si="3"/>
        <v>Modulation quality TM2.0PORT22TM2.0</v>
      </c>
      <c r="B219" t="s">
        <v>188</v>
      </c>
      <c r="C219" t="s">
        <v>270</v>
      </c>
      <c r="D219">
        <v>8</v>
      </c>
      <c r="F219">
        <v>0.5</v>
      </c>
      <c r="G219">
        <v>8</v>
      </c>
      <c r="H219" t="s">
        <v>98</v>
      </c>
      <c r="I219" s="70">
        <v>0.27462962962962961</v>
      </c>
      <c r="J219" t="s">
        <v>237</v>
      </c>
    </row>
    <row r="220" spans="1:10" x14ac:dyDescent="0.3">
      <c r="A220" t="str">
        <f t="shared" si="3"/>
        <v>Modulation quality TM2.0PORT23TM2.0</v>
      </c>
      <c r="B220" t="s">
        <v>189</v>
      </c>
      <c r="C220" t="s">
        <v>270</v>
      </c>
      <c r="D220">
        <v>8</v>
      </c>
      <c r="F220">
        <v>0.7</v>
      </c>
      <c r="G220">
        <v>8</v>
      </c>
      <c r="H220" t="s">
        <v>98</v>
      </c>
      <c r="I220" s="70">
        <v>0.27480324074074075</v>
      </c>
      <c r="J220" t="s">
        <v>237</v>
      </c>
    </row>
    <row r="221" spans="1:10" x14ac:dyDescent="0.3">
      <c r="A221" t="str">
        <f t="shared" si="3"/>
        <v>Modulation quality TM2.0PORT24TM2.0</v>
      </c>
      <c r="B221" t="s">
        <v>190</v>
      </c>
      <c r="C221" t="s">
        <v>270</v>
      </c>
      <c r="D221">
        <v>8</v>
      </c>
      <c r="F221">
        <v>0.5</v>
      </c>
      <c r="G221">
        <v>8</v>
      </c>
      <c r="H221" t="s">
        <v>98</v>
      </c>
      <c r="I221" s="70">
        <v>0.27497685185185183</v>
      </c>
      <c r="J221" t="s">
        <v>237</v>
      </c>
    </row>
    <row r="222" spans="1:10" x14ac:dyDescent="0.3">
      <c r="A222" t="str">
        <f t="shared" si="3"/>
        <v>Modulation quality TM2.0PORT25TM2.0</v>
      </c>
      <c r="B222" t="s">
        <v>191</v>
      </c>
      <c r="C222" t="s">
        <v>270</v>
      </c>
      <c r="D222">
        <v>8</v>
      </c>
      <c r="F222">
        <v>0.5</v>
      </c>
      <c r="G222">
        <v>8</v>
      </c>
      <c r="H222" t="s">
        <v>98</v>
      </c>
      <c r="I222" s="70">
        <v>0.27515046296296297</v>
      </c>
      <c r="J222" t="s">
        <v>237</v>
      </c>
    </row>
    <row r="223" spans="1:10" x14ac:dyDescent="0.3">
      <c r="A223" t="str">
        <f t="shared" si="3"/>
        <v>Modulation quality TM2.0PORT26TM2.0</v>
      </c>
      <c r="B223" t="s">
        <v>192</v>
      </c>
      <c r="C223" t="s">
        <v>270</v>
      </c>
      <c r="D223">
        <v>8</v>
      </c>
      <c r="F223">
        <v>0.7</v>
      </c>
      <c r="G223">
        <v>8</v>
      </c>
      <c r="H223" t="s">
        <v>98</v>
      </c>
      <c r="I223" s="70">
        <v>0.27532407407407405</v>
      </c>
      <c r="J223" t="s">
        <v>237</v>
      </c>
    </row>
    <row r="224" spans="1:10" x14ac:dyDescent="0.3">
      <c r="A224" t="str">
        <f t="shared" si="3"/>
        <v>Modulation quality TM2.0PORT27TM2.0</v>
      </c>
      <c r="B224" t="s">
        <v>193</v>
      </c>
      <c r="C224" t="s">
        <v>270</v>
      </c>
      <c r="D224">
        <v>8</v>
      </c>
      <c r="F224">
        <v>0.5</v>
      </c>
      <c r="G224">
        <v>8</v>
      </c>
      <c r="H224" t="s">
        <v>98</v>
      </c>
      <c r="I224" s="70">
        <v>0.27549768518518519</v>
      </c>
      <c r="J224" t="s">
        <v>237</v>
      </c>
    </row>
    <row r="225" spans="1:10" x14ac:dyDescent="0.3">
      <c r="A225" t="str">
        <f t="shared" si="3"/>
        <v>Modulation quality TM2.0PORT28TM2.0</v>
      </c>
      <c r="B225" t="s">
        <v>194</v>
      </c>
      <c r="C225" t="s">
        <v>270</v>
      </c>
      <c r="D225">
        <v>8</v>
      </c>
      <c r="F225">
        <v>0.5</v>
      </c>
      <c r="G225">
        <v>8</v>
      </c>
      <c r="H225" t="s">
        <v>98</v>
      </c>
      <c r="I225" s="70">
        <v>0.27567129629629633</v>
      </c>
      <c r="J225" t="s">
        <v>237</v>
      </c>
    </row>
    <row r="226" spans="1:10" x14ac:dyDescent="0.3">
      <c r="A226" t="str">
        <f t="shared" si="3"/>
        <v>Modulation quality TM2.0PORT29TM2.0</v>
      </c>
      <c r="B226" t="s">
        <v>195</v>
      </c>
      <c r="C226" t="s">
        <v>270</v>
      </c>
      <c r="D226">
        <v>8</v>
      </c>
      <c r="F226">
        <v>0.6</v>
      </c>
      <c r="G226">
        <v>8</v>
      </c>
      <c r="H226" t="s">
        <v>98</v>
      </c>
      <c r="I226" s="70">
        <v>0.27584490740740741</v>
      </c>
      <c r="J226" t="s">
        <v>237</v>
      </c>
    </row>
    <row r="227" spans="1:10" x14ac:dyDescent="0.3">
      <c r="A227" t="str">
        <f t="shared" si="3"/>
        <v>Modulation quality TM2.0PORT30TM2.0</v>
      </c>
      <c r="B227" t="s">
        <v>196</v>
      </c>
      <c r="C227" t="s">
        <v>270</v>
      </c>
      <c r="D227">
        <v>8</v>
      </c>
      <c r="F227">
        <v>0.6</v>
      </c>
      <c r="G227">
        <v>8</v>
      </c>
      <c r="H227" t="s">
        <v>98</v>
      </c>
      <c r="I227" s="70">
        <v>0.2760185185185185</v>
      </c>
      <c r="J227" t="s">
        <v>237</v>
      </c>
    </row>
    <row r="228" spans="1:10" x14ac:dyDescent="0.3">
      <c r="A228" t="str">
        <f t="shared" si="3"/>
        <v>Modulation quality TM2.0PORT31TM2.0</v>
      </c>
      <c r="B228" t="s">
        <v>197</v>
      </c>
      <c r="C228" t="s">
        <v>270</v>
      </c>
      <c r="D228">
        <v>8</v>
      </c>
      <c r="F228">
        <v>0.5</v>
      </c>
      <c r="G228">
        <v>8</v>
      </c>
      <c r="H228" t="s">
        <v>98</v>
      </c>
      <c r="I228" s="70">
        <v>0.27619212962962963</v>
      </c>
      <c r="J228" t="s">
        <v>237</v>
      </c>
    </row>
    <row r="229" spans="1:10" x14ac:dyDescent="0.3">
      <c r="A229" t="str">
        <f t="shared" si="3"/>
        <v>Modulation quality TM2.0PORT32TM2.0</v>
      </c>
      <c r="B229" t="s">
        <v>198</v>
      </c>
      <c r="C229" t="s">
        <v>270</v>
      </c>
      <c r="D229">
        <v>8</v>
      </c>
      <c r="F229">
        <v>0.5</v>
      </c>
      <c r="G229">
        <v>8</v>
      </c>
      <c r="H229" t="s">
        <v>98</v>
      </c>
      <c r="I229" s="70">
        <v>0.27636574074074077</v>
      </c>
      <c r="J229" t="s">
        <v>237</v>
      </c>
    </row>
    <row r="230" spans="1:10" x14ac:dyDescent="0.3">
      <c r="A230" t="str">
        <f t="shared" si="3"/>
        <v>Modulation quality TM2.0aPORT1TM2.0a</v>
      </c>
      <c r="B230" t="s">
        <v>57</v>
      </c>
      <c r="C230" t="s">
        <v>271</v>
      </c>
      <c r="D230">
        <v>3.5</v>
      </c>
      <c r="F230">
        <v>1.3</v>
      </c>
      <c r="G230">
        <v>3.5</v>
      </c>
      <c r="H230" t="s">
        <v>102</v>
      </c>
      <c r="I230" s="70">
        <v>0.27697916666666667</v>
      </c>
      <c r="J230" t="s">
        <v>237</v>
      </c>
    </row>
    <row r="231" spans="1:10" x14ac:dyDescent="0.3">
      <c r="A231" t="str">
        <f t="shared" si="3"/>
        <v>Modulation quality TM2.0aPORT2TM2.0a</v>
      </c>
      <c r="B231" t="s">
        <v>59</v>
      </c>
      <c r="C231" t="s">
        <v>271</v>
      </c>
      <c r="D231">
        <v>3.5</v>
      </c>
      <c r="F231">
        <v>1.2</v>
      </c>
      <c r="G231">
        <v>3.5</v>
      </c>
      <c r="H231" t="s">
        <v>102</v>
      </c>
      <c r="I231" s="70">
        <v>0.27715277777777775</v>
      </c>
      <c r="J231" t="s">
        <v>237</v>
      </c>
    </row>
    <row r="232" spans="1:10" x14ac:dyDescent="0.3">
      <c r="A232" t="str">
        <f t="shared" si="3"/>
        <v>Modulation quality TM2.0aPORT3TM2.0a</v>
      </c>
      <c r="B232" t="s">
        <v>60</v>
      </c>
      <c r="C232" t="s">
        <v>271</v>
      </c>
      <c r="D232">
        <v>3.5</v>
      </c>
      <c r="F232">
        <v>1.2</v>
      </c>
      <c r="G232">
        <v>3.5</v>
      </c>
      <c r="H232" t="s">
        <v>102</v>
      </c>
      <c r="I232" s="70">
        <v>0.27732638888888889</v>
      </c>
      <c r="J232" t="s">
        <v>237</v>
      </c>
    </row>
    <row r="233" spans="1:10" x14ac:dyDescent="0.3">
      <c r="A233" t="str">
        <f t="shared" si="3"/>
        <v>Modulation quality TM2.0aPORT4TM2.0a</v>
      </c>
      <c r="B233" t="s">
        <v>61</v>
      </c>
      <c r="C233" t="s">
        <v>271</v>
      </c>
      <c r="D233">
        <v>3.5</v>
      </c>
      <c r="F233">
        <v>1.2</v>
      </c>
      <c r="G233">
        <v>3.5</v>
      </c>
      <c r="H233" t="s">
        <v>102</v>
      </c>
      <c r="I233" s="70">
        <v>0.27750000000000002</v>
      </c>
      <c r="J233" t="s">
        <v>237</v>
      </c>
    </row>
    <row r="234" spans="1:10" x14ac:dyDescent="0.3">
      <c r="A234" t="str">
        <f t="shared" si="3"/>
        <v>Modulation quality TM2.0aPORT5TM2.0a</v>
      </c>
      <c r="B234" t="s">
        <v>62</v>
      </c>
      <c r="C234" t="s">
        <v>271</v>
      </c>
      <c r="D234">
        <v>3.5</v>
      </c>
      <c r="F234">
        <v>1.1000000000000001</v>
      </c>
      <c r="G234">
        <v>3.5</v>
      </c>
      <c r="H234" t="s">
        <v>102</v>
      </c>
      <c r="I234" s="70">
        <v>0.27767361111111111</v>
      </c>
      <c r="J234" t="s">
        <v>237</v>
      </c>
    </row>
    <row r="235" spans="1:10" x14ac:dyDescent="0.3">
      <c r="A235" t="str">
        <f t="shared" si="3"/>
        <v>Modulation quality TM2.0aPORT6TM2.0a</v>
      </c>
      <c r="B235" t="s">
        <v>63</v>
      </c>
      <c r="C235" t="s">
        <v>271</v>
      </c>
      <c r="D235">
        <v>3.5</v>
      </c>
      <c r="F235">
        <v>1.3</v>
      </c>
      <c r="G235">
        <v>3.5</v>
      </c>
      <c r="H235" t="s">
        <v>102</v>
      </c>
      <c r="I235" s="70">
        <v>0.27784722222222219</v>
      </c>
      <c r="J235" t="s">
        <v>237</v>
      </c>
    </row>
    <row r="236" spans="1:10" x14ac:dyDescent="0.3">
      <c r="A236" t="str">
        <f t="shared" si="3"/>
        <v>Modulation quality TM2.0aPORT7TM2.0a</v>
      </c>
      <c r="B236" t="s">
        <v>64</v>
      </c>
      <c r="C236" t="s">
        <v>271</v>
      </c>
      <c r="D236">
        <v>3.5</v>
      </c>
      <c r="F236">
        <v>1.1000000000000001</v>
      </c>
      <c r="G236">
        <v>3.5</v>
      </c>
      <c r="H236" t="s">
        <v>102</v>
      </c>
      <c r="I236" s="70">
        <v>0.27802083333333333</v>
      </c>
      <c r="J236" t="s">
        <v>237</v>
      </c>
    </row>
    <row r="237" spans="1:10" x14ac:dyDescent="0.3">
      <c r="A237" t="str">
        <f t="shared" si="3"/>
        <v>Modulation quality TM2.0aPORT8TM2.0a</v>
      </c>
      <c r="B237" t="s">
        <v>65</v>
      </c>
      <c r="C237" t="s">
        <v>271</v>
      </c>
      <c r="D237">
        <v>3.5</v>
      </c>
      <c r="F237">
        <v>1.3</v>
      </c>
      <c r="G237">
        <v>3.5</v>
      </c>
      <c r="H237" t="s">
        <v>102</v>
      </c>
      <c r="I237" s="70">
        <v>0.27819444444444447</v>
      </c>
      <c r="J237" t="s">
        <v>237</v>
      </c>
    </row>
    <row r="238" spans="1:10" x14ac:dyDescent="0.3">
      <c r="A238" t="str">
        <f t="shared" si="3"/>
        <v>Modulation quality TM2.0aPORT9TM2.0a</v>
      </c>
      <c r="B238" t="s">
        <v>175</v>
      </c>
      <c r="C238" t="s">
        <v>271</v>
      </c>
      <c r="D238">
        <v>3.5</v>
      </c>
      <c r="F238">
        <v>1.1000000000000001</v>
      </c>
      <c r="G238">
        <v>3.5</v>
      </c>
      <c r="H238" t="s">
        <v>102</v>
      </c>
      <c r="I238" s="70">
        <v>0.27836805555555555</v>
      </c>
      <c r="J238" t="s">
        <v>237</v>
      </c>
    </row>
    <row r="239" spans="1:10" x14ac:dyDescent="0.3">
      <c r="A239" t="str">
        <f t="shared" si="3"/>
        <v>Modulation quality TM2.0aPORT10TM2.0a</v>
      </c>
      <c r="B239" t="s">
        <v>176</v>
      </c>
      <c r="C239" t="s">
        <v>271</v>
      </c>
      <c r="D239">
        <v>3.5</v>
      </c>
      <c r="F239">
        <v>1.5</v>
      </c>
      <c r="G239">
        <v>3.5</v>
      </c>
      <c r="H239" t="s">
        <v>102</v>
      </c>
      <c r="I239" s="70">
        <v>0.27854166666666669</v>
      </c>
      <c r="J239" t="s">
        <v>237</v>
      </c>
    </row>
    <row r="240" spans="1:10" x14ac:dyDescent="0.3">
      <c r="A240" t="str">
        <f t="shared" si="3"/>
        <v>Modulation quality TM2.0aPORT11TM2.0a</v>
      </c>
      <c r="B240" t="s">
        <v>177</v>
      </c>
      <c r="C240" t="s">
        <v>271</v>
      </c>
      <c r="D240">
        <v>3.5</v>
      </c>
      <c r="F240">
        <v>1.1000000000000001</v>
      </c>
      <c r="G240">
        <v>3.5</v>
      </c>
      <c r="H240" t="s">
        <v>102</v>
      </c>
      <c r="I240" s="70">
        <v>0.27871527777777777</v>
      </c>
      <c r="J240" t="s">
        <v>237</v>
      </c>
    </row>
    <row r="241" spans="1:10" x14ac:dyDescent="0.3">
      <c r="A241" t="str">
        <f t="shared" si="3"/>
        <v>Modulation quality TM2.0aPORT12TM2.0a</v>
      </c>
      <c r="B241" t="s">
        <v>178</v>
      </c>
      <c r="C241" t="s">
        <v>271</v>
      </c>
      <c r="D241">
        <v>3.5</v>
      </c>
      <c r="F241">
        <v>1.3</v>
      </c>
      <c r="G241">
        <v>3.5</v>
      </c>
      <c r="H241" t="s">
        <v>102</v>
      </c>
      <c r="I241" s="70">
        <v>0.27888888888888891</v>
      </c>
      <c r="J241" t="s">
        <v>237</v>
      </c>
    </row>
    <row r="242" spans="1:10" x14ac:dyDescent="0.3">
      <c r="A242" t="str">
        <f t="shared" si="3"/>
        <v>Modulation quality TM2.0aPORT13TM2.0a</v>
      </c>
      <c r="B242" t="s">
        <v>179</v>
      </c>
      <c r="C242" t="s">
        <v>271</v>
      </c>
      <c r="D242">
        <v>3.5</v>
      </c>
      <c r="F242">
        <v>1.1000000000000001</v>
      </c>
      <c r="G242">
        <v>3.5</v>
      </c>
      <c r="H242" t="s">
        <v>102</v>
      </c>
      <c r="I242" s="70">
        <v>0.27906249999999999</v>
      </c>
      <c r="J242" t="s">
        <v>237</v>
      </c>
    </row>
    <row r="243" spans="1:10" x14ac:dyDescent="0.3">
      <c r="A243" t="str">
        <f t="shared" si="3"/>
        <v>Modulation quality TM2.0aPORT14TM2.0a</v>
      </c>
      <c r="B243" t="s">
        <v>180</v>
      </c>
      <c r="C243" t="s">
        <v>271</v>
      </c>
      <c r="D243">
        <v>3.5</v>
      </c>
      <c r="F243">
        <v>1.3</v>
      </c>
      <c r="G243">
        <v>3.5</v>
      </c>
      <c r="H243" t="s">
        <v>102</v>
      </c>
      <c r="I243" s="70">
        <v>0.27923611111111107</v>
      </c>
      <c r="J243" t="s">
        <v>237</v>
      </c>
    </row>
    <row r="244" spans="1:10" x14ac:dyDescent="0.3">
      <c r="A244" t="str">
        <f t="shared" si="3"/>
        <v>Modulation quality TM2.0aPORT15TM2.0a</v>
      </c>
      <c r="B244" t="s">
        <v>181</v>
      </c>
      <c r="C244" t="s">
        <v>271</v>
      </c>
      <c r="D244">
        <v>3.5</v>
      </c>
      <c r="F244">
        <v>1.2</v>
      </c>
      <c r="G244">
        <v>3.5</v>
      </c>
      <c r="H244" t="s">
        <v>102</v>
      </c>
      <c r="I244" s="70">
        <v>0.27939814814814817</v>
      </c>
      <c r="J244" t="s">
        <v>237</v>
      </c>
    </row>
    <row r="245" spans="1:10" x14ac:dyDescent="0.3">
      <c r="A245" t="str">
        <f t="shared" si="3"/>
        <v>Modulation quality TM2.0aPORT16TM2.0a</v>
      </c>
      <c r="B245" t="s">
        <v>182</v>
      </c>
      <c r="C245" t="s">
        <v>271</v>
      </c>
      <c r="D245">
        <v>3.5</v>
      </c>
      <c r="F245">
        <v>1.1000000000000001</v>
      </c>
      <c r="G245">
        <v>3.5</v>
      </c>
      <c r="H245" t="s">
        <v>102</v>
      </c>
      <c r="I245" s="70">
        <v>0.27957175925925926</v>
      </c>
      <c r="J245" t="s">
        <v>237</v>
      </c>
    </row>
    <row r="246" spans="1:10" x14ac:dyDescent="0.3">
      <c r="A246" t="str">
        <f t="shared" si="3"/>
        <v>Modulation quality TM2.0aPORT17TM2.0a</v>
      </c>
      <c r="B246" t="s">
        <v>183</v>
      </c>
      <c r="C246" t="s">
        <v>271</v>
      </c>
      <c r="D246">
        <v>3.5</v>
      </c>
      <c r="F246">
        <v>1.4</v>
      </c>
      <c r="G246">
        <v>3.5</v>
      </c>
      <c r="H246" t="s">
        <v>102</v>
      </c>
      <c r="I246" s="70">
        <v>0.27974537037037034</v>
      </c>
      <c r="J246" t="s">
        <v>237</v>
      </c>
    </row>
    <row r="247" spans="1:10" x14ac:dyDescent="0.3">
      <c r="A247" t="str">
        <f t="shared" si="3"/>
        <v>Modulation quality TM2.0aPORT18TM2.0a</v>
      </c>
      <c r="B247" t="s">
        <v>184</v>
      </c>
      <c r="C247" t="s">
        <v>271</v>
      </c>
      <c r="D247">
        <v>3.5</v>
      </c>
      <c r="F247">
        <v>1.2</v>
      </c>
      <c r="G247">
        <v>3.5</v>
      </c>
      <c r="H247" t="s">
        <v>102</v>
      </c>
      <c r="I247" s="70">
        <v>0.27991898148148148</v>
      </c>
      <c r="J247" t="s">
        <v>237</v>
      </c>
    </row>
    <row r="248" spans="1:10" x14ac:dyDescent="0.3">
      <c r="A248" t="str">
        <f t="shared" si="3"/>
        <v>Modulation quality TM2.0aPORT19TM2.0a</v>
      </c>
      <c r="B248" t="s">
        <v>185</v>
      </c>
      <c r="C248" t="s">
        <v>271</v>
      </c>
      <c r="D248">
        <v>3.5</v>
      </c>
      <c r="F248">
        <v>1.1000000000000001</v>
      </c>
      <c r="G248">
        <v>3.5</v>
      </c>
      <c r="H248" t="s">
        <v>102</v>
      </c>
      <c r="I248" s="70">
        <v>0.28009259259259262</v>
      </c>
      <c r="J248" t="s">
        <v>237</v>
      </c>
    </row>
    <row r="249" spans="1:10" x14ac:dyDescent="0.3">
      <c r="A249" t="str">
        <f t="shared" si="3"/>
        <v>Modulation quality TM2.0aPORT20TM2.0a</v>
      </c>
      <c r="B249" t="s">
        <v>186</v>
      </c>
      <c r="C249" t="s">
        <v>271</v>
      </c>
      <c r="D249">
        <v>3.5</v>
      </c>
      <c r="F249">
        <v>1.1000000000000001</v>
      </c>
      <c r="G249">
        <v>3.5</v>
      </c>
      <c r="H249" t="s">
        <v>102</v>
      </c>
      <c r="I249" s="70">
        <v>0.2802662037037037</v>
      </c>
      <c r="J249" t="s">
        <v>237</v>
      </c>
    </row>
    <row r="250" spans="1:10" x14ac:dyDescent="0.3">
      <c r="A250" t="str">
        <f t="shared" si="3"/>
        <v>Modulation quality TM2.0aPORT21TM2.0a</v>
      </c>
      <c r="B250" t="s">
        <v>187</v>
      </c>
      <c r="C250" t="s">
        <v>271</v>
      </c>
      <c r="D250">
        <v>3.5</v>
      </c>
      <c r="F250">
        <v>1.2</v>
      </c>
      <c r="G250">
        <v>3.5</v>
      </c>
      <c r="H250" t="s">
        <v>102</v>
      </c>
      <c r="I250" s="70">
        <v>0.28043981481481484</v>
      </c>
      <c r="J250" t="s">
        <v>237</v>
      </c>
    </row>
    <row r="251" spans="1:10" x14ac:dyDescent="0.3">
      <c r="A251" t="str">
        <f t="shared" si="3"/>
        <v>Modulation quality TM2.0aPORT22TM2.0a</v>
      </c>
      <c r="B251" t="s">
        <v>188</v>
      </c>
      <c r="C251" t="s">
        <v>271</v>
      </c>
      <c r="D251">
        <v>3.5</v>
      </c>
      <c r="F251">
        <v>1</v>
      </c>
      <c r="G251">
        <v>3.5</v>
      </c>
      <c r="H251" t="s">
        <v>102</v>
      </c>
      <c r="I251" s="70">
        <v>0.28061342592592592</v>
      </c>
      <c r="J251" t="s">
        <v>237</v>
      </c>
    </row>
    <row r="252" spans="1:10" x14ac:dyDescent="0.3">
      <c r="A252" t="str">
        <f t="shared" si="3"/>
        <v>Modulation quality TM2.0aPORT23TM2.0a</v>
      </c>
      <c r="B252" t="s">
        <v>189</v>
      </c>
      <c r="C252" t="s">
        <v>271</v>
      </c>
      <c r="D252">
        <v>3.5</v>
      </c>
      <c r="F252">
        <v>1.3</v>
      </c>
      <c r="G252">
        <v>3.5</v>
      </c>
      <c r="H252" t="s">
        <v>102</v>
      </c>
      <c r="I252" s="70">
        <v>0.28078703703703706</v>
      </c>
      <c r="J252" t="s">
        <v>237</v>
      </c>
    </row>
    <row r="253" spans="1:10" x14ac:dyDescent="0.3">
      <c r="A253" t="str">
        <f t="shared" si="3"/>
        <v>Modulation quality TM2.0aPORT24TM2.0a</v>
      </c>
      <c r="B253" t="s">
        <v>190</v>
      </c>
      <c r="C253" t="s">
        <v>271</v>
      </c>
      <c r="D253">
        <v>3.5</v>
      </c>
      <c r="F253">
        <v>1.1000000000000001</v>
      </c>
      <c r="G253">
        <v>3.5</v>
      </c>
      <c r="H253" t="s">
        <v>102</v>
      </c>
      <c r="I253" s="70">
        <v>0.28096064814814814</v>
      </c>
      <c r="J253" t="s">
        <v>237</v>
      </c>
    </row>
    <row r="254" spans="1:10" x14ac:dyDescent="0.3">
      <c r="A254" t="str">
        <f t="shared" si="3"/>
        <v>Modulation quality TM2.0aPORT25TM2.0a</v>
      </c>
      <c r="B254" t="s">
        <v>191</v>
      </c>
      <c r="C254" t="s">
        <v>271</v>
      </c>
      <c r="D254">
        <v>3.5</v>
      </c>
      <c r="F254">
        <v>1.1000000000000001</v>
      </c>
      <c r="G254">
        <v>3.5</v>
      </c>
      <c r="H254" t="s">
        <v>102</v>
      </c>
      <c r="I254" s="70">
        <v>0.28113425925925922</v>
      </c>
      <c r="J254" t="s">
        <v>237</v>
      </c>
    </row>
    <row r="255" spans="1:10" x14ac:dyDescent="0.3">
      <c r="A255" t="str">
        <f t="shared" si="3"/>
        <v>Modulation quality TM2.0aPORT26TM2.0a</v>
      </c>
      <c r="B255" t="s">
        <v>192</v>
      </c>
      <c r="C255" t="s">
        <v>271</v>
      </c>
      <c r="D255">
        <v>3.5</v>
      </c>
      <c r="F255">
        <v>1.2</v>
      </c>
      <c r="G255">
        <v>3.5</v>
      </c>
      <c r="H255" t="s">
        <v>102</v>
      </c>
      <c r="I255" s="70">
        <v>0.28130787037037036</v>
      </c>
      <c r="J255" t="s">
        <v>237</v>
      </c>
    </row>
    <row r="256" spans="1:10" x14ac:dyDescent="0.3">
      <c r="A256" t="str">
        <f t="shared" si="3"/>
        <v>Modulation quality TM2.0aPORT27TM2.0a</v>
      </c>
      <c r="B256" t="s">
        <v>193</v>
      </c>
      <c r="C256" t="s">
        <v>271</v>
      </c>
      <c r="D256">
        <v>3.5</v>
      </c>
      <c r="F256">
        <v>1.1000000000000001</v>
      </c>
      <c r="G256">
        <v>3.5</v>
      </c>
      <c r="H256" t="s">
        <v>102</v>
      </c>
      <c r="I256" s="70">
        <v>0.2814814814814815</v>
      </c>
      <c r="J256" t="s">
        <v>237</v>
      </c>
    </row>
    <row r="257" spans="1:10" x14ac:dyDescent="0.3">
      <c r="A257" t="str">
        <f t="shared" si="3"/>
        <v>Modulation quality TM2.0aPORT28TM2.0a</v>
      </c>
      <c r="B257" t="s">
        <v>194</v>
      </c>
      <c r="C257" t="s">
        <v>271</v>
      </c>
      <c r="D257">
        <v>3.5</v>
      </c>
      <c r="F257">
        <v>1</v>
      </c>
      <c r="G257">
        <v>3.5</v>
      </c>
      <c r="H257" t="s">
        <v>102</v>
      </c>
      <c r="I257" s="70">
        <v>0.28165509259259258</v>
      </c>
      <c r="J257" t="s">
        <v>237</v>
      </c>
    </row>
    <row r="258" spans="1:10" x14ac:dyDescent="0.3">
      <c r="A258" t="str">
        <f t="shared" si="3"/>
        <v>Modulation quality TM2.0aPORT29TM2.0a</v>
      </c>
      <c r="B258" t="s">
        <v>195</v>
      </c>
      <c r="C258" t="s">
        <v>271</v>
      </c>
      <c r="D258">
        <v>3.5</v>
      </c>
      <c r="F258">
        <v>1.3</v>
      </c>
      <c r="G258">
        <v>3.5</v>
      </c>
      <c r="H258" t="s">
        <v>102</v>
      </c>
      <c r="I258" s="70">
        <v>0.28182870370370372</v>
      </c>
      <c r="J258" t="s">
        <v>237</v>
      </c>
    </row>
    <row r="259" spans="1:10" x14ac:dyDescent="0.3">
      <c r="A259" t="str">
        <f t="shared" ref="A259:A322" si="4">C259&amp;B259&amp;H259</f>
        <v>Modulation quality TM2.0aPORT30TM2.0a</v>
      </c>
      <c r="B259" t="s">
        <v>196</v>
      </c>
      <c r="C259" t="s">
        <v>271</v>
      </c>
      <c r="D259">
        <v>3.5</v>
      </c>
      <c r="F259">
        <v>1.1000000000000001</v>
      </c>
      <c r="G259">
        <v>3.5</v>
      </c>
      <c r="H259" t="s">
        <v>102</v>
      </c>
      <c r="I259" s="70">
        <v>0.2820023148148148</v>
      </c>
      <c r="J259" t="s">
        <v>237</v>
      </c>
    </row>
    <row r="260" spans="1:10" x14ac:dyDescent="0.3">
      <c r="A260" t="str">
        <f t="shared" si="4"/>
        <v>Modulation quality TM2.0aPORT31TM2.0a</v>
      </c>
      <c r="B260" t="s">
        <v>197</v>
      </c>
      <c r="C260" t="s">
        <v>271</v>
      </c>
      <c r="D260">
        <v>3.5</v>
      </c>
      <c r="F260">
        <v>1.1000000000000001</v>
      </c>
      <c r="G260">
        <v>3.5</v>
      </c>
      <c r="H260" t="s">
        <v>102</v>
      </c>
      <c r="I260" s="70">
        <v>0.28217592592592594</v>
      </c>
      <c r="J260" t="s">
        <v>237</v>
      </c>
    </row>
    <row r="261" spans="1:10" x14ac:dyDescent="0.3">
      <c r="A261" t="str">
        <f t="shared" si="4"/>
        <v>Modulation quality TM2.0aPORT32TM2.0a</v>
      </c>
      <c r="B261" t="s">
        <v>198</v>
      </c>
      <c r="C261" t="s">
        <v>271</v>
      </c>
      <c r="D261">
        <v>3.5</v>
      </c>
      <c r="F261">
        <v>1.1000000000000001</v>
      </c>
      <c r="G261">
        <v>3.5</v>
      </c>
      <c r="H261" t="s">
        <v>102</v>
      </c>
      <c r="I261" s="70">
        <v>0.28234953703703702</v>
      </c>
      <c r="J261" t="s">
        <v>237</v>
      </c>
    </row>
    <row r="262" spans="1:10" x14ac:dyDescent="0.3">
      <c r="A262" t="str">
        <f t="shared" si="4"/>
        <v>Modulation quality TM3.1PORT1TM3.1</v>
      </c>
      <c r="B262" t="s">
        <v>57</v>
      </c>
      <c r="C262" t="s">
        <v>272</v>
      </c>
      <c r="D262">
        <v>8</v>
      </c>
      <c r="F262">
        <v>1.7</v>
      </c>
      <c r="G262">
        <v>8</v>
      </c>
      <c r="H262" t="s">
        <v>100</v>
      </c>
      <c r="I262" s="70">
        <v>0.28297453703703707</v>
      </c>
      <c r="J262" t="s">
        <v>237</v>
      </c>
    </row>
    <row r="263" spans="1:10" x14ac:dyDescent="0.3">
      <c r="A263" t="str">
        <f t="shared" si="4"/>
        <v>Modulation quality TM3.1PORT2TM3.1</v>
      </c>
      <c r="B263" t="s">
        <v>59</v>
      </c>
      <c r="C263" t="s">
        <v>272</v>
      </c>
      <c r="D263">
        <v>8</v>
      </c>
      <c r="F263">
        <v>1.8</v>
      </c>
      <c r="G263">
        <v>8</v>
      </c>
      <c r="H263" t="s">
        <v>100</v>
      </c>
      <c r="I263" s="70">
        <v>0.28313657407407405</v>
      </c>
      <c r="J263" t="s">
        <v>237</v>
      </c>
    </row>
    <row r="264" spans="1:10" x14ac:dyDescent="0.3">
      <c r="A264" t="str">
        <f t="shared" si="4"/>
        <v>Modulation quality TM3.1PORT3TM3.1</v>
      </c>
      <c r="B264" t="s">
        <v>60</v>
      </c>
      <c r="C264" t="s">
        <v>272</v>
      </c>
      <c r="D264">
        <v>8</v>
      </c>
      <c r="F264">
        <v>1.7</v>
      </c>
      <c r="G264">
        <v>8</v>
      </c>
      <c r="H264" t="s">
        <v>100</v>
      </c>
      <c r="I264" s="70">
        <v>0.28332175925925923</v>
      </c>
      <c r="J264" t="s">
        <v>237</v>
      </c>
    </row>
    <row r="265" spans="1:10" x14ac:dyDescent="0.3">
      <c r="A265" t="str">
        <f t="shared" si="4"/>
        <v>Modulation quality TM3.1PORT4TM3.1</v>
      </c>
      <c r="B265" t="s">
        <v>61</v>
      </c>
      <c r="C265" t="s">
        <v>272</v>
      </c>
      <c r="D265">
        <v>8</v>
      </c>
      <c r="F265">
        <v>1.7</v>
      </c>
      <c r="G265">
        <v>8</v>
      </c>
      <c r="H265" t="s">
        <v>100</v>
      </c>
      <c r="I265" s="70">
        <v>0.28348379629629633</v>
      </c>
      <c r="J265" t="s">
        <v>237</v>
      </c>
    </row>
    <row r="266" spans="1:10" x14ac:dyDescent="0.3">
      <c r="A266" t="str">
        <f t="shared" si="4"/>
        <v>Modulation quality TM3.1PORT5TM3.1</v>
      </c>
      <c r="B266" t="s">
        <v>62</v>
      </c>
      <c r="C266" t="s">
        <v>272</v>
      </c>
      <c r="D266">
        <v>8</v>
      </c>
      <c r="F266">
        <v>1.7</v>
      </c>
      <c r="G266">
        <v>8</v>
      </c>
      <c r="H266" t="s">
        <v>100</v>
      </c>
      <c r="I266" s="70">
        <v>0.28365740740740741</v>
      </c>
      <c r="J266" t="s">
        <v>237</v>
      </c>
    </row>
    <row r="267" spans="1:10" x14ac:dyDescent="0.3">
      <c r="A267" t="str">
        <f t="shared" si="4"/>
        <v>Modulation quality TM3.1PORT6TM3.1</v>
      </c>
      <c r="B267" t="s">
        <v>63</v>
      </c>
      <c r="C267" t="s">
        <v>272</v>
      </c>
      <c r="D267">
        <v>8</v>
      </c>
      <c r="F267">
        <v>1.8</v>
      </c>
      <c r="G267">
        <v>8</v>
      </c>
      <c r="H267" t="s">
        <v>100</v>
      </c>
      <c r="I267" s="70">
        <v>0.2838310185185185</v>
      </c>
      <c r="J267" t="s">
        <v>237</v>
      </c>
    </row>
    <row r="268" spans="1:10" x14ac:dyDescent="0.3">
      <c r="A268" t="str">
        <f t="shared" si="4"/>
        <v>Modulation quality TM3.1PORT7TM3.1</v>
      </c>
      <c r="B268" t="s">
        <v>64</v>
      </c>
      <c r="C268" t="s">
        <v>272</v>
      </c>
      <c r="D268">
        <v>8</v>
      </c>
      <c r="F268">
        <v>1.7</v>
      </c>
      <c r="G268">
        <v>8</v>
      </c>
      <c r="H268" t="s">
        <v>100</v>
      </c>
      <c r="I268" s="70">
        <v>0.28400462962962963</v>
      </c>
      <c r="J268" t="s">
        <v>237</v>
      </c>
    </row>
    <row r="269" spans="1:10" x14ac:dyDescent="0.3">
      <c r="A269" t="str">
        <f t="shared" si="4"/>
        <v>Modulation quality TM3.1PORT8TM3.1</v>
      </c>
      <c r="B269" t="s">
        <v>65</v>
      </c>
      <c r="C269" t="s">
        <v>272</v>
      </c>
      <c r="D269">
        <v>8</v>
      </c>
      <c r="F269">
        <v>1.7</v>
      </c>
      <c r="G269">
        <v>8</v>
      </c>
      <c r="H269" t="s">
        <v>100</v>
      </c>
      <c r="I269" s="70">
        <v>0.28417824074074077</v>
      </c>
      <c r="J269" t="s">
        <v>237</v>
      </c>
    </row>
    <row r="270" spans="1:10" x14ac:dyDescent="0.3">
      <c r="A270" t="str">
        <f t="shared" si="4"/>
        <v>Modulation quality TM3.1PORT9TM3.1</v>
      </c>
      <c r="B270" t="s">
        <v>175</v>
      </c>
      <c r="C270" t="s">
        <v>272</v>
      </c>
      <c r="D270">
        <v>8</v>
      </c>
      <c r="F270">
        <v>1.7</v>
      </c>
      <c r="G270">
        <v>8</v>
      </c>
      <c r="H270" t="s">
        <v>100</v>
      </c>
      <c r="I270" s="70">
        <v>0.28435185185185186</v>
      </c>
      <c r="J270" t="s">
        <v>237</v>
      </c>
    </row>
    <row r="271" spans="1:10" x14ac:dyDescent="0.3">
      <c r="A271" t="str">
        <f t="shared" si="4"/>
        <v>Modulation quality TM3.1PORT10TM3.1</v>
      </c>
      <c r="B271" t="s">
        <v>176</v>
      </c>
      <c r="C271" t="s">
        <v>272</v>
      </c>
      <c r="D271">
        <v>8</v>
      </c>
      <c r="F271">
        <v>1.7</v>
      </c>
      <c r="G271">
        <v>8</v>
      </c>
      <c r="H271" t="s">
        <v>100</v>
      </c>
      <c r="I271" s="70">
        <v>0.28452546296296294</v>
      </c>
      <c r="J271" t="s">
        <v>237</v>
      </c>
    </row>
    <row r="272" spans="1:10" x14ac:dyDescent="0.3">
      <c r="A272" t="str">
        <f t="shared" si="4"/>
        <v>Modulation quality TM3.1PORT11TM3.1</v>
      </c>
      <c r="B272" t="s">
        <v>177</v>
      </c>
      <c r="C272" t="s">
        <v>272</v>
      </c>
      <c r="D272">
        <v>8</v>
      </c>
      <c r="F272">
        <v>1.7</v>
      </c>
      <c r="G272">
        <v>8</v>
      </c>
      <c r="H272" t="s">
        <v>100</v>
      </c>
      <c r="I272" s="70">
        <v>0.28469907407407408</v>
      </c>
      <c r="J272" t="s">
        <v>237</v>
      </c>
    </row>
    <row r="273" spans="1:10" x14ac:dyDescent="0.3">
      <c r="A273" t="str">
        <f t="shared" si="4"/>
        <v>Modulation quality TM3.1PORT12TM3.1</v>
      </c>
      <c r="B273" t="s">
        <v>178</v>
      </c>
      <c r="C273" t="s">
        <v>272</v>
      </c>
      <c r="D273">
        <v>8</v>
      </c>
      <c r="F273">
        <v>1.7</v>
      </c>
      <c r="G273">
        <v>8</v>
      </c>
      <c r="H273" t="s">
        <v>100</v>
      </c>
      <c r="I273" s="70">
        <v>0.28487268518518521</v>
      </c>
      <c r="J273" t="s">
        <v>237</v>
      </c>
    </row>
    <row r="274" spans="1:10" x14ac:dyDescent="0.3">
      <c r="A274" t="str">
        <f t="shared" si="4"/>
        <v>Modulation quality TM3.1PORT13TM3.1</v>
      </c>
      <c r="B274" t="s">
        <v>179</v>
      </c>
      <c r="C274" t="s">
        <v>272</v>
      </c>
      <c r="D274">
        <v>8</v>
      </c>
      <c r="F274">
        <v>1.7</v>
      </c>
      <c r="G274">
        <v>8</v>
      </c>
      <c r="H274" t="s">
        <v>100</v>
      </c>
      <c r="I274" s="70">
        <v>0.2850462962962963</v>
      </c>
      <c r="J274" t="s">
        <v>237</v>
      </c>
    </row>
    <row r="275" spans="1:10" x14ac:dyDescent="0.3">
      <c r="A275" t="str">
        <f t="shared" si="4"/>
        <v>Modulation quality TM3.1PORT14TM3.1</v>
      </c>
      <c r="B275" t="s">
        <v>180</v>
      </c>
      <c r="C275" t="s">
        <v>272</v>
      </c>
      <c r="D275">
        <v>8</v>
      </c>
      <c r="F275">
        <v>1.8</v>
      </c>
      <c r="G275">
        <v>8</v>
      </c>
      <c r="H275" t="s">
        <v>100</v>
      </c>
      <c r="I275" s="70">
        <v>0.28521990740740738</v>
      </c>
      <c r="J275" t="s">
        <v>237</v>
      </c>
    </row>
    <row r="276" spans="1:10" x14ac:dyDescent="0.3">
      <c r="A276" t="str">
        <f t="shared" si="4"/>
        <v>Modulation quality TM3.1PORT15TM3.1</v>
      </c>
      <c r="B276" t="s">
        <v>181</v>
      </c>
      <c r="C276" t="s">
        <v>272</v>
      </c>
      <c r="D276">
        <v>8</v>
      </c>
      <c r="F276">
        <v>1.7</v>
      </c>
      <c r="G276">
        <v>8</v>
      </c>
      <c r="H276" t="s">
        <v>100</v>
      </c>
      <c r="I276" s="70">
        <v>0.28539351851851852</v>
      </c>
      <c r="J276" t="s">
        <v>237</v>
      </c>
    </row>
    <row r="277" spans="1:10" x14ac:dyDescent="0.3">
      <c r="A277" t="str">
        <f t="shared" si="4"/>
        <v>Modulation quality TM3.1PORT16TM3.1</v>
      </c>
      <c r="B277" t="s">
        <v>182</v>
      </c>
      <c r="C277" t="s">
        <v>272</v>
      </c>
      <c r="D277">
        <v>8</v>
      </c>
      <c r="F277">
        <v>1.7</v>
      </c>
      <c r="G277">
        <v>8</v>
      </c>
      <c r="H277" t="s">
        <v>100</v>
      </c>
      <c r="I277" s="70">
        <v>0.28556712962962966</v>
      </c>
      <c r="J277" t="s">
        <v>237</v>
      </c>
    </row>
    <row r="278" spans="1:10" x14ac:dyDescent="0.3">
      <c r="A278" t="str">
        <f t="shared" si="4"/>
        <v>Modulation quality TM3.1PORT17TM3.1</v>
      </c>
      <c r="B278" t="s">
        <v>183</v>
      </c>
      <c r="C278" t="s">
        <v>272</v>
      </c>
      <c r="D278">
        <v>8</v>
      </c>
      <c r="F278">
        <v>1.7</v>
      </c>
      <c r="G278">
        <v>8</v>
      </c>
      <c r="H278" t="s">
        <v>100</v>
      </c>
      <c r="I278" s="70">
        <v>0.28574074074074074</v>
      </c>
      <c r="J278" t="s">
        <v>237</v>
      </c>
    </row>
    <row r="279" spans="1:10" x14ac:dyDescent="0.3">
      <c r="A279" t="str">
        <f t="shared" si="4"/>
        <v>Modulation quality TM3.1PORT18TM3.1</v>
      </c>
      <c r="B279" t="s">
        <v>184</v>
      </c>
      <c r="C279" t="s">
        <v>272</v>
      </c>
      <c r="D279">
        <v>8</v>
      </c>
      <c r="F279">
        <v>1.7</v>
      </c>
      <c r="G279">
        <v>8</v>
      </c>
      <c r="H279" t="s">
        <v>100</v>
      </c>
      <c r="I279" s="70">
        <v>0.28591435185185182</v>
      </c>
      <c r="J279" t="s">
        <v>237</v>
      </c>
    </row>
    <row r="280" spans="1:10" x14ac:dyDescent="0.3">
      <c r="A280" t="str">
        <f t="shared" si="4"/>
        <v>Modulation quality TM3.1PORT19TM3.1</v>
      </c>
      <c r="B280" t="s">
        <v>185</v>
      </c>
      <c r="C280" t="s">
        <v>272</v>
      </c>
      <c r="D280">
        <v>8</v>
      </c>
      <c r="F280">
        <v>1.6</v>
      </c>
      <c r="G280">
        <v>8</v>
      </c>
      <c r="H280" t="s">
        <v>100</v>
      </c>
      <c r="I280" s="70">
        <v>0.28608796296296296</v>
      </c>
      <c r="J280" t="s">
        <v>237</v>
      </c>
    </row>
    <row r="281" spans="1:10" x14ac:dyDescent="0.3">
      <c r="A281" t="str">
        <f t="shared" si="4"/>
        <v>Modulation quality TM3.1PORT20TM3.1</v>
      </c>
      <c r="B281" t="s">
        <v>186</v>
      </c>
      <c r="C281" t="s">
        <v>272</v>
      </c>
      <c r="D281">
        <v>8</v>
      </c>
      <c r="F281">
        <v>1.7</v>
      </c>
      <c r="G281">
        <v>8</v>
      </c>
      <c r="H281" t="s">
        <v>100</v>
      </c>
      <c r="I281" s="70">
        <v>0.2862615740740741</v>
      </c>
      <c r="J281" t="s">
        <v>237</v>
      </c>
    </row>
    <row r="282" spans="1:10" x14ac:dyDescent="0.3">
      <c r="A282" t="str">
        <f t="shared" si="4"/>
        <v>Modulation quality TM3.1PORT21TM3.1</v>
      </c>
      <c r="B282" t="s">
        <v>187</v>
      </c>
      <c r="C282" t="s">
        <v>272</v>
      </c>
      <c r="D282">
        <v>8</v>
      </c>
      <c r="F282">
        <v>1.7</v>
      </c>
      <c r="G282">
        <v>8</v>
      </c>
      <c r="H282" t="s">
        <v>100</v>
      </c>
      <c r="I282" s="70">
        <v>0.28643518518518518</v>
      </c>
      <c r="J282" t="s">
        <v>237</v>
      </c>
    </row>
    <row r="283" spans="1:10" x14ac:dyDescent="0.3">
      <c r="A283" t="str">
        <f t="shared" si="4"/>
        <v>Modulation quality TM3.1PORT22TM3.1</v>
      </c>
      <c r="B283" t="s">
        <v>188</v>
      </c>
      <c r="C283" t="s">
        <v>272</v>
      </c>
      <c r="D283">
        <v>8</v>
      </c>
      <c r="F283">
        <v>1.7</v>
      </c>
      <c r="G283">
        <v>8</v>
      </c>
      <c r="H283" t="s">
        <v>100</v>
      </c>
      <c r="I283" s="70">
        <v>0.28660879629629626</v>
      </c>
      <c r="J283" t="s">
        <v>237</v>
      </c>
    </row>
    <row r="284" spans="1:10" x14ac:dyDescent="0.3">
      <c r="A284" t="str">
        <f t="shared" si="4"/>
        <v>Modulation quality TM3.1PORT23TM3.1</v>
      </c>
      <c r="B284" t="s">
        <v>189</v>
      </c>
      <c r="C284" t="s">
        <v>272</v>
      </c>
      <c r="D284">
        <v>8</v>
      </c>
      <c r="F284">
        <v>1.7</v>
      </c>
      <c r="G284">
        <v>8</v>
      </c>
      <c r="H284" t="s">
        <v>100</v>
      </c>
      <c r="I284" s="70">
        <v>0.2867824074074074</v>
      </c>
      <c r="J284" t="s">
        <v>237</v>
      </c>
    </row>
    <row r="285" spans="1:10" x14ac:dyDescent="0.3">
      <c r="A285" t="str">
        <f t="shared" si="4"/>
        <v>Modulation quality TM3.1PORT24TM3.1</v>
      </c>
      <c r="B285" t="s">
        <v>190</v>
      </c>
      <c r="C285" t="s">
        <v>272</v>
      </c>
      <c r="D285">
        <v>8</v>
      </c>
      <c r="F285">
        <v>1.7</v>
      </c>
      <c r="G285">
        <v>8</v>
      </c>
      <c r="H285" t="s">
        <v>100</v>
      </c>
      <c r="I285" s="70">
        <v>0.28695601851851854</v>
      </c>
      <c r="J285" t="s">
        <v>237</v>
      </c>
    </row>
    <row r="286" spans="1:10" x14ac:dyDescent="0.3">
      <c r="A286" t="str">
        <f t="shared" si="4"/>
        <v>Modulation quality TM3.1PORT25TM3.1</v>
      </c>
      <c r="B286" t="s">
        <v>191</v>
      </c>
      <c r="C286" t="s">
        <v>272</v>
      </c>
      <c r="D286">
        <v>8</v>
      </c>
      <c r="F286">
        <v>1.7</v>
      </c>
      <c r="G286">
        <v>8</v>
      </c>
      <c r="H286" t="s">
        <v>100</v>
      </c>
      <c r="I286" s="70">
        <v>0.28712962962962962</v>
      </c>
      <c r="J286" t="s">
        <v>237</v>
      </c>
    </row>
    <row r="287" spans="1:10" x14ac:dyDescent="0.3">
      <c r="A287" t="str">
        <f t="shared" si="4"/>
        <v>Modulation quality TM3.1PORT26TM3.1</v>
      </c>
      <c r="B287" t="s">
        <v>192</v>
      </c>
      <c r="C287" t="s">
        <v>272</v>
      </c>
      <c r="D287">
        <v>8</v>
      </c>
      <c r="F287">
        <v>1.8</v>
      </c>
      <c r="G287">
        <v>8</v>
      </c>
      <c r="H287" t="s">
        <v>100</v>
      </c>
      <c r="I287" s="70">
        <v>0.28730324074074076</v>
      </c>
      <c r="J287" t="s">
        <v>237</v>
      </c>
    </row>
    <row r="288" spans="1:10" x14ac:dyDescent="0.3">
      <c r="A288" t="str">
        <f t="shared" si="4"/>
        <v>Modulation quality TM3.1PORT27TM3.1</v>
      </c>
      <c r="B288" t="s">
        <v>193</v>
      </c>
      <c r="C288" t="s">
        <v>272</v>
      </c>
      <c r="D288">
        <v>8</v>
      </c>
      <c r="F288">
        <v>1.7</v>
      </c>
      <c r="G288">
        <v>8</v>
      </c>
      <c r="H288" t="s">
        <v>100</v>
      </c>
      <c r="I288" s="70">
        <v>0.28747685185185184</v>
      </c>
      <c r="J288" t="s">
        <v>237</v>
      </c>
    </row>
    <row r="289" spans="1:10" x14ac:dyDescent="0.3">
      <c r="A289" t="str">
        <f t="shared" si="4"/>
        <v>Modulation quality TM3.1PORT28TM3.1</v>
      </c>
      <c r="B289" t="s">
        <v>194</v>
      </c>
      <c r="C289" t="s">
        <v>272</v>
      </c>
      <c r="D289">
        <v>8</v>
      </c>
      <c r="F289">
        <v>1.7</v>
      </c>
      <c r="G289">
        <v>8</v>
      </c>
      <c r="H289" t="s">
        <v>100</v>
      </c>
      <c r="I289" s="70">
        <v>0.28765046296296298</v>
      </c>
      <c r="J289" t="s">
        <v>237</v>
      </c>
    </row>
    <row r="290" spans="1:10" x14ac:dyDescent="0.3">
      <c r="A290" t="str">
        <f t="shared" si="4"/>
        <v>Modulation quality TM3.1PORT29TM3.1</v>
      </c>
      <c r="B290" t="s">
        <v>195</v>
      </c>
      <c r="C290" t="s">
        <v>272</v>
      </c>
      <c r="D290">
        <v>8</v>
      </c>
      <c r="F290">
        <v>1.7</v>
      </c>
      <c r="G290">
        <v>8</v>
      </c>
      <c r="H290" t="s">
        <v>100</v>
      </c>
      <c r="I290" s="70">
        <v>0.28782407407407407</v>
      </c>
      <c r="J290" t="s">
        <v>237</v>
      </c>
    </row>
    <row r="291" spans="1:10" x14ac:dyDescent="0.3">
      <c r="A291" t="str">
        <f t="shared" si="4"/>
        <v>Modulation quality TM3.1PORT30TM3.1</v>
      </c>
      <c r="B291" t="s">
        <v>196</v>
      </c>
      <c r="C291" t="s">
        <v>272</v>
      </c>
      <c r="D291">
        <v>8</v>
      </c>
      <c r="F291">
        <v>1.8</v>
      </c>
      <c r="G291">
        <v>8</v>
      </c>
      <c r="H291" t="s">
        <v>100</v>
      </c>
      <c r="I291" s="70">
        <v>0.28799768518518515</v>
      </c>
      <c r="J291" t="s">
        <v>237</v>
      </c>
    </row>
    <row r="292" spans="1:10" x14ac:dyDescent="0.3">
      <c r="A292" t="str">
        <f t="shared" si="4"/>
        <v>Modulation quality TM3.1PORT31TM3.1</v>
      </c>
      <c r="B292" t="s">
        <v>197</v>
      </c>
      <c r="C292" t="s">
        <v>272</v>
      </c>
      <c r="D292">
        <v>8</v>
      </c>
      <c r="F292">
        <v>1.7</v>
      </c>
      <c r="G292">
        <v>8</v>
      </c>
      <c r="H292" t="s">
        <v>100</v>
      </c>
      <c r="I292" s="70">
        <v>0.28817129629629629</v>
      </c>
      <c r="J292" t="s">
        <v>237</v>
      </c>
    </row>
    <row r="293" spans="1:10" x14ac:dyDescent="0.3">
      <c r="A293" t="str">
        <f t="shared" si="4"/>
        <v>Modulation quality TM3.1PORT32TM3.1</v>
      </c>
      <c r="B293" t="s">
        <v>198</v>
      </c>
      <c r="C293" t="s">
        <v>272</v>
      </c>
      <c r="D293">
        <v>8</v>
      </c>
      <c r="F293">
        <v>1.7</v>
      </c>
      <c r="G293">
        <v>8</v>
      </c>
      <c r="H293" t="s">
        <v>100</v>
      </c>
      <c r="I293" s="70">
        <v>0.28834490740740742</v>
      </c>
      <c r="J293" t="s">
        <v>237</v>
      </c>
    </row>
    <row r="294" spans="1:10" x14ac:dyDescent="0.3">
      <c r="A294" t="str">
        <f t="shared" si="4"/>
        <v>Modulation quality TM3.1aPORT1TM3.1a</v>
      </c>
      <c r="B294" t="s">
        <v>57</v>
      </c>
      <c r="C294" t="s">
        <v>275</v>
      </c>
      <c r="D294">
        <v>3.5</v>
      </c>
      <c r="F294">
        <v>1.7</v>
      </c>
      <c r="G294">
        <v>3.5</v>
      </c>
      <c r="H294" t="s">
        <v>246</v>
      </c>
      <c r="I294" s="70">
        <v>0.28895833333333337</v>
      </c>
      <c r="J294" t="s">
        <v>237</v>
      </c>
    </row>
    <row r="295" spans="1:10" x14ac:dyDescent="0.3">
      <c r="A295" t="str">
        <f t="shared" si="4"/>
        <v>Modulation quality TM3.1aPORT2TM3.1a</v>
      </c>
      <c r="B295" t="s">
        <v>59</v>
      </c>
      <c r="C295" t="s">
        <v>275</v>
      </c>
      <c r="D295">
        <v>3.5</v>
      </c>
      <c r="F295">
        <v>1.7</v>
      </c>
      <c r="G295">
        <v>3.5</v>
      </c>
      <c r="H295" t="s">
        <v>246</v>
      </c>
      <c r="I295" s="70">
        <v>0.28913194444444446</v>
      </c>
      <c r="J295" t="s">
        <v>237</v>
      </c>
    </row>
    <row r="296" spans="1:10" x14ac:dyDescent="0.3">
      <c r="A296" t="str">
        <f t="shared" si="4"/>
        <v>Modulation quality TM3.1aPORT3TM3.1a</v>
      </c>
      <c r="B296" t="s">
        <v>60</v>
      </c>
      <c r="C296" t="s">
        <v>275</v>
      </c>
      <c r="D296">
        <v>3.5</v>
      </c>
      <c r="F296">
        <v>1.6</v>
      </c>
      <c r="G296">
        <v>3.5</v>
      </c>
      <c r="H296" t="s">
        <v>246</v>
      </c>
      <c r="I296" s="70">
        <v>0.28930555555555554</v>
      </c>
      <c r="J296" t="s">
        <v>237</v>
      </c>
    </row>
    <row r="297" spans="1:10" x14ac:dyDescent="0.3">
      <c r="A297" t="str">
        <f t="shared" si="4"/>
        <v>Modulation quality TM3.1aPORT4TM3.1a</v>
      </c>
      <c r="B297" t="s">
        <v>61</v>
      </c>
      <c r="C297" t="s">
        <v>275</v>
      </c>
      <c r="D297">
        <v>3.5</v>
      </c>
      <c r="F297">
        <v>1.6</v>
      </c>
      <c r="G297">
        <v>3.5</v>
      </c>
      <c r="H297" t="s">
        <v>246</v>
      </c>
      <c r="I297" s="70">
        <v>0.28947916666666668</v>
      </c>
      <c r="J297" t="s">
        <v>237</v>
      </c>
    </row>
    <row r="298" spans="1:10" x14ac:dyDescent="0.3">
      <c r="A298" t="str">
        <f t="shared" si="4"/>
        <v>Modulation quality TM3.1aPORT5TM3.1a</v>
      </c>
      <c r="B298" t="s">
        <v>62</v>
      </c>
      <c r="C298" t="s">
        <v>275</v>
      </c>
      <c r="D298">
        <v>3.5</v>
      </c>
      <c r="F298">
        <v>1.7</v>
      </c>
      <c r="G298">
        <v>3.5</v>
      </c>
      <c r="H298" t="s">
        <v>246</v>
      </c>
      <c r="I298" s="70">
        <v>0.28965277777777776</v>
      </c>
      <c r="J298" t="s">
        <v>237</v>
      </c>
    </row>
    <row r="299" spans="1:10" x14ac:dyDescent="0.3">
      <c r="A299" t="str">
        <f t="shared" si="4"/>
        <v>Modulation quality TM3.1aPORT6TM3.1a</v>
      </c>
      <c r="B299" t="s">
        <v>63</v>
      </c>
      <c r="C299" t="s">
        <v>275</v>
      </c>
      <c r="D299">
        <v>3.5</v>
      </c>
      <c r="F299">
        <v>1.8</v>
      </c>
      <c r="G299">
        <v>3.5</v>
      </c>
      <c r="H299" t="s">
        <v>246</v>
      </c>
      <c r="I299" s="70">
        <v>0.2898263888888889</v>
      </c>
      <c r="J299" t="s">
        <v>237</v>
      </c>
    </row>
    <row r="300" spans="1:10" x14ac:dyDescent="0.3">
      <c r="A300" t="str">
        <f t="shared" si="4"/>
        <v>Modulation quality TM3.1aPORT7TM3.1a</v>
      </c>
      <c r="B300" t="s">
        <v>64</v>
      </c>
      <c r="C300" t="s">
        <v>275</v>
      </c>
      <c r="D300">
        <v>3.5</v>
      </c>
      <c r="F300">
        <v>1.6</v>
      </c>
      <c r="G300">
        <v>3.5</v>
      </c>
      <c r="H300" t="s">
        <v>246</v>
      </c>
      <c r="I300" s="70">
        <v>0.28999999999999998</v>
      </c>
      <c r="J300" t="s">
        <v>237</v>
      </c>
    </row>
    <row r="301" spans="1:10" x14ac:dyDescent="0.3">
      <c r="A301" t="str">
        <f t="shared" si="4"/>
        <v>Modulation quality TM3.1aPORT8TM3.1a</v>
      </c>
      <c r="B301" t="s">
        <v>65</v>
      </c>
      <c r="C301" t="s">
        <v>275</v>
      </c>
      <c r="D301">
        <v>3.5</v>
      </c>
      <c r="F301">
        <v>1.7</v>
      </c>
      <c r="G301">
        <v>3.5</v>
      </c>
      <c r="H301" t="s">
        <v>246</v>
      </c>
      <c r="I301" s="70">
        <v>0.29017361111111112</v>
      </c>
      <c r="J301" t="s">
        <v>237</v>
      </c>
    </row>
    <row r="302" spans="1:10" x14ac:dyDescent="0.3">
      <c r="A302" t="str">
        <f t="shared" si="4"/>
        <v>Modulation quality TM3.1aPORT9TM3.1a</v>
      </c>
      <c r="B302" t="s">
        <v>175</v>
      </c>
      <c r="C302" t="s">
        <v>275</v>
      </c>
      <c r="D302">
        <v>3.5</v>
      </c>
      <c r="F302">
        <v>1.6</v>
      </c>
      <c r="G302">
        <v>3.5</v>
      </c>
      <c r="H302" t="s">
        <v>246</v>
      </c>
      <c r="I302" s="70">
        <v>0.29034722222222226</v>
      </c>
      <c r="J302" t="s">
        <v>237</v>
      </c>
    </row>
    <row r="303" spans="1:10" x14ac:dyDescent="0.3">
      <c r="A303" t="str">
        <f t="shared" si="4"/>
        <v>Modulation quality TM3.1aPORT10TM3.1a</v>
      </c>
      <c r="B303" t="s">
        <v>176</v>
      </c>
      <c r="C303" t="s">
        <v>275</v>
      </c>
      <c r="D303">
        <v>3.5</v>
      </c>
      <c r="F303">
        <v>1.8</v>
      </c>
      <c r="G303">
        <v>3.5</v>
      </c>
      <c r="H303" t="s">
        <v>246</v>
      </c>
      <c r="I303" s="70">
        <v>0.29052083333333334</v>
      </c>
      <c r="J303" t="s">
        <v>237</v>
      </c>
    </row>
    <row r="304" spans="1:10" x14ac:dyDescent="0.3">
      <c r="A304" t="str">
        <f t="shared" si="4"/>
        <v>Modulation quality TM3.1aPORT11TM3.1a</v>
      </c>
      <c r="B304" t="s">
        <v>177</v>
      </c>
      <c r="C304" t="s">
        <v>275</v>
      </c>
      <c r="D304">
        <v>3.5</v>
      </c>
      <c r="F304">
        <v>1.7</v>
      </c>
      <c r="G304">
        <v>3.5</v>
      </c>
      <c r="H304" t="s">
        <v>246</v>
      </c>
      <c r="I304" s="70">
        <v>0.29069444444444442</v>
      </c>
      <c r="J304" t="s">
        <v>237</v>
      </c>
    </row>
    <row r="305" spans="1:10" x14ac:dyDescent="0.3">
      <c r="A305" t="str">
        <f t="shared" si="4"/>
        <v>Modulation quality TM3.1aPORT12TM3.1a</v>
      </c>
      <c r="B305" t="s">
        <v>178</v>
      </c>
      <c r="C305" t="s">
        <v>275</v>
      </c>
      <c r="D305">
        <v>3.5</v>
      </c>
      <c r="F305">
        <v>1.7</v>
      </c>
      <c r="G305">
        <v>3.5</v>
      </c>
      <c r="H305" t="s">
        <v>246</v>
      </c>
      <c r="I305" s="70">
        <v>0.29086805555555556</v>
      </c>
      <c r="J305" t="s">
        <v>237</v>
      </c>
    </row>
    <row r="306" spans="1:10" x14ac:dyDescent="0.3">
      <c r="A306" t="str">
        <f t="shared" si="4"/>
        <v>Modulation quality TM3.1aPORT13TM3.1a</v>
      </c>
      <c r="B306" t="s">
        <v>179</v>
      </c>
      <c r="C306" t="s">
        <v>275</v>
      </c>
      <c r="D306">
        <v>3.5</v>
      </c>
      <c r="F306">
        <v>1.7</v>
      </c>
      <c r="G306">
        <v>3.5</v>
      </c>
      <c r="H306" t="s">
        <v>246</v>
      </c>
      <c r="I306" s="70">
        <v>0.2910300925925926</v>
      </c>
      <c r="J306" t="s">
        <v>237</v>
      </c>
    </row>
    <row r="307" spans="1:10" x14ac:dyDescent="0.3">
      <c r="A307" t="str">
        <f t="shared" si="4"/>
        <v>Modulation quality TM3.1aPORT14TM3.1a</v>
      </c>
      <c r="B307" t="s">
        <v>180</v>
      </c>
      <c r="C307" t="s">
        <v>275</v>
      </c>
      <c r="D307">
        <v>3.5</v>
      </c>
      <c r="F307">
        <v>1.8</v>
      </c>
      <c r="G307">
        <v>3.5</v>
      </c>
      <c r="H307" t="s">
        <v>246</v>
      </c>
      <c r="I307" s="70">
        <v>0.29121527777777778</v>
      </c>
      <c r="J307" t="s">
        <v>237</v>
      </c>
    </row>
    <row r="308" spans="1:10" x14ac:dyDescent="0.3">
      <c r="A308" t="str">
        <f t="shared" si="4"/>
        <v>Modulation quality TM3.1aPORT15TM3.1a</v>
      </c>
      <c r="B308" t="s">
        <v>181</v>
      </c>
      <c r="C308" t="s">
        <v>275</v>
      </c>
      <c r="D308">
        <v>3.5</v>
      </c>
      <c r="F308">
        <v>1.6</v>
      </c>
      <c r="G308">
        <v>3.5</v>
      </c>
      <c r="H308" t="s">
        <v>246</v>
      </c>
      <c r="I308" s="70">
        <v>0.29138888888888886</v>
      </c>
      <c r="J308" t="s">
        <v>237</v>
      </c>
    </row>
    <row r="309" spans="1:10" x14ac:dyDescent="0.3">
      <c r="A309" t="str">
        <f t="shared" si="4"/>
        <v>Modulation quality TM3.1aPORT16TM3.1a</v>
      </c>
      <c r="B309" t="s">
        <v>182</v>
      </c>
      <c r="C309" t="s">
        <v>275</v>
      </c>
      <c r="D309">
        <v>3.5</v>
      </c>
      <c r="F309">
        <v>1.6</v>
      </c>
      <c r="G309">
        <v>3.5</v>
      </c>
      <c r="H309" t="s">
        <v>246</v>
      </c>
      <c r="I309" s="70">
        <v>0.2915625</v>
      </c>
      <c r="J309" t="s">
        <v>237</v>
      </c>
    </row>
    <row r="310" spans="1:10" x14ac:dyDescent="0.3">
      <c r="A310" t="str">
        <f t="shared" si="4"/>
        <v>Modulation quality TM3.1aPORT17TM3.1a</v>
      </c>
      <c r="B310" t="s">
        <v>183</v>
      </c>
      <c r="C310" t="s">
        <v>275</v>
      </c>
      <c r="D310">
        <v>3.5</v>
      </c>
      <c r="F310">
        <v>1.7</v>
      </c>
      <c r="G310">
        <v>3.5</v>
      </c>
      <c r="H310" t="s">
        <v>246</v>
      </c>
      <c r="I310" s="70">
        <v>0.29172453703703705</v>
      </c>
      <c r="J310" t="s">
        <v>237</v>
      </c>
    </row>
    <row r="311" spans="1:10" x14ac:dyDescent="0.3">
      <c r="A311" t="str">
        <f t="shared" si="4"/>
        <v>Modulation quality TM3.1aPORT18TM3.1a</v>
      </c>
      <c r="B311" t="s">
        <v>184</v>
      </c>
      <c r="C311" t="s">
        <v>275</v>
      </c>
      <c r="D311">
        <v>3.5</v>
      </c>
      <c r="F311">
        <v>1.7</v>
      </c>
      <c r="G311">
        <v>3.5</v>
      </c>
      <c r="H311" t="s">
        <v>246</v>
      </c>
      <c r="I311" s="70">
        <v>0.29189814814814813</v>
      </c>
      <c r="J311" t="s">
        <v>237</v>
      </c>
    </row>
    <row r="312" spans="1:10" x14ac:dyDescent="0.3">
      <c r="A312" t="str">
        <f t="shared" si="4"/>
        <v>Modulation quality TM3.1aPORT19TM3.1a</v>
      </c>
      <c r="B312" t="s">
        <v>185</v>
      </c>
      <c r="C312" t="s">
        <v>275</v>
      </c>
      <c r="D312">
        <v>3.5</v>
      </c>
      <c r="F312">
        <v>1.7</v>
      </c>
      <c r="G312">
        <v>3.5</v>
      </c>
      <c r="H312" t="s">
        <v>246</v>
      </c>
      <c r="I312" s="70">
        <v>0.29207175925925927</v>
      </c>
      <c r="J312" t="s">
        <v>237</v>
      </c>
    </row>
    <row r="313" spans="1:10" x14ac:dyDescent="0.3">
      <c r="A313" t="str">
        <f t="shared" si="4"/>
        <v>Modulation quality TM3.1aPORT20TM3.1a</v>
      </c>
      <c r="B313" t="s">
        <v>186</v>
      </c>
      <c r="C313" t="s">
        <v>275</v>
      </c>
      <c r="D313">
        <v>3.5</v>
      </c>
      <c r="F313">
        <v>1.7</v>
      </c>
      <c r="G313">
        <v>3.5</v>
      </c>
      <c r="H313" t="s">
        <v>246</v>
      </c>
      <c r="I313" s="70">
        <v>0.29224537037037041</v>
      </c>
      <c r="J313" t="s">
        <v>237</v>
      </c>
    </row>
    <row r="314" spans="1:10" x14ac:dyDescent="0.3">
      <c r="A314" t="str">
        <f t="shared" si="4"/>
        <v>Modulation quality TM3.1aPORT21TM3.1a</v>
      </c>
      <c r="B314" t="s">
        <v>187</v>
      </c>
      <c r="C314" t="s">
        <v>275</v>
      </c>
      <c r="D314">
        <v>3.5</v>
      </c>
      <c r="F314">
        <v>1.7</v>
      </c>
      <c r="G314">
        <v>3.5</v>
      </c>
      <c r="H314" t="s">
        <v>246</v>
      </c>
      <c r="I314" s="70">
        <v>0.29241898148148149</v>
      </c>
      <c r="J314" t="s">
        <v>237</v>
      </c>
    </row>
    <row r="315" spans="1:10" x14ac:dyDescent="0.3">
      <c r="A315" t="str">
        <f t="shared" si="4"/>
        <v>Modulation quality TM3.1aPORT22TM3.1a</v>
      </c>
      <c r="B315" t="s">
        <v>188</v>
      </c>
      <c r="C315" t="s">
        <v>275</v>
      </c>
      <c r="D315">
        <v>3.5</v>
      </c>
      <c r="F315">
        <v>1.7</v>
      </c>
      <c r="G315">
        <v>3.5</v>
      </c>
      <c r="H315" t="s">
        <v>246</v>
      </c>
      <c r="I315" s="70">
        <v>0.29259259259259257</v>
      </c>
      <c r="J315" t="s">
        <v>237</v>
      </c>
    </row>
    <row r="316" spans="1:10" x14ac:dyDescent="0.3">
      <c r="A316" t="str">
        <f t="shared" si="4"/>
        <v>Modulation quality TM3.1aPORT23TM3.1a</v>
      </c>
      <c r="B316" t="s">
        <v>189</v>
      </c>
      <c r="C316" t="s">
        <v>275</v>
      </c>
      <c r="D316">
        <v>3.5</v>
      </c>
      <c r="F316">
        <v>1.6</v>
      </c>
      <c r="G316">
        <v>3.5</v>
      </c>
      <c r="H316" t="s">
        <v>246</v>
      </c>
      <c r="I316" s="70">
        <v>0.29276620370370371</v>
      </c>
      <c r="J316" t="s">
        <v>237</v>
      </c>
    </row>
    <row r="317" spans="1:10" x14ac:dyDescent="0.3">
      <c r="A317" t="str">
        <f t="shared" si="4"/>
        <v>Modulation quality TM3.1aPORT24TM3.1a</v>
      </c>
      <c r="B317" t="s">
        <v>190</v>
      </c>
      <c r="C317" t="s">
        <v>275</v>
      </c>
      <c r="D317">
        <v>3.5</v>
      </c>
      <c r="F317">
        <v>1.6</v>
      </c>
      <c r="G317">
        <v>3.5</v>
      </c>
      <c r="H317" t="s">
        <v>246</v>
      </c>
      <c r="I317" s="70">
        <v>0.29293981481481485</v>
      </c>
      <c r="J317" t="s">
        <v>237</v>
      </c>
    </row>
    <row r="318" spans="1:10" x14ac:dyDescent="0.3">
      <c r="A318" t="str">
        <f t="shared" si="4"/>
        <v>Modulation quality TM3.1aPORT25TM3.1a</v>
      </c>
      <c r="B318" t="s">
        <v>191</v>
      </c>
      <c r="C318" t="s">
        <v>275</v>
      </c>
      <c r="D318">
        <v>3.5</v>
      </c>
      <c r="F318">
        <v>1.6</v>
      </c>
      <c r="G318">
        <v>3.5</v>
      </c>
      <c r="H318" t="s">
        <v>246</v>
      </c>
      <c r="I318" s="70">
        <v>0.29311342592592593</v>
      </c>
      <c r="J318" t="s">
        <v>237</v>
      </c>
    </row>
    <row r="319" spans="1:10" x14ac:dyDescent="0.3">
      <c r="A319" t="str">
        <f t="shared" si="4"/>
        <v>Modulation quality TM3.1aPORT26TM3.1a</v>
      </c>
      <c r="B319" t="s">
        <v>192</v>
      </c>
      <c r="C319" t="s">
        <v>275</v>
      </c>
      <c r="D319">
        <v>3.5</v>
      </c>
      <c r="F319">
        <v>1.7</v>
      </c>
      <c r="G319">
        <v>3.5</v>
      </c>
      <c r="H319" t="s">
        <v>246</v>
      </c>
      <c r="I319" s="70">
        <v>0.29328703703703701</v>
      </c>
      <c r="J319" t="s">
        <v>237</v>
      </c>
    </row>
    <row r="320" spans="1:10" x14ac:dyDescent="0.3">
      <c r="A320" t="str">
        <f t="shared" si="4"/>
        <v>Modulation quality TM3.1aPORT27TM3.1a</v>
      </c>
      <c r="B320" t="s">
        <v>193</v>
      </c>
      <c r="C320" t="s">
        <v>275</v>
      </c>
      <c r="D320">
        <v>3.5</v>
      </c>
      <c r="F320">
        <v>1.6</v>
      </c>
      <c r="G320">
        <v>3.5</v>
      </c>
      <c r="H320" t="s">
        <v>246</v>
      </c>
      <c r="I320" s="70">
        <v>0.29346064814814815</v>
      </c>
      <c r="J320" t="s">
        <v>237</v>
      </c>
    </row>
    <row r="321" spans="1:10" x14ac:dyDescent="0.3">
      <c r="A321" t="str">
        <f t="shared" si="4"/>
        <v>Modulation quality TM3.1aPORT28TM3.1a</v>
      </c>
      <c r="B321" t="s">
        <v>194</v>
      </c>
      <c r="C321" t="s">
        <v>275</v>
      </c>
      <c r="D321">
        <v>3.5</v>
      </c>
      <c r="F321">
        <v>1.7</v>
      </c>
      <c r="G321">
        <v>3.5</v>
      </c>
      <c r="H321" t="s">
        <v>246</v>
      </c>
      <c r="I321" s="70">
        <v>0.29363425925925929</v>
      </c>
      <c r="J321" t="s">
        <v>237</v>
      </c>
    </row>
    <row r="322" spans="1:10" x14ac:dyDescent="0.3">
      <c r="A322" t="str">
        <f t="shared" si="4"/>
        <v>Modulation quality TM3.1aPORT29TM3.1a</v>
      </c>
      <c r="B322" t="s">
        <v>195</v>
      </c>
      <c r="C322" t="s">
        <v>275</v>
      </c>
      <c r="D322">
        <v>3.5</v>
      </c>
      <c r="F322">
        <v>1.7</v>
      </c>
      <c r="G322">
        <v>3.5</v>
      </c>
      <c r="H322" t="s">
        <v>246</v>
      </c>
      <c r="I322" s="70">
        <v>0.29380787037037037</v>
      </c>
      <c r="J322" t="s">
        <v>237</v>
      </c>
    </row>
    <row r="323" spans="1:10" x14ac:dyDescent="0.3">
      <c r="A323" t="str">
        <f t="shared" ref="A323:A386" si="5">C323&amp;B323&amp;H323</f>
        <v>Modulation quality TM3.1aPORT30TM3.1a</v>
      </c>
      <c r="B323" t="s">
        <v>196</v>
      </c>
      <c r="C323" t="s">
        <v>275</v>
      </c>
      <c r="D323">
        <v>3.5</v>
      </c>
      <c r="F323">
        <v>1.7</v>
      </c>
      <c r="G323">
        <v>3.5</v>
      </c>
      <c r="H323" t="s">
        <v>246</v>
      </c>
      <c r="I323" s="70">
        <v>0.29398148148148145</v>
      </c>
      <c r="J323" t="s">
        <v>237</v>
      </c>
    </row>
    <row r="324" spans="1:10" x14ac:dyDescent="0.3">
      <c r="A324" t="str">
        <f t="shared" si="5"/>
        <v>Modulation quality TM3.1aPORT31TM3.1a</v>
      </c>
      <c r="B324" t="s">
        <v>197</v>
      </c>
      <c r="C324" t="s">
        <v>275</v>
      </c>
      <c r="D324">
        <v>3.5</v>
      </c>
      <c r="F324">
        <v>1.6</v>
      </c>
      <c r="G324">
        <v>3.5</v>
      </c>
      <c r="H324" t="s">
        <v>246</v>
      </c>
      <c r="I324" s="70">
        <v>0.29415509259259259</v>
      </c>
      <c r="J324" t="s">
        <v>237</v>
      </c>
    </row>
    <row r="325" spans="1:10" x14ac:dyDescent="0.3">
      <c r="A325" t="str">
        <f t="shared" si="5"/>
        <v>Modulation quality TM3.1aPORT32TM3.1a</v>
      </c>
      <c r="B325" t="s">
        <v>198</v>
      </c>
      <c r="C325" t="s">
        <v>275</v>
      </c>
      <c r="D325">
        <v>3.5</v>
      </c>
      <c r="F325">
        <v>1.7</v>
      </c>
      <c r="G325">
        <v>3.5</v>
      </c>
      <c r="H325" t="s">
        <v>246</v>
      </c>
      <c r="I325" s="70">
        <v>0.29432870370370373</v>
      </c>
      <c r="J325" t="s">
        <v>237</v>
      </c>
    </row>
    <row r="326" spans="1:10" hidden="1" x14ac:dyDescent="0.3">
      <c r="A326" t="str">
        <f t="shared" si="5"/>
        <v>Modulation quality TM3.2PORT1TM3.2</v>
      </c>
      <c r="B326" t="s">
        <v>57</v>
      </c>
      <c r="C326" t="s">
        <v>273</v>
      </c>
      <c r="D326">
        <v>12.5</v>
      </c>
      <c r="F326">
        <v>2.2000000000000002</v>
      </c>
      <c r="G326">
        <v>12.5</v>
      </c>
      <c r="H326" t="s">
        <v>95</v>
      </c>
      <c r="I326" s="70">
        <v>0.50112268518518521</v>
      </c>
      <c r="J326" t="s">
        <v>237</v>
      </c>
    </row>
    <row r="327" spans="1:10" hidden="1" x14ac:dyDescent="0.3">
      <c r="A327" t="str">
        <f t="shared" si="5"/>
        <v>Modulation quality TM3.2PORT2TM3.2</v>
      </c>
      <c r="B327" t="s">
        <v>59</v>
      </c>
      <c r="C327" t="s">
        <v>273</v>
      </c>
      <c r="D327">
        <v>12.5</v>
      </c>
      <c r="F327">
        <v>2.2000000000000002</v>
      </c>
      <c r="G327">
        <v>12.5</v>
      </c>
      <c r="H327" t="s">
        <v>95</v>
      </c>
      <c r="I327" s="70">
        <v>0.5012847222222222</v>
      </c>
      <c r="J327" t="s">
        <v>237</v>
      </c>
    </row>
    <row r="328" spans="1:10" hidden="1" x14ac:dyDescent="0.3">
      <c r="A328" t="str">
        <f t="shared" si="5"/>
        <v>Modulation quality TM3.2PORT3TM3.2</v>
      </c>
      <c r="B328" t="s">
        <v>60</v>
      </c>
      <c r="C328" t="s">
        <v>273</v>
      </c>
      <c r="D328">
        <v>12.5</v>
      </c>
      <c r="F328">
        <v>2.2000000000000002</v>
      </c>
      <c r="G328">
        <v>12.5</v>
      </c>
      <c r="H328" t="s">
        <v>95</v>
      </c>
      <c r="I328" s="70">
        <v>0.50143518518518515</v>
      </c>
      <c r="J328" t="s">
        <v>237</v>
      </c>
    </row>
    <row r="329" spans="1:10" hidden="1" x14ac:dyDescent="0.3">
      <c r="A329" t="str">
        <f t="shared" si="5"/>
        <v>Modulation quality TM3.2PORT4TM3.2</v>
      </c>
      <c r="B329" t="s">
        <v>61</v>
      </c>
      <c r="C329" t="s">
        <v>273</v>
      </c>
      <c r="D329">
        <v>12.5</v>
      </c>
      <c r="F329">
        <v>2.2000000000000002</v>
      </c>
      <c r="G329">
        <v>12.5</v>
      </c>
      <c r="H329" t="s">
        <v>95</v>
      </c>
      <c r="I329" s="70">
        <v>0.50159722222222225</v>
      </c>
      <c r="J329" t="s">
        <v>237</v>
      </c>
    </row>
    <row r="330" spans="1:10" hidden="1" x14ac:dyDescent="0.3">
      <c r="A330" t="str">
        <f t="shared" si="5"/>
        <v>Modulation quality TM3.2PORT5TM3.2</v>
      </c>
      <c r="B330" t="s">
        <v>62</v>
      </c>
      <c r="C330" t="s">
        <v>273</v>
      </c>
      <c r="D330">
        <v>12.5</v>
      </c>
      <c r="F330">
        <v>2.2000000000000002</v>
      </c>
      <c r="G330">
        <v>12.5</v>
      </c>
      <c r="H330" t="s">
        <v>95</v>
      </c>
      <c r="I330" s="70">
        <v>0.50175925925925924</v>
      </c>
      <c r="J330" t="s">
        <v>237</v>
      </c>
    </row>
    <row r="331" spans="1:10" hidden="1" x14ac:dyDescent="0.3">
      <c r="A331" t="str">
        <f t="shared" si="5"/>
        <v>Modulation quality TM3.2PORT6TM3.2</v>
      </c>
      <c r="B331" t="s">
        <v>63</v>
      </c>
      <c r="C331" t="s">
        <v>273</v>
      </c>
      <c r="D331">
        <v>12.5</v>
      </c>
      <c r="F331">
        <v>2.2000000000000002</v>
      </c>
      <c r="G331">
        <v>12.5</v>
      </c>
      <c r="H331" t="s">
        <v>95</v>
      </c>
      <c r="I331" s="70">
        <v>0.50192129629629634</v>
      </c>
      <c r="J331" t="s">
        <v>237</v>
      </c>
    </row>
    <row r="332" spans="1:10" hidden="1" x14ac:dyDescent="0.3">
      <c r="A332" t="str">
        <f t="shared" si="5"/>
        <v>Modulation quality TM3.2PORT7TM3.2</v>
      </c>
      <c r="B332" t="s">
        <v>64</v>
      </c>
      <c r="C332" t="s">
        <v>273</v>
      </c>
      <c r="D332">
        <v>12.5</v>
      </c>
      <c r="F332">
        <v>2.2000000000000002</v>
      </c>
      <c r="G332">
        <v>12.5</v>
      </c>
      <c r="H332" t="s">
        <v>95</v>
      </c>
      <c r="I332" s="70">
        <v>0.50208333333333333</v>
      </c>
      <c r="J332" t="s">
        <v>237</v>
      </c>
    </row>
    <row r="333" spans="1:10" hidden="1" x14ac:dyDescent="0.3">
      <c r="A333" t="str">
        <f t="shared" si="5"/>
        <v>Modulation quality TM3.2PORT8TM3.2</v>
      </c>
      <c r="B333" t="s">
        <v>65</v>
      </c>
      <c r="C333" t="s">
        <v>273</v>
      </c>
      <c r="D333">
        <v>12.5</v>
      </c>
      <c r="F333">
        <v>2.2000000000000002</v>
      </c>
      <c r="G333">
        <v>12.5</v>
      </c>
      <c r="H333" t="s">
        <v>95</v>
      </c>
      <c r="I333" s="70">
        <v>0.50223379629629628</v>
      </c>
      <c r="J333" t="s">
        <v>237</v>
      </c>
    </row>
    <row r="334" spans="1:10" hidden="1" x14ac:dyDescent="0.3">
      <c r="A334" t="str">
        <f t="shared" si="5"/>
        <v>Modulation quality TM3.2PORT9TM3.2</v>
      </c>
      <c r="B334" t="s">
        <v>175</v>
      </c>
      <c r="C334" t="s">
        <v>273</v>
      </c>
      <c r="D334">
        <v>12.5</v>
      </c>
      <c r="F334">
        <v>2.2999999999999998</v>
      </c>
      <c r="G334">
        <v>12.5</v>
      </c>
      <c r="H334" t="s">
        <v>95</v>
      </c>
      <c r="I334" s="70">
        <v>0.50239583333333326</v>
      </c>
      <c r="J334" t="s">
        <v>237</v>
      </c>
    </row>
    <row r="335" spans="1:10" hidden="1" x14ac:dyDescent="0.3">
      <c r="A335" t="str">
        <f t="shared" si="5"/>
        <v>Modulation quality TM3.2PORT10TM3.2</v>
      </c>
      <c r="B335" t="s">
        <v>176</v>
      </c>
      <c r="C335" t="s">
        <v>273</v>
      </c>
      <c r="D335">
        <v>12.5</v>
      </c>
      <c r="F335">
        <v>2.2999999999999998</v>
      </c>
      <c r="G335">
        <v>12.5</v>
      </c>
      <c r="H335" t="s">
        <v>95</v>
      </c>
      <c r="I335" s="70">
        <v>0.50255787037037036</v>
      </c>
      <c r="J335" t="s">
        <v>237</v>
      </c>
    </row>
    <row r="336" spans="1:10" hidden="1" x14ac:dyDescent="0.3">
      <c r="A336" t="str">
        <f t="shared" si="5"/>
        <v>Modulation quality TM3.2PORT11TM3.2</v>
      </c>
      <c r="B336" t="s">
        <v>177</v>
      </c>
      <c r="C336" t="s">
        <v>273</v>
      </c>
      <c r="D336">
        <v>12.5</v>
      </c>
      <c r="F336">
        <v>2.2999999999999998</v>
      </c>
      <c r="G336">
        <v>12.5</v>
      </c>
      <c r="H336" t="s">
        <v>95</v>
      </c>
      <c r="I336" s="70">
        <v>0.50271990740740746</v>
      </c>
      <c r="J336" t="s">
        <v>237</v>
      </c>
    </row>
    <row r="337" spans="1:10" hidden="1" x14ac:dyDescent="0.3">
      <c r="A337" t="str">
        <f t="shared" si="5"/>
        <v>Modulation quality TM3.2PORT12TM3.2</v>
      </c>
      <c r="B337" t="s">
        <v>178</v>
      </c>
      <c r="C337" t="s">
        <v>273</v>
      </c>
      <c r="D337">
        <v>12.5</v>
      </c>
      <c r="F337">
        <v>2.2999999999999998</v>
      </c>
      <c r="G337">
        <v>12.5</v>
      </c>
      <c r="H337" t="s">
        <v>95</v>
      </c>
      <c r="I337" s="70">
        <v>0.50288194444444445</v>
      </c>
      <c r="J337" t="s">
        <v>237</v>
      </c>
    </row>
    <row r="338" spans="1:10" hidden="1" x14ac:dyDescent="0.3">
      <c r="A338" t="str">
        <f t="shared" si="5"/>
        <v>Modulation quality TM3.2PORT13TM3.2</v>
      </c>
      <c r="B338" t="s">
        <v>179</v>
      </c>
      <c r="C338" t="s">
        <v>273</v>
      </c>
      <c r="D338">
        <v>12.5</v>
      </c>
      <c r="F338">
        <v>5.0999999999999996</v>
      </c>
      <c r="G338">
        <v>12.5</v>
      </c>
      <c r="H338" t="s">
        <v>95</v>
      </c>
      <c r="I338" s="70">
        <v>0.50304398148148144</v>
      </c>
      <c r="J338" t="s">
        <v>237</v>
      </c>
    </row>
    <row r="339" spans="1:10" hidden="1" x14ac:dyDescent="0.3">
      <c r="A339" t="str">
        <f t="shared" si="5"/>
        <v>Modulation quality TM3.2PORT14TM3.2</v>
      </c>
      <c r="B339" t="s">
        <v>180</v>
      </c>
      <c r="C339" t="s">
        <v>273</v>
      </c>
      <c r="D339">
        <v>12.5</v>
      </c>
      <c r="F339">
        <v>7</v>
      </c>
      <c r="G339">
        <v>12.5</v>
      </c>
      <c r="H339" t="s">
        <v>95</v>
      </c>
      <c r="I339" s="70">
        <v>0.50335648148148149</v>
      </c>
      <c r="J339" t="s">
        <v>237</v>
      </c>
    </row>
    <row r="340" spans="1:10" hidden="1" x14ac:dyDescent="0.3">
      <c r="A340" t="str">
        <f t="shared" si="5"/>
        <v>Modulation quality TM3.2PORT15TM3.2</v>
      </c>
      <c r="B340" t="s">
        <v>181</v>
      </c>
      <c r="C340" t="s">
        <v>273</v>
      </c>
      <c r="D340">
        <v>12.5</v>
      </c>
      <c r="F340">
        <v>69.5</v>
      </c>
      <c r="G340">
        <v>12.5</v>
      </c>
      <c r="H340" t="s">
        <v>95</v>
      </c>
      <c r="I340" s="70">
        <v>0.50384259259259256</v>
      </c>
      <c r="J340" t="s">
        <v>250</v>
      </c>
    </row>
    <row r="341" spans="1:10" hidden="1" x14ac:dyDescent="0.3">
      <c r="A341" t="str">
        <f t="shared" si="5"/>
        <v>Modulation quality TM3.2PORT16TM3.2</v>
      </c>
      <c r="B341" t="s">
        <v>182</v>
      </c>
      <c r="C341" t="s">
        <v>273</v>
      </c>
      <c r="D341">
        <v>12.5</v>
      </c>
      <c r="F341">
        <v>46.9</v>
      </c>
      <c r="G341">
        <v>12.5</v>
      </c>
      <c r="H341" t="s">
        <v>95</v>
      </c>
      <c r="I341" s="70">
        <v>0.5043171296296296</v>
      </c>
      <c r="J341" t="s">
        <v>250</v>
      </c>
    </row>
    <row r="342" spans="1:10" hidden="1" x14ac:dyDescent="0.3">
      <c r="A342" t="str">
        <f t="shared" si="5"/>
        <v>Modulation quality TM3.2PORT17TM3.2</v>
      </c>
      <c r="B342" t="s">
        <v>183</v>
      </c>
      <c r="C342" t="s">
        <v>273</v>
      </c>
      <c r="D342">
        <v>12.5</v>
      </c>
      <c r="F342">
        <v>2.2999999999999998</v>
      </c>
      <c r="G342">
        <v>12.5</v>
      </c>
      <c r="H342" t="s">
        <v>95</v>
      </c>
      <c r="I342" s="70">
        <v>0.5044791666666667</v>
      </c>
      <c r="J342" t="s">
        <v>237</v>
      </c>
    </row>
    <row r="343" spans="1:10" hidden="1" x14ac:dyDescent="0.3">
      <c r="A343" t="str">
        <f t="shared" si="5"/>
        <v>Modulation quality TM3.2PORT18TM3.2</v>
      </c>
      <c r="B343" t="s">
        <v>184</v>
      </c>
      <c r="C343" t="s">
        <v>273</v>
      </c>
      <c r="D343">
        <v>12.5</v>
      </c>
      <c r="F343">
        <v>2.2999999999999998</v>
      </c>
      <c r="G343">
        <v>12.5</v>
      </c>
      <c r="H343" t="s">
        <v>95</v>
      </c>
      <c r="I343" s="70">
        <v>0.50464120370370369</v>
      </c>
      <c r="J343" t="s">
        <v>237</v>
      </c>
    </row>
    <row r="344" spans="1:10" hidden="1" x14ac:dyDescent="0.3">
      <c r="A344" t="str">
        <f t="shared" si="5"/>
        <v>Modulation quality TM3.2PORT19TM3.2</v>
      </c>
      <c r="B344" t="s">
        <v>185</v>
      </c>
      <c r="C344" t="s">
        <v>273</v>
      </c>
      <c r="D344">
        <v>12.5</v>
      </c>
      <c r="F344">
        <v>2.4</v>
      </c>
      <c r="G344">
        <v>12.5</v>
      </c>
      <c r="H344" t="s">
        <v>95</v>
      </c>
      <c r="I344" s="70">
        <v>0.50480324074074068</v>
      </c>
      <c r="J344" t="s">
        <v>237</v>
      </c>
    </row>
    <row r="345" spans="1:10" hidden="1" x14ac:dyDescent="0.3">
      <c r="A345" t="str">
        <f t="shared" si="5"/>
        <v>Modulation quality TM3.2PORT20TM3.2</v>
      </c>
      <c r="B345" t="s">
        <v>186</v>
      </c>
      <c r="C345" t="s">
        <v>273</v>
      </c>
      <c r="D345">
        <v>12.5</v>
      </c>
      <c r="F345">
        <v>2.4</v>
      </c>
      <c r="G345">
        <v>12.5</v>
      </c>
      <c r="H345" t="s">
        <v>95</v>
      </c>
      <c r="I345" s="70">
        <v>0.50495370370370374</v>
      </c>
      <c r="J345" t="s">
        <v>237</v>
      </c>
    </row>
    <row r="346" spans="1:10" hidden="1" x14ac:dyDescent="0.3">
      <c r="A346" t="str">
        <f t="shared" si="5"/>
        <v>Modulation quality TM3.2PORT21TM3.2</v>
      </c>
      <c r="B346" t="s">
        <v>187</v>
      </c>
      <c r="C346" t="s">
        <v>273</v>
      </c>
      <c r="D346">
        <v>12.5</v>
      </c>
      <c r="F346">
        <v>2.4</v>
      </c>
      <c r="G346">
        <v>12.5</v>
      </c>
      <c r="H346" t="s">
        <v>95</v>
      </c>
      <c r="I346" s="70">
        <v>0.50511574074074073</v>
      </c>
      <c r="J346" t="s">
        <v>237</v>
      </c>
    </row>
    <row r="347" spans="1:10" hidden="1" x14ac:dyDescent="0.3">
      <c r="A347" t="str">
        <f t="shared" si="5"/>
        <v>Modulation quality TM3.2PORT22TM3.2</v>
      </c>
      <c r="B347" t="s">
        <v>188</v>
      </c>
      <c r="C347" t="s">
        <v>273</v>
      </c>
      <c r="D347">
        <v>12.5</v>
      </c>
      <c r="F347">
        <v>2.4</v>
      </c>
      <c r="G347">
        <v>12.5</v>
      </c>
      <c r="H347" t="s">
        <v>95</v>
      </c>
      <c r="I347" s="70">
        <v>0.50527777777777783</v>
      </c>
      <c r="J347" t="s">
        <v>237</v>
      </c>
    </row>
    <row r="348" spans="1:10" hidden="1" x14ac:dyDescent="0.3">
      <c r="A348" t="str">
        <f t="shared" si="5"/>
        <v>Modulation quality TM3.2PORT23TM3.2</v>
      </c>
      <c r="B348" t="s">
        <v>189</v>
      </c>
      <c r="C348" t="s">
        <v>273</v>
      </c>
      <c r="D348">
        <v>12.5</v>
      </c>
      <c r="F348">
        <v>2.2999999999999998</v>
      </c>
      <c r="G348">
        <v>12.5</v>
      </c>
      <c r="H348" t="s">
        <v>95</v>
      </c>
      <c r="I348" s="70">
        <v>0.50543981481481481</v>
      </c>
      <c r="J348" t="s">
        <v>237</v>
      </c>
    </row>
    <row r="349" spans="1:10" hidden="1" x14ac:dyDescent="0.3">
      <c r="A349" t="str">
        <f t="shared" si="5"/>
        <v>Modulation quality TM3.2PORT24TM3.2</v>
      </c>
      <c r="B349" t="s">
        <v>190</v>
      </c>
      <c r="C349" t="s">
        <v>273</v>
      </c>
      <c r="D349">
        <v>12.5</v>
      </c>
      <c r="F349">
        <v>2.2999999999999998</v>
      </c>
      <c r="G349">
        <v>12.5</v>
      </c>
      <c r="H349" t="s">
        <v>95</v>
      </c>
      <c r="I349" s="70">
        <v>0.5056018518518518</v>
      </c>
      <c r="J349" t="s">
        <v>237</v>
      </c>
    </row>
    <row r="350" spans="1:10" hidden="1" x14ac:dyDescent="0.3">
      <c r="A350" t="str">
        <f t="shared" si="5"/>
        <v>Modulation quality TM3.2PORT25TM3.2</v>
      </c>
      <c r="B350" t="s">
        <v>191</v>
      </c>
      <c r="C350" t="s">
        <v>273</v>
      </c>
      <c r="D350">
        <v>12.5</v>
      </c>
      <c r="F350">
        <v>2.2000000000000002</v>
      </c>
      <c r="G350">
        <v>12.5</v>
      </c>
      <c r="H350" t="s">
        <v>95</v>
      </c>
      <c r="I350" s="70">
        <v>0.5057638888888889</v>
      </c>
      <c r="J350" t="s">
        <v>237</v>
      </c>
    </row>
    <row r="351" spans="1:10" hidden="1" x14ac:dyDescent="0.3">
      <c r="A351" t="str">
        <f t="shared" si="5"/>
        <v>Modulation quality TM3.2PORT26TM3.2</v>
      </c>
      <c r="B351" t="s">
        <v>192</v>
      </c>
      <c r="C351" t="s">
        <v>273</v>
      </c>
      <c r="D351">
        <v>12.5</v>
      </c>
      <c r="F351">
        <v>2.2999999999999998</v>
      </c>
      <c r="G351">
        <v>12.5</v>
      </c>
      <c r="H351" t="s">
        <v>95</v>
      </c>
      <c r="I351" s="70">
        <v>0.50591435185185185</v>
      </c>
      <c r="J351" t="s">
        <v>237</v>
      </c>
    </row>
    <row r="352" spans="1:10" hidden="1" x14ac:dyDescent="0.3">
      <c r="A352" t="str">
        <f t="shared" si="5"/>
        <v>Modulation quality TM3.2PORT27TM3.2</v>
      </c>
      <c r="B352" t="s">
        <v>193</v>
      </c>
      <c r="C352" t="s">
        <v>273</v>
      </c>
      <c r="D352">
        <v>12.5</v>
      </c>
      <c r="F352">
        <v>2.2000000000000002</v>
      </c>
      <c r="G352">
        <v>12.5</v>
      </c>
      <c r="H352" t="s">
        <v>95</v>
      </c>
      <c r="I352" s="70">
        <v>0.50607638888888895</v>
      </c>
      <c r="J352" t="s">
        <v>237</v>
      </c>
    </row>
    <row r="353" spans="1:10" hidden="1" x14ac:dyDescent="0.3">
      <c r="A353" t="str">
        <f t="shared" si="5"/>
        <v>Modulation quality TM3.2PORT28TM3.2</v>
      </c>
      <c r="B353" t="s">
        <v>194</v>
      </c>
      <c r="C353" t="s">
        <v>273</v>
      </c>
      <c r="D353">
        <v>12.5</v>
      </c>
      <c r="F353">
        <v>2.2000000000000002</v>
      </c>
      <c r="G353">
        <v>12.5</v>
      </c>
      <c r="H353" t="s">
        <v>95</v>
      </c>
      <c r="I353" s="70">
        <v>0.50623842592592594</v>
      </c>
      <c r="J353" t="s">
        <v>237</v>
      </c>
    </row>
    <row r="354" spans="1:10" hidden="1" x14ac:dyDescent="0.3">
      <c r="A354" t="str">
        <f t="shared" si="5"/>
        <v>Modulation quality TM3.2PORT29TM3.2</v>
      </c>
      <c r="B354" t="s">
        <v>195</v>
      </c>
      <c r="C354" t="s">
        <v>273</v>
      </c>
      <c r="D354">
        <v>12.5</v>
      </c>
      <c r="F354">
        <v>2.2000000000000002</v>
      </c>
      <c r="G354">
        <v>12.5</v>
      </c>
      <c r="H354" t="s">
        <v>95</v>
      </c>
      <c r="I354" s="70">
        <v>0.50640046296296293</v>
      </c>
      <c r="J354" t="s">
        <v>237</v>
      </c>
    </row>
    <row r="355" spans="1:10" hidden="1" x14ac:dyDescent="0.3">
      <c r="A355" t="str">
        <f t="shared" si="5"/>
        <v>Modulation quality TM3.2PORT30TM3.2</v>
      </c>
      <c r="B355" t="s">
        <v>196</v>
      </c>
      <c r="C355" t="s">
        <v>273</v>
      </c>
      <c r="D355">
        <v>12.5</v>
      </c>
      <c r="F355">
        <v>2.2999999999999998</v>
      </c>
      <c r="G355">
        <v>12.5</v>
      </c>
      <c r="H355" t="s">
        <v>95</v>
      </c>
      <c r="I355" s="70">
        <v>0.50656250000000003</v>
      </c>
      <c r="J355" t="s">
        <v>237</v>
      </c>
    </row>
    <row r="356" spans="1:10" hidden="1" x14ac:dyDescent="0.3">
      <c r="A356" t="str">
        <f t="shared" si="5"/>
        <v>Modulation quality TM3.2PORT31TM3.2</v>
      </c>
      <c r="B356" t="s">
        <v>197</v>
      </c>
      <c r="C356" t="s">
        <v>273</v>
      </c>
      <c r="D356">
        <v>12.5</v>
      </c>
      <c r="F356">
        <v>2.2999999999999998</v>
      </c>
      <c r="G356">
        <v>12.5</v>
      </c>
      <c r="H356" t="s">
        <v>95</v>
      </c>
      <c r="I356" s="70">
        <v>0.50672453703703701</v>
      </c>
      <c r="J356" t="s">
        <v>237</v>
      </c>
    </row>
    <row r="357" spans="1:10" hidden="1" x14ac:dyDescent="0.3">
      <c r="A357" t="str">
        <f t="shared" si="5"/>
        <v>Modulation quality TM3.2PORT32TM3.2</v>
      </c>
      <c r="B357" t="s">
        <v>198</v>
      </c>
      <c r="C357" t="s">
        <v>273</v>
      </c>
      <c r="D357">
        <v>12.5</v>
      </c>
      <c r="F357">
        <v>2.2999999999999998</v>
      </c>
      <c r="G357">
        <v>12.5</v>
      </c>
      <c r="H357" t="s">
        <v>95</v>
      </c>
      <c r="I357" s="70">
        <v>0.50687499999999996</v>
      </c>
      <c r="J357" t="s">
        <v>237</v>
      </c>
    </row>
    <row r="358" spans="1:10" hidden="1" x14ac:dyDescent="0.3">
      <c r="A358" t="str">
        <f t="shared" si="5"/>
        <v>Modulation quality TM3.3PORT1TM3.3</v>
      </c>
      <c r="B358" t="s">
        <v>57</v>
      </c>
      <c r="C358" t="s">
        <v>274</v>
      </c>
      <c r="D358">
        <v>17.5</v>
      </c>
      <c r="F358">
        <v>3.1</v>
      </c>
      <c r="G358">
        <v>17.5</v>
      </c>
      <c r="H358" t="s">
        <v>91</v>
      </c>
      <c r="I358" s="70">
        <v>0.50747685185185187</v>
      </c>
      <c r="J358" t="s">
        <v>237</v>
      </c>
    </row>
    <row r="359" spans="1:10" hidden="1" x14ac:dyDescent="0.3">
      <c r="A359" t="str">
        <f t="shared" si="5"/>
        <v>Modulation quality TM3.3PORT2TM3.3</v>
      </c>
      <c r="B359" t="s">
        <v>59</v>
      </c>
      <c r="C359" t="s">
        <v>274</v>
      </c>
      <c r="D359">
        <v>17.5</v>
      </c>
      <c r="F359">
        <v>3.2</v>
      </c>
      <c r="G359">
        <v>17.5</v>
      </c>
      <c r="H359" t="s">
        <v>91</v>
      </c>
      <c r="I359" s="70">
        <v>0.50763888888888886</v>
      </c>
      <c r="J359" t="s">
        <v>237</v>
      </c>
    </row>
    <row r="360" spans="1:10" hidden="1" x14ac:dyDescent="0.3">
      <c r="A360" t="str">
        <f t="shared" si="5"/>
        <v>Modulation quality TM3.3PORT3TM3.3</v>
      </c>
      <c r="B360" t="s">
        <v>60</v>
      </c>
      <c r="C360" t="s">
        <v>274</v>
      </c>
      <c r="D360">
        <v>17.5</v>
      </c>
      <c r="F360">
        <v>3.2</v>
      </c>
      <c r="G360">
        <v>17.5</v>
      </c>
      <c r="H360" t="s">
        <v>91</v>
      </c>
      <c r="I360" s="70">
        <v>0.50778935185185181</v>
      </c>
      <c r="J360" t="s">
        <v>237</v>
      </c>
    </row>
    <row r="361" spans="1:10" hidden="1" x14ac:dyDescent="0.3">
      <c r="A361" t="str">
        <f t="shared" si="5"/>
        <v>Modulation quality TM3.3PORT4TM3.3</v>
      </c>
      <c r="B361" t="s">
        <v>61</v>
      </c>
      <c r="C361" t="s">
        <v>274</v>
      </c>
      <c r="D361">
        <v>17.5</v>
      </c>
      <c r="F361">
        <v>3.1</v>
      </c>
      <c r="G361">
        <v>17.5</v>
      </c>
      <c r="H361" t="s">
        <v>91</v>
      </c>
      <c r="I361" s="70">
        <v>0.50795138888888891</v>
      </c>
      <c r="J361" t="s">
        <v>237</v>
      </c>
    </row>
    <row r="362" spans="1:10" hidden="1" x14ac:dyDescent="0.3">
      <c r="A362" t="str">
        <f t="shared" si="5"/>
        <v>Modulation quality TM3.3PORT5TM3.3</v>
      </c>
      <c r="B362" t="s">
        <v>62</v>
      </c>
      <c r="C362" t="s">
        <v>274</v>
      </c>
      <c r="D362">
        <v>17.5</v>
      </c>
      <c r="F362">
        <v>3.1</v>
      </c>
      <c r="G362">
        <v>17.5</v>
      </c>
      <c r="H362" t="s">
        <v>91</v>
      </c>
      <c r="I362" s="70">
        <v>0.5081134259259259</v>
      </c>
      <c r="J362" t="s">
        <v>237</v>
      </c>
    </row>
    <row r="363" spans="1:10" hidden="1" x14ac:dyDescent="0.3">
      <c r="A363" t="str">
        <f t="shared" si="5"/>
        <v>Modulation quality TM3.3PORT6TM3.3</v>
      </c>
      <c r="B363" t="s">
        <v>63</v>
      </c>
      <c r="C363" t="s">
        <v>274</v>
      </c>
      <c r="D363">
        <v>17.5</v>
      </c>
      <c r="F363">
        <v>3.1</v>
      </c>
      <c r="G363">
        <v>17.5</v>
      </c>
      <c r="H363" t="s">
        <v>91</v>
      </c>
      <c r="I363" s="70">
        <v>0.508275462962963</v>
      </c>
      <c r="J363" t="s">
        <v>237</v>
      </c>
    </row>
    <row r="364" spans="1:10" hidden="1" x14ac:dyDescent="0.3">
      <c r="A364" t="str">
        <f t="shared" si="5"/>
        <v>Modulation quality TM3.3PORT7TM3.3</v>
      </c>
      <c r="B364" t="s">
        <v>64</v>
      </c>
      <c r="C364" t="s">
        <v>274</v>
      </c>
      <c r="D364">
        <v>17.5</v>
      </c>
      <c r="F364">
        <v>3.1</v>
      </c>
      <c r="G364">
        <v>17.5</v>
      </c>
      <c r="H364" t="s">
        <v>91</v>
      </c>
      <c r="I364" s="70">
        <v>0.50843749999999999</v>
      </c>
      <c r="J364" t="s">
        <v>237</v>
      </c>
    </row>
    <row r="365" spans="1:10" hidden="1" x14ac:dyDescent="0.3">
      <c r="A365" t="str">
        <f t="shared" si="5"/>
        <v>Modulation quality TM3.3PORT8TM3.3</v>
      </c>
      <c r="B365" t="s">
        <v>65</v>
      </c>
      <c r="C365" t="s">
        <v>274</v>
      </c>
      <c r="D365">
        <v>17.5</v>
      </c>
      <c r="F365">
        <v>3.1</v>
      </c>
      <c r="G365">
        <v>17.5</v>
      </c>
      <c r="H365" t="s">
        <v>91</v>
      </c>
      <c r="I365" s="70">
        <v>0.50858796296296294</v>
      </c>
      <c r="J365" t="s">
        <v>237</v>
      </c>
    </row>
    <row r="366" spans="1:10" hidden="1" x14ac:dyDescent="0.3">
      <c r="A366" t="str">
        <f t="shared" si="5"/>
        <v>Modulation quality TM3.3PORT9TM3.3</v>
      </c>
      <c r="B366" t="s">
        <v>175</v>
      </c>
      <c r="C366" t="s">
        <v>274</v>
      </c>
      <c r="D366">
        <v>17.5</v>
      </c>
      <c r="F366">
        <v>3.2</v>
      </c>
      <c r="G366">
        <v>17.5</v>
      </c>
      <c r="H366" t="s">
        <v>91</v>
      </c>
      <c r="I366" s="70">
        <v>0.50875000000000004</v>
      </c>
      <c r="J366" t="s">
        <v>237</v>
      </c>
    </row>
    <row r="367" spans="1:10" hidden="1" x14ac:dyDescent="0.3">
      <c r="A367" t="str">
        <f t="shared" si="5"/>
        <v>Modulation quality TM3.3PORT10TM3.3</v>
      </c>
      <c r="B367" t="s">
        <v>176</v>
      </c>
      <c r="C367" t="s">
        <v>274</v>
      </c>
      <c r="D367">
        <v>17.5</v>
      </c>
      <c r="F367">
        <v>3.2</v>
      </c>
      <c r="G367">
        <v>17.5</v>
      </c>
      <c r="H367" t="s">
        <v>91</v>
      </c>
      <c r="I367" s="70">
        <v>0.50891203703703702</v>
      </c>
      <c r="J367" t="s">
        <v>237</v>
      </c>
    </row>
    <row r="368" spans="1:10" hidden="1" x14ac:dyDescent="0.3">
      <c r="A368" t="str">
        <f t="shared" si="5"/>
        <v>Modulation quality TM3.3PORT11TM3.3</v>
      </c>
      <c r="B368" t="s">
        <v>177</v>
      </c>
      <c r="C368" t="s">
        <v>274</v>
      </c>
      <c r="D368">
        <v>17.5</v>
      </c>
      <c r="F368">
        <v>3.2</v>
      </c>
      <c r="G368">
        <v>17.5</v>
      </c>
      <c r="H368" t="s">
        <v>91</v>
      </c>
      <c r="I368" s="70">
        <v>0.50907407407407412</v>
      </c>
      <c r="J368" t="s">
        <v>237</v>
      </c>
    </row>
    <row r="369" spans="1:10" hidden="1" x14ac:dyDescent="0.3">
      <c r="A369" t="str">
        <f t="shared" si="5"/>
        <v>Modulation quality TM3.3PORT12TM3.3</v>
      </c>
      <c r="B369" t="s">
        <v>178</v>
      </c>
      <c r="C369" t="s">
        <v>274</v>
      </c>
      <c r="D369">
        <v>17.5</v>
      </c>
      <c r="F369">
        <v>3.2</v>
      </c>
      <c r="G369">
        <v>17.5</v>
      </c>
      <c r="H369" t="s">
        <v>91</v>
      </c>
      <c r="I369" s="70">
        <v>0.50923611111111111</v>
      </c>
      <c r="J369" t="s">
        <v>237</v>
      </c>
    </row>
    <row r="370" spans="1:10" hidden="1" x14ac:dyDescent="0.3">
      <c r="A370" t="str">
        <f t="shared" si="5"/>
        <v>Modulation quality TM3.3PORT13TM3.3</v>
      </c>
      <c r="B370" t="s">
        <v>179</v>
      </c>
      <c r="C370" t="s">
        <v>274</v>
      </c>
      <c r="D370">
        <v>17.5</v>
      </c>
      <c r="F370">
        <v>3.2</v>
      </c>
      <c r="G370">
        <v>17.5</v>
      </c>
      <c r="H370" t="s">
        <v>91</v>
      </c>
      <c r="I370" s="70">
        <v>0.50938657407407406</v>
      </c>
      <c r="J370" t="s">
        <v>237</v>
      </c>
    </row>
    <row r="371" spans="1:10" hidden="1" x14ac:dyDescent="0.3">
      <c r="A371" t="str">
        <f t="shared" si="5"/>
        <v>Modulation quality TM3.3PORT14TM3.3</v>
      </c>
      <c r="B371" t="s">
        <v>180</v>
      </c>
      <c r="C371" t="s">
        <v>274</v>
      </c>
      <c r="D371">
        <v>17.5</v>
      </c>
      <c r="F371">
        <v>3.2</v>
      </c>
      <c r="G371">
        <v>17.5</v>
      </c>
      <c r="H371" t="s">
        <v>91</v>
      </c>
      <c r="I371" s="70">
        <v>0.50954861111111105</v>
      </c>
      <c r="J371" t="s">
        <v>237</v>
      </c>
    </row>
    <row r="372" spans="1:10" hidden="1" x14ac:dyDescent="0.3">
      <c r="A372" t="str">
        <f t="shared" si="5"/>
        <v>Modulation quality TM3.3PORT15TM3.3</v>
      </c>
      <c r="B372" t="s">
        <v>181</v>
      </c>
      <c r="C372" t="s">
        <v>274</v>
      </c>
      <c r="D372">
        <v>17.5</v>
      </c>
      <c r="F372">
        <v>3.2</v>
      </c>
      <c r="G372">
        <v>17.5</v>
      </c>
      <c r="H372" t="s">
        <v>91</v>
      </c>
      <c r="I372" s="70">
        <v>0.50971064814814815</v>
      </c>
      <c r="J372" t="s">
        <v>237</v>
      </c>
    </row>
    <row r="373" spans="1:10" hidden="1" x14ac:dyDescent="0.3">
      <c r="A373" t="str">
        <f t="shared" si="5"/>
        <v>Modulation quality TM3.3PORT16TM3.3</v>
      </c>
      <c r="B373" t="s">
        <v>182</v>
      </c>
      <c r="C373" t="s">
        <v>274</v>
      </c>
      <c r="D373">
        <v>17.5</v>
      </c>
      <c r="F373">
        <v>3.2</v>
      </c>
      <c r="G373">
        <v>17.5</v>
      </c>
      <c r="H373" t="s">
        <v>91</v>
      </c>
      <c r="I373" s="70">
        <v>0.50987268518518525</v>
      </c>
      <c r="J373" t="s">
        <v>237</v>
      </c>
    </row>
    <row r="374" spans="1:10" hidden="1" x14ac:dyDescent="0.3">
      <c r="A374" t="str">
        <f t="shared" si="5"/>
        <v>Modulation quality TM3.3PORT17TM3.3</v>
      </c>
      <c r="B374" t="s">
        <v>183</v>
      </c>
      <c r="C374" t="s">
        <v>274</v>
      </c>
      <c r="D374">
        <v>17.5</v>
      </c>
      <c r="F374">
        <v>3.2</v>
      </c>
      <c r="G374">
        <v>17.5</v>
      </c>
      <c r="H374" t="s">
        <v>91</v>
      </c>
      <c r="I374" s="70">
        <v>0.51003472222222224</v>
      </c>
      <c r="J374" t="s">
        <v>237</v>
      </c>
    </row>
    <row r="375" spans="1:10" hidden="1" x14ac:dyDescent="0.3">
      <c r="A375" t="str">
        <f t="shared" si="5"/>
        <v>Modulation quality TM3.3PORT18TM3.3</v>
      </c>
      <c r="B375" t="s">
        <v>184</v>
      </c>
      <c r="C375" t="s">
        <v>274</v>
      </c>
      <c r="D375">
        <v>17.5</v>
      </c>
      <c r="F375">
        <v>3.2</v>
      </c>
      <c r="G375">
        <v>17.5</v>
      </c>
      <c r="H375" t="s">
        <v>91</v>
      </c>
      <c r="I375" s="70">
        <v>0.51019675925925922</v>
      </c>
      <c r="J375" t="s">
        <v>237</v>
      </c>
    </row>
    <row r="376" spans="1:10" hidden="1" x14ac:dyDescent="0.3">
      <c r="A376" t="str">
        <f t="shared" si="5"/>
        <v>Modulation quality TM3.3PORT19TM3.3</v>
      </c>
      <c r="B376" t="s">
        <v>185</v>
      </c>
      <c r="C376" t="s">
        <v>274</v>
      </c>
      <c r="D376">
        <v>17.5</v>
      </c>
      <c r="F376">
        <v>3.3</v>
      </c>
      <c r="G376">
        <v>17.5</v>
      </c>
      <c r="H376" t="s">
        <v>91</v>
      </c>
      <c r="I376" s="70">
        <v>0.51034722222222217</v>
      </c>
      <c r="J376" t="s">
        <v>237</v>
      </c>
    </row>
    <row r="377" spans="1:10" hidden="1" x14ac:dyDescent="0.3">
      <c r="A377" t="str">
        <f t="shared" si="5"/>
        <v>Modulation quality TM3.3PORT20TM3.3</v>
      </c>
      <c r="B377" t="s">
        <v>186</v>
      </c>
      <c r="C377" t="s">
        <v>274</v>
      </c>
      <c r="D377">
        <v>17.5</v>
      </c>
      <c r="F377">
        <v>3.2</v>
      </c>
      <c r="G377">
        <v>17.5</v>
      </c>
      <c r="H377" t="s">
        <v>91</v>
      </c>
      <c r="I377" s="70">
        <v>0.51050925925925927</v>
      </c>
      <c r="J377" t="s">
        <v>237</v>
      </c>
    </row>
    <row r="378" spans="1:10" hidden="1" x14ac:dyDescent="0.3">
      <c r="A378" t="str">
        <f t="shared" si="5"/>
        <v>Modulation quality TM3.3PORT21TM3.3</v>
      </c>
      <c r="B378" t="s">
        <v>187</v>
      </c>
      <c r="C378" t="s">
        <v>274</v>
      </c>
      <c r="D378">
        <v>17.5</v>
      </c>
      <c r="F378">
        <v>3.3</v>
      </c>
      <c r="G378">
        <v>17.5</v>
      </c>
      <c r="H378" t="s">
        <v>91</v>
      </c>
      <c r="I378" s="70">
        <v>0.51067129629629626</v>
      </c>
      <c r="J378" t="s">
        <v>237</v>
      </c>
    </row>
    <row r="379" spans="1:10" hidden="1" x14ac:dyDescent="0.3">
      <c r="A379" t="str">
        <f t="shared" si="5"/>
        <v>Modulation quality TM3.3PORT22TM3.3</v>
      </c>
      <c r="B379" t="s">
        <v>188</v>
      </c>
      <c r="C379" t="s">
        <v>274</v>
      </c>
      <c r="D379">
        <v>17.5</v>
      </c>
      <c r="F379">
        <v>3.2</v>
      </c>
      <c r="G379">
        <v>17.5</v>
      </c>
      <c r="H379" t="s">
        <v>91</v>
      </c>
      <c r="I379" s="70">
        <v>0.51083333333333336</v>
      </c>
      <c r="J379" t="s">
        <v>237</v>
      </c>
    </row>
    <row r="380" spans="1:10" hidden="1" x14ac:dyDescent="0.3">
      <c r="A380" t="str">
        <f t="shared" si="5"/>
        <v>Modulation quality TM3.3PORT23TM3.3</v>
      </c>
      <c r="B380" t="s">
        <v>189</v>
      </c>
      <c r="C380" t="s">
        <v>274</v>
      </c>
      <c r="D380">
        <v>17.5</v>
      </c>
      <c r="F380">
        <v>3.2</v>
      </c>
      <c r="G380">
        <v>17.5</v>
      </c>
      <c r="H380" t="s">
        <v>91</v>
      </c>
      <c r="I380" s="70">
        <v>0.51099537037037035</v>
      </c>
      <c r="J380" t="s">
        <v>237</v>
      </c>
    </row>
    <row r="381" spans="1:10" hidden="1" x14ac:dyDescent="0.3">
      <c r="A381" t="str">
        <f t="shared" si="5"/>
        <v>Modulation quality TM3.3PORT24TM3.3</v>
      </c>
      <c r="B381" t="s">
        <v>190</v>
      </c>
      <c r="C381" t="s">
        <v>274</v>
      </c>
      <c r="D381">
        <v>17.5</v>
      </c>
      <c r="F381">
        <v>3.2</v>
      </c>
      <c r="G381">
        <v>17.5</v>
      </c>
      <c r="H381" t="s">
        <v>91</v>
      </c>
      <c r="I381" s="70">
        <v>0.5111458333333333</v>
      </c>
      <c r="J381" t="s">
        <v>237</v>
      </c>
    </row>
    <row r="382" spans="1:10" hidden="1" x14ac:dyDescent="0.3">
      <c r="A382" t="str">
        <f t="shared" si="5"/>
        <v>Modulation quality TM3.3PORT25TM3.3</v>
      </c>
      <c r="B382" t="s">
        <v>191</v>
      </c>
      <c r="C382" t="s">
        <v>274</v>
      </c>
      <c r="D382">
        <v>17.5</v>
      </c>
      <c r="F382">
        <v>3.1</v>
      </c>
      <c r="G382">
        <v>17.5</v>
      </c>
      <c r="H382" t="s">
        <v>91</v>
      </c>
      <c r="I382" s="70">
        <v>0.5113078703703704</v>
      </c>
      <c r="J382" t="s">
        <v>237</v>
      </c>
    </row>
    <row r="383" spans="1:10" hidden="1" x14ac:dyDescent="0.3">
      <c r="A383" t="str">
        <f t="shared" si="5"/>
        <v>Modulation quality TM3.3PORT26TM3.3</v>
      </c>
      <c r="B383" t="s">
        <v>192</v>
      </c>
      <c r="C383" t="s">
        <v>274</v>
      </c>
      <c r="D383">
        <v>17.5</v>
      </c>
      <c r="F383">
        <v>3.2</v>
      </c>
      <c r="G383">
        <v>17.5</v>
      </c>
      <c r="H383" t="s">
        <v>91</v>
      </c>
      <c r="I383" s="70">
        <v>0.51146990740740739</v>
      </c>
      <c r="J383" t="s">
        <v>237</v>
      </c>
    </row>
    <row r="384" spans="1:10" hidden="1" x14ac:dyDescent="0.3">
      <c r="A384" t="str">
        <f t="shared" si="5"/>
        <v>Modulation quality TM3.3PORT27TM3.3</v>
      </c>
      <c r="B384" t="s">
        <v>193</v>
      </c>
      <c r="C384" t="s">
        <v>274</v>
      </c>
      <c r="D384">
        <v>17.5</v>
      </c>
      <c r="F384">
        <v>3.1</v>
      </c>
      <c r="G384">
        <v>17.5</v>
      </c>
      <c r="H384" t="s">
        <v>91</v>
      </c>
      <c r="I384" s="70">
        <v>0.51163194444444449</v>
      </c>
      <c r="J384" t="s">
        <v>237</v>
      </c>
    </row>
    <row r="385" spans="1:10" hidden="1" x14ac:dyDescent="0.3">
      <c r="A385" t="str">
        <f t="shared" si="5"/>
        <v>Modulation quality TM3.3PORT28TM3.3</v>
      </c>
      <c r="B385" t="s">
        <v>194</v>
      </c>
      <c r="C385" t="s">
        <v>274</v>
      </c>
      <c r="D385">
        <v>17.5</v>
      </c>
      <c r="F385">
        <v>3.1</v>
      </c>
      <c r="G385">
        <v>17.5</v>
      </c>
      <c r="H385" t="s">
        <v>91</v>
      </c>
      <c r="I385" s="70">
        <v>0.51179398148148147</v>
      </c>
      <c r="J385" t="s">
        <v>237</v>
      </c>
    </row>
    <row r="386" spans="1:10" hidden="1" x14ac:dyDescent="0.3">
      <c r="A386" t="str">
        <f t="shared" si="5"/>
        <v>Modulation quality TM3.3PORT29TM3.3</v>
      </c>
      <c r="B386" t="s">
        <v>195</v>
      </c>
      <c r="C386" t="s">
        <v>274</v>
      </c>
      <c r="D386">
        <v>17.5</v>
      </c>
      <c r="F386">
        <v>3.1</v>
      </c>
      <c r="G386">
        <v>17.5</v>
      </c>
      <c r="H386" t="s">
        <v>91</v>
      </c>
      <c r="I386" s="70">
        <v>0.51195601851851846</v>
      </c>
      <c r="J386" t="s">
        <v>237</v>
      </c>
    </row>
    <row r="387" spans="1:10" hidden="1" x14ac:dyDescent="0.3">
      <c r="A387" t="str">
        <f t="shared" ref="A387:A450" si="6">C387&amp;B387&amp;H387</f>
        <v>Modulation quality TM3.3PORT30TM3.3</v>
      </c>
      <c r="B387" t="s">
        <v>196</v>
      </c>
      <c r="C387" t="s">
        <v>274</v>
      </c>
      <c r="D387">
        <v>17.5</v>
      </c>
      <c r="F387">
        <v>3.1</v>
      </c>
      <c r="G387">
        <v>17.5</v>
      </c>
      <c r="H387" t="s">
        <v>91</v>
      </c>
      <c r="I387" s="70">
        <v>0.51210648148148141</v>
      </c>
      <c r="J387" t="s">
        <v>237</v>
      </c>
    </row>
    <row r="388" spans="1:10" hidden="1" x14ac:dyDescent="0.3">
      <c r="A388" t="str">
        <f t="shared" si="6"/>
        <v>Modulation quality TM3.3PORT31TM3.3</v>
      </c>
      <c r="B388" t="s">
        <v>197</v>
      </c>
      <c r="C388" t="s">
        <v>274</v>
      </c>
      <c r="D388">
        <v>17.5</v>
      </c>
      <c r="F388">
        <v>3.1</v>
      </c>
      <c r="G388">
        <v>17.5</v>
      </c>
      <c r="H388" t="s">
        <v>91</v>
      </c>
      <c r="I388" s="70">
        <v>0.51226851851851851</v>
      </c>
      <c r="J388" t="s">
        <v>237</v>
      </c>
    </row>
    <row r="389" spans="1:10" hidden="1" x14ac:dyDescent="0.3">
      <c r="A389" t="str">
        <f t="shared" si="6"/>
        <v>Modulation quality TM3.3PORT32TM3.3</v>
      </c>
      <c r="B389" t="s">
        <v>198</v>
      </c>
      <c r="C389" t="s">
        <v>274</v>
      </c>
      <c r="D389">
        <v>17.5</v>
      </c>
      <c r="F389">
        <v>3.1</v>
      </c>
      <c r="G389">
        <v>17.5</v>
      </c>
      <c r="H389" t="s">
        <v>91</v>
      </c>
      <c r="I389" s="70">
        <v>0.51243055555555561</v>
      </c>
      <c r="J389" t="s">
        <v>237</v>
      </c>
    </row>
    <row r="390" spans="1:10" x14ac:dyDescent="0.3">
      <c r="A390" t="str">
        <f t="shared" si="6"/>
        <v>Frequency error TM2.0PORT1TM3.3</v>
      </c>
      <c r="B390" t="s">
        <v>57</v>
      </c>
      <c r="C390" t="s">
        <v>276</v>
      </c>
      <c r="D390">
        <v>127.5</v>
      </c>
      <c r="E390">
        <v>115.5</v>
      </c>
      <c r="F390">
        <v>0</v>
      </c>
      <c r="G390">
        <v>139.5</v>
      </c>
      <c r="H390" t="s">
        <v>91</v>
      </c>
      <c r="I390" s="70">
        <v>0.29432870370370373</v>
      </c>
      <c r="J390" t="s">
        <v>237</v>
      </c>
    </row>
    <row r="391" spans="1:10" x14ac:dyDescent="0.3">
      <c r="A391" t="str">
        <f t="shared" si="6"/>
        <v>Frequency error TM2.0PORT2TM3.3</v>
      </c>
      <c r="B391" t="s">
        <v>59</v>
      </c>
      <c r="C391" t="s">
        <v>276</v>
      </c>
      <c r="D391">
        <v>127.5</v>
      </c>
      <c r="E391">
        <v>115.5</v>
      </c>
      <c r="F391">
        <v>0.5</v>
      </c>
      <c r="G391">
        <v>139.5</v>
      </c>
      <c r="H391" t="s">
        <v>91</v>
      </c>
      <c r="I391" s="70">
        <v>0.29434027777777777</v>
      </c>
      <c r="J391" t="s">
        <v>237</v>
      </c>
    </row>
    <row r="392" spans="1:10" x14ac:dyDescent="0.3">
      <c r="A392" t="str">
        <f t="shared" si="6"/>
        <v>Frequency error TM2.0PORT3TM3.3</v>
      </c>
      <c r="B392" t="s">
        <v>60</v>
      </c>
      <c r="C392" t="s">
        <v>276</v>
      </c>
      <c r="D392">
        <v>127.5</v>
      </c>
      <c r="E392">
        <v>115.5</v>
      </c>
      <c r="F392">
        <v>0.2</v>
      </c>
      <c r="G392">
        <v>139.5</v>
      </c>
      <c r="H392" t="s">
        <v>91</v>
      </c>
      <c r="I392" s="70">
        <v>0.29434027777777777</v>
      </c>
      <c r="J392" t="s">
        <v>237</v>
      </c>
    </row>
    <row r="393" spans="1:10" x14ac:dyDescent="0.3">
      <c r="A393" t="str">
        <f t="shared" si="6"/>
        <v>Frequency error TM2.0PORT4TM3.3</v>
      </c>
      <c r="B393" t="s">
        <v>61</v>
      </c>
      <c r="C393" t="s">
        <v>276</v>
      </c>
      <c r="D393">
        <v>127.5</v>
      </c>
      <c r="E393">
        <v>115.5</v>
      </c>
      <c r="F393">
        <v>0.3</v>
      </c>
      <c r="G393">
        <v>139.5</v>
      </c>
      <c r="H393" t="s">
        <v>91</v>
      </c>
      <c r="I393" s="70">
        <v>0.29435185185185186</v>
      </c>
      <c r="J393" t="s">
        <v>237</v>
      </c>
    </row>
    <row r="394" spans="1:10" x14ac:dyDescent="0.3">
      <c r="A394" t="str">
        <f t="shared" si="6"/>
        <v>Frequency error TM2.0PORT5TM3.3</v>
      </c>
      <c r="B394" t="s">
        <v>62</v>
      </c>
      <c r="C394" t="s">
        <v>276</v>
      </c>
      <c r="D394">
        <v>127.5</v>
      </c>
      <c r="E394">
        <v>115.5</v>
      </c>
      <c r="F394">
        <v>0.3</v>
      </c>
      <c r="G394">
        <v>139.5</v>
      </c>
      <c r="H394" t="s">
        <v>91</v>
      </c>
      <c r="I394" s="70">
        <v>0.29435185185185186</v>
      </c>
      <c r="J394" t="s">
        <v>237</v>
      </c>
    </row>
    <row r="395" spans="1:10" x14ac:dyDescent="0.3">
      <c r="A395" t="str">
        <f t="shared" si="6"/>
        <v>Frequency error TM2.0PORT6TM3.3</v>
      </c>
      <c r="B395" t="s">
        <v>63</v>
      </c>
      <c r="C395" t="s">
        <v>276</v>
      </c>
      <c r="D395">
        <v>127.5</v>
      </c>
      <c r="E395">
        <v>115.5</v>
      </c>
      <c r="F395">
        <v>0.4</v>
      </c>
      <c r="G395">
        <v>139.5</v>
      </c>
      <c r="H395" t="s">
        <v>91</v>
      </c>
      <c r="I395" s="70">
        <v>0.29436342592592596</v>
      </c>
      <c r="J395" t="s">
        <v>237</v>
      </c>
    </row>
    <row r="396" spans="1:10" x14ac:dyDescent="0.3">
      <c r="A396" t="str">
        <f t="shared" si="6"/>
        <v>Frequency error TM2.0PORT7TM3.3</v>
      </c>
      <c r="B396" t="s">
        <v>64</v>
      </c>
      <c r="C396" t="s">
        <v>276</v>
      </c>
      <c r="D396">
        <v>127.5</v>
      </c>
      <c r="E396">
        <v>115.5</v>
      </c>
      <c r="F396">
        <v>0.6</v>
      </c>
      <c r="G396">
        <v>139.5</v>
      </c>
      <c r="H396" t="s">
        <v>91</v>
      </c>
      <c r="I396" s="70">
        <v>0.29436342592592596</v>
      </c>
      <c r="J396" t="s">
        <v>237</v>
      </c>
    </row>
    <row r="397" spans="1:10" x14ac:dyDescent="0.3">
      <c r="A397" t="str">
        <f t="shared" si="6"/>
        <v>Frequency error TM2.0PORT8TM3.3</v>
      </c>
      <c r="B397" t="s">
        <v>65</v>
      </c>
      <c r="C397" t="s">
        <v>276</v>
      </c>
      <c r="D397">
        <v>127.5</v>
      </c>
      <c r="E397">
        <v>115.5</v>
      </c>
      <c r="F397">
        <v>0.3</v>
      </c>
      <c r="G397">
        <v>139.5</v>
      </c>
      <c r="H397" t="s">
        <v>91</v>
      </c>
      <c r="I397" s="70">
        <v>0.294375</v>
      </c>
      <c r="J397" t="s">
        <v>237</v>
      </c>
    </row>
    <row r="398" spans="1:10" x14ac:dyDescent="0.3">
      <c r="A398" t="str">
        <f t="shared" si="6"/>
        <v>Frequency error TM2.0PORT9TM3.3</v>
      </c>
      <c r="B398" t="s">
        <v>175</v>
      </c>
      <c r="C398" t="s">
        <v>276</v>
      </c>
      <c r="D398">
        <v>127.5</v>
      </c>
      <c r="E398">
        <v>115.5</v>
      </c>
      <c r="F398">
        <v>0.3</v>
      </c>
      <c r="G398">
        <v>139.5</v>
      </c>
      <c r="H398" t="s">
        <v>91</v>
      </c>
      <c r="I398" s="70">
        <v>0.294375</v>
      </c>
      <c r="J398" t="s">
        <v>237</v>
      </c>
    </row>
    <row r="399" spans="1:10" x14ac:dyDescent="0.3">
      <c r="A399" t="str">
        <f t="shared" si="6"/>
        <v>Frequency error TM2.0PORT10TM3.3</v>
      </c>
      <c r="B399" t="s">
        <v>176</v>
      </c>
      <c r="C399" t="s">
        <v>276</v>
      </c>
      <c r="D399">
        <v>127.5</v>
      </c>
      <c r="E399">
        <v>115.5</v>
      </c>
      <c r="F399">
        <v>0.4</v>
      </c>
      <c r="G399">
        <v>139.5</v>
      </c>
      <c r="H399" t="s">
        <v>91</v>
      </c>
      <c r="I399" s="70">
        <v>0.29438657407407409</v>
      </c>
      <c r="J399" t="s">
        <v>237</v>
      </c>
    </row>
    <row r="400" spans="1:10" x14ac:dyDescent="0.3">
      <c r="A400" t="str">
        <f t="shared" si="6"/>
        <v>Frequency error TM2.0PORT11TM3.3</v>
      </c>
      <c r="B400" t="s">
        <v>177</v>
      </c>
      <c r="C400" t="s">
        <v>276</v>
      </c>
      <c r="D400">
        <v>127.5</v>
      </c>
      <c r="E400">
        <v>115.5</v>
      </c>
      <c r="F400">
        <v>0</v>
      </c>
      <c r="G400">
        <v>139.5</v>
      </c>
      <c r="H400" t="s">
        <v>91</v>
      </c>
      <c r="I400" s="70">
        <v>0.29438657407407409</v>
      </c>
      <c r="J400" t="s">
        <v>237</v>
      </c>
    </row>
    <row r="401" spans="1:10" x14ac:dyDescent="0.3">
      <c r="A401" t="str">
        <f t="shared" si="6"/>
        <v>Frequency error TM2.0PORT12TM3.3</v>
      </c>
      <c r="B401" t="s">
        <v>178</v>
      </c>
      <c r="C401" t="s">
        <v>276</v>
      </c>
      <c r="D401">
        <v>127.5</v>
      </c>
      <c r="E401">
        <v>115.5</v>
      </c>
      <c r="F401">
        <v>0.3</v>
      </c>
      <c r="G401">
        <v>139.5</v>
      </c>
      <c r="H401" t="s">
        <v>91</v>
      </c>
      <c r="I401" s="70">
        <v>0.29439814814814813</v>
      </c>
      <c r="J401" t="s">
        <v>237</v>
      </c>
    </row>
    <row r="402" spans="1:10" x14ac:dyDescent="0.3">
      <c r="A402" t="str">
        <f t="shared" si="6"/>
        <v>Frequency error TM2.0PORT13TM3.3</v>
      </c>
      <c r="B402" t="s">
        <v>179</v>
      </c>
      <c r="C402" t="s">
        <v>276</v>
      </c>
      <c r="D402">
        <v>127.5</v>
      </c>
      <c r="E402">
        <v>115.5</v>
      </c>
      <c r="F402">
        <v>0.5</v>
      </c>
      <c r="G402">
        <v>139.5</v>
      </c>
      <c r="H402" t="s">
        <v>91</v>
      </c>
      <c r="I402" s="70">
        <v>0.29439814814814813</v>
      </c>
      <c r="J402" t="s">
        <v>237</v>
      </c>
    </row>
    <row r="403" spans="1:10" x14ac:dyDescent="0.3">
      <c r="A403" t="str">
        <f t="shared" si="6"/>
        <v>Frequency error TM2.0PORT14TM3.3</v>
      </c>
      <c r="B403" t="s">
        <v>180</v>
      </c>
      <c r="C403" t="s">
        <v>276</v>
      </c>
      <c r="D403">
        <v>127.5</v>
      </c>
      <c r="E403">
        <v>115.5</v>
      </c>
      <c r="F403">
        <v>0.1</v>
      </c>
      <c r="G403">
        <v>139.5</v>
      </c>
      <c r="H403" t="s">
        <v>91</v>
      </c>
      <c r="I403" s="70">
        <v>0.29440972222222223</v>
      </c>
      <c r="J403" t="s">
        <v>237</v>
      </c>
    </row>
    <row r="404" spans="1:10" x14ac:dyDescent="0.3">
      <c r="A404" t="str">
        <f t="shared" si="6"/>
        <v>Frequency error TM2.0PORT15TM3.3</v>
      </c>
      <c r="B404" t="s">
        <v>181</v>
      </c>
      <c r="C404" t="s">
        <v>276</v>
      </c>
      <c r="D404">
        <v>127.5</v>
      </c>
      <c r="E404">
        <v>115.5</v>
      </c>
      <c r="F404">
        <v>0.2</v>
      </c>
      <c r="G404">
        <v>139.5</v>
      </c>
      <c r="H404" t="s">
        <v>91</v>
      </c>
      <c r="I404" s="70">
        <v>0.29440972222222223</v>
      </c>
      <c r="J404" t="s">
        <v>237</v>
      </c>
    </row>
    <row r="405" spans="1:10" x14ac:dyDescent="0.3">
      <c r="A405" t="str">
        <f t="shared" si="6"/>
        <v>Frequency error TM2.0PORT16TM3.3</v>
      </c>
      <c r="B405" t="s">
        <v>182</v>
      </c>
      <c r="C405" t="s">
        <v>276</v>
      </c>
      <c r="D405">
        <v>127.5</v>
      </c>
      <c r="E405">
        <v>115.5</v>
      </c>
      <c r="F405">
        <v>0</v>
      </c>
      <c r="G405">
        <v>139.5</v>
      </c>
      <c r="H405" t="s">
        <v>91</v>
      </c>
      <c r="I405" s="70">
        <v>0.29442129629629626</v>
      </c>
      <c r="J405" t="s">
        <v>237</v>
      </c>
    </row>
    <row r="406" spans="1:10" x14ac:dyDescent="0.3">
      <c r="A406" t="str">
        <f t="shared" si="6"/>
        <v>Frequency error TM2.0PORT17TM3.3</v>
      </c>
      <c r="B406" t="s">
        <v>183</v>
      </c>
      <c r="C406" t="s">
        <v>276</v>
      </c>
      <c r="D406">
        <v>127.5</v>
      </c>
      <c r="E406">
        <v>115.5</v>
      </c>
      <c r="F406">
        <v>0.1</v>
      </c>
      <c r="G406">
        <v>139.5</v>
      </c>
      <c r="H406" t="s">
        <v>91</v>
      </c>
      <c r="I406" s="70">
        <v>0.29442129629629626</v>
      </c>
      <c r="J406" t="s">
        <v>237</v>
      </c>
    </row>
    <row r="407" spans="1:10" x14ac:dyDescent="0.3">
      <c r="A407" t="str">
        <f t="shared" si="6"/>
        <v>Frequency error TM2.0PORT18TM3.3</v>
      </c>
      <c r="B407" t="s">
        <v>184</v>
      </c>
      <c r="C407" t="s">
        <v>276</v>
      </c>
      <c r="D407">
        <v>127.5</v>
      </c>
      <c r="E407">
        <v>115.5</v>
      </c>
      <c r="F407">
        <v>0</v>
      </c>
      <c r="G407">
        <v>139.5</v>
      </c>
      <c r="H407" t="s">
        <v>91</v>
      </c>
      <c r="I407" s="70">
        <v>0.29443287037037036</v>
      </c>
      <c r="J407" t="s">
        <v>237</v>
      </c>
    </row>
    <row r="408" spans="1:10" x14ac:dyDescent="0.3">
      <c r="A408" t="str">
        <f t="shared" si="6"/>
        <v>Frequency error TM2.0PORT19TM3.3</v>
      </c>
      <c r="B408" t="s">
        <v>185</v>
      </c>
      <c r="C408" t="s">
        <v>276</v>
      </c>
      <c r="D408">
        <v>127.5</v>
      </c>
      <c r="E408">
        <v>115.5</v>
      </c>
      <c r="F408">
        <v>0.2</v>
      </c>
      <c r="G408">
        <v>139.5</v>
      </c>
      <c r="H408" t="s">
        <v>91</v>
      </c>
      <c r="I408" s="70">
        <v>0.29443287037037036</v>
      </c>
      <c r="J408" t="s">
        <v>237</v>
      </c>
    </row>
    <row r="409" spans="1:10" x14ac:dyDescent="0.3">
      <c r="A409" t="str">
        <f t="shared" si="6"/>
        <v>Frequency error TM2.0PORT20TM3.3</v>
      </c>
      <c r="B409" t="s">
        <v>186</v>
      </c>
      <c r="C409" t="s">
        <v>276</v>
      </c>
      <c r="D409">
        <v>127.5</v>
      </c>
      <c r="E409">
        <v>115.5</v>
      </c>
      <c r="F409">
        <v>0.2</v>
      </c>
      <c r="G409">
        <v>139.5</v>
      </c>
      <c r="H409" t="s">
        <v>91</v>
      </c>
      <c r="I409" s="70">
        <v>0.29444444444444445</v>
      </c>
      <c r="J409" t="s">
        <v>237</v>
      </c>
    </row>
    <row r="410" spans="1:10" x14ac:dyDescent="0.3">
      <c r="A410" t="str">
        <f t="shared" si="6"/>
        <v>Frequency error TM2.0PORT21TM3.3</v>
      </c>
      <c r="B410" t="s">
        <v>187</v>
      </c>
      <c r="C410" t="s">
        <v>276</v>
      </c>
      <c r="D410">
        <v>127.5</v>
      </c>
      <c r="E410">
        <v>115.5</v>
      </c>
      <c r="F410">
        <v>0.3</v>
      </c>
      <c r="G410">
        <v>139.5</v>
      </c>
      <c r="H410" t="s">
        <v>91</v>
      </c>
      <c r="I410" s="70">
        <v>0.29444444444444445</v>
      </c>
      <c r="J410" t="s">
        <v>237</v>
      </c>
    </row>
    <row r="411" spans="1:10" x14ac:dyDescent="0.3">
      <c r="A411" t="str">
        <f t="shared" si="6"/>
        <v>Frequency error TM2.0PORT22TM3.3</v>
      </c>
      <c r="B411" t="s">
        <v>188</v>
      </c>
      <c r="C411" t="s">
        <v>276</v>
      </c>
      <c r="D411">
        <v>127.5</v>
      </c>
      <c r="E411">
        <v>115.5</v>
      </c>
      <c r="F411">
        <v>0</v>
      </c>
      <c r="G411">
        <v>139.5</v>
      </c>
      <c r="H411" t="s">
        <v>91</v>
      </c>
      <c r="I411" s="70">
        <v>0.29444444444444445</v>
      </c>
      <c r="J411" t="s">
        <v>237</v>
      </c>
    </row>
    <row r="412" spans="1:10" x14ac:dyDescent="0.3">
      <c r="A412" t="str">
        <f t="shared" si="6"/>
        <v>Frequency error TM2.0PORT23TM3.3</v>
      </c>
      <c r="B412" t="s">
        <v>189</v>
      </c>
      <c r="C412" t="s">
        <v>276</v>
      </c>
      <c r="D412">
        <v>127.5</v>
      </c>
      <c r="E412">
        <v>115.5</v>
      </c>
      <c r="F412">
        <v>0.1</v>
      </c>
      <c r="G412">
        <v>139.5</v>
      </c>
      <c r="H412" t="s">
        <v>91</v>
      </c>
      <c r="I412" s="70">
        <v>0.29445601851851849</v>
      </c>
      <c r="J412" t="s">
        <v>237</v>
      </c>
    </row>
    <row r="413" spans="1:10" x14ac:dyDescent="0.3">
      <c r="A413" t="str">
        <f t="shared" si="6"/>
        <v>Frequency error TM2.0PORT24TM3.3</v>
      </c>
      <c r="B413" t="s">
        <v>190</v>
      </c>
      <c r="C413" t="s">
        <v>276</v>
      </c>
      <c r="D413">
        <v>127.5</v>
      </c>
      <c r="E413">
        <v>115.5</v>
      </c>
      <c r="F413">
        <v>0.2</v>
      </c>
      <c r="G413">
        <v>139.5</v>
      </c>
      <c r="H413" t="s">
        <v>91</v>
      </c>
      <c r="I413" s="70">
        <v>0.29445601851851849</v>
      </c>
      <c r="J413" t="s">
        <v>237</v>
      </c>
    </row>
    <row r="414" spans="1:10" x14ac:dyDescent="0.3">
      <c r="A414" t="str">
        <f t="shared" si="6"/>
        <v>Frequency error TM2.0PORT25TM3.3</v>
      </c>
      <c r="B414" t="s">
        <v>191</v>
      </c>
      <c r="C414" t="s">
        <v>276</v>
      </c>
      <c r="D414">
        <v>127.5</v>
      </c>
      <c r="E414">
        <v>115.5</v>
      </c>
      <c r="F414">
        <v>0</v>
      </c>
      <c r="G414">
        <v>139.5</v>
      </c>
      <c r="H414" t="s">
        <v>91</v>
      </c>
      <c r="I414" s="70">
        <v>0.29446759259259259</v>
      </c>
      <c r="J414" t="s">
        <v>237</v>
      </c>
    </row>
    <row r="415" spans="1:10" x14ac:dyDescent="0.3">
      <c r="A415" t="str">
        <f t="shared" si="6"/>
        <v>Frequency error TM2.0PORT26TM3.3</v>
      </c>
      <c r="B415" t="s">
        <v>192</v>
      </c>
      <c r="C415" t="s">
        <v>276</v>
      </c>
      <c r="D415">
        <v>127.5</v>
      </c>
      <c r="E415">
        <v>115.5</v>
      </c>
      <c r="F415">
        <v>0.1</v>
      </c>
      <c r="G415">
        <v>139.5</v>
      </c>
      <c r="H415" t="s">
        <v>91</v>
      </c>
      <c r="I415" s="70">
        <v>0.29446759259259259</v>
      </c>
      <c r="J415" t="s">
        <v>237</v>
      </c>
    </row>
    <row r="416" spans="1:10" x14ac:dyDescent="0.3">
      <c r="A416" t="str">
        <f t="shared" si="6"/>
        <v>Frequency error TM2.0PORT27TM3.3</v>
      </c>
      <c r="B416" t="s">
        <v>193</v>
      </c>
      <c r="C416" t="s">
        <v>276</v>
      </c>
      <c r="D416">
        <v>127.5</v>
      </c>
      <c r="E416">
        <v>115.5</v>
      </c>
      <c r="F416">
        <v>0.3</v>
      </c>
      <c r="G416">
        <v>139.5</v>
      </c>
      <c r="H416" t="s">
        <v>91</v>
      </c>
      <c r="I416" s="70">
        <v>0.29447916666666668</v>
      </c>
      <c r="J416" t="s">
        <v>237</v>
      </c>
    </row>
    <row r="417" spans="1:10" x14ac:dyDescent="0.3">
      <c r="A417" t="str">
        <f t="shared" si="6"/>
        <v>Frequency error TM2.0PORT28TM3.3</v>
      </c>
      <c r="B417" t="s">
        <v>194</v>
      </c>
      <c r="C417" t="s">
        <v>276</v>
      </c>
      <c r="D417">
        <v>127.5</v>
      </c>
      <c r="E417">
        <v>115.5</v>
      </c>
      <c r="F417">
        <v>0.2</v>
      </c>
      <c r="G417">
        <v>139.5</v>
      </c>
      <c r="H417" t="s">
        <v>91</v>
      </c>
      <c r="I417" s="70">
        <v>0.29447916666666668</v>
      </c>
      <c r="J417" t="s">
        <v>237</v>
      </c>
    </row>
    <row r="418" spans="1:10" x14ac:dyDescent="0.3">
      <c r="A418" t="str">
        <f t="shared" si="6"/>
        <v>Frequency error TM2.0PORT29TM3.3</v>
      </c>
      <c r="B418" t="s">
        <v>195</v>
      </c>
      <c r="C418" t="s">
        <v>276</v>
      </c>
      <c r="D418">
        <v>127.5</v>
      </c>
      <c r="E418">
        <v>115.5</v>
      </c>
      <c r="F418">
        <v>0.1</v>
      </c>
      <c r="G418">
        <v>139.5</v>
      </c>
      <c r="H418" t="s">
        <v>91</v>
      </c>
      <c r="I418" s="70">
        <v>0.29449074074074072</v>
      </c>
      <c r="J418" t="s">
        <v>237</v>
      </c>
    </row>
    <row r="419" spans="1:10" x14ac:dyDescent="0.3">
      <c r="A419" t="str">
        <f t="shared" si="6"/>
        <v>Frequency error TM2.0PORT30TM3.3</v>
      </c>
      <c r="B419" t="s">
        <v>196</v>
      </c>
      <c r="C419" t="s">
        <v>276</v>
      </c>
      <c r="D419">
        <v>127.5</v>
      </c>
      <c r="E419">
        <v>115.5</v>
      </c>
      <c r="F419">
        <v>0.1</v>
      </c>
      <c r="G419">
        <v>139.5</v>
      </c>
      <c r="H419" t="s">
        <v>91</v>
      </c>
      <c r="I419" s="70">
        <v>0.29449074074074072</v>
      </c>
      <c r="J419" t="s">
        <v>237</v>
      </c>
    </row>
    <row r="420" spans="1:10" x14ac:dyDescent="0.3">
      <c r="A420" t="str">
        <f t="shared" si="6"/>
        <v>Frequency error TM2.0PORT31TM3.3</v>
      </c>
      <c r="B420" t="s">
        <v>197</v>
      </c>
      <c r="C420" t="s">
        <v>276</v>
      </c>
      <c r="D420">
        <v>127.5</v>
      </c>
      <c r="E420">
        <v>115.5</v>
      </c>
      <c r="F420">
        <v>0.3</v>
      </c>
      <c r="G420">
        <v>139.5</v>
      </c>
      <c r="H420" t="s">
        <v>91</v>
      </c>
      <c r="I420" s="70">
        <v>0.29450231481481481</v>
      </c>
      <c r="J420" t="s">
        <v>237</v>
      </c>
    </row>
    <row r="421" spans="1:10" x14ac:dyDescent="0.3">
      <c r="A421" t="str">
        <f t="shared" si="6"/>
        <v>Frequency error TM2.0PORT32TM3.3</v>
      </c>
      <c r="B421" t="s">
        <v>198</v>
      </c>
      <c r="C421" t="s">
        <v>276</v>
      </c>
      <c r="D421">
        <v>127.5</v>
      </c>
      <c r="E421">
        <v>115.5</v>
      </c>
      <c r="F421">
        <v>0.2</v>
      </c>
      <c r="G421">
        <v>139.5</v>
      </c>
      <c r="H421" t="s">
        <v>91</v>
      </c>
      <c r="I421" s="70">
        <v>0.29450231481481481</v>
      </c>
      <c r="J421" t="s">
        <v>237</v>
      </c>
    </row>
    <row r="422" spans="1:10" x14ac:dyDescent="0.3">
      <c r="A422" t="str">
        <f t="shared" si="6"/>
        <v>Frequency error TM2.0aPORT1TM3.3</v>
      </c>
      <c r="B422" t="s">
        <v>57</v>
      </c>
      <c r="C422" t="s">
        <v>277</v>
      </c>
      <c r="D422">
        <v>127.5</v>
      </c>
      <c r="E422">
        <v>115.5</v>
      </c>
      <c r="F422">
        <v>0.5</v>
      </c>
      <c r="G422">
        <v>139.5</v>
      </c>
      <c r="H422" t="s">
        <v>91</v>
      </c>
      <c r="I422" s="70">
        <v>0.29451388888888891</v>
      </c>
      <c r="J422" t="s">
        <v>237</v>
      </c>
    </row>
    <row r="423" spans="1:10" x14ac:dyDescent="0.3">
      <c r="A423" t="str">
        <f t="shared" si="6"/>
        <v>Frequency error TM2.0aPORT2TM3.3</v>
      </c>
      <c r="B423" t="s">
        <v>59</v>
      </c>
      <c r="C423" t="s">
        <v>277</v>
      </c>
      <c r="D423">
        <v>127.5</v>
      </c>
      <c r="E423">
        <v>115.5</v>
      </c>
      <c r="F423">
        <v>0.2</v>
      </c>
      <c r="G423">
        <v>139.5</v>
      </c>
      <c r="H423" t="s">
        <v>91</v>
      </c>
      <c r="I423" s="70">
        <v>0.29451388888888891</v>
      </c>
      <c r="J423" t="s">
        <v>237</v>
      </c>
    </row>
    <row r="424" spans="1:10" x14ac:dyDescent="0.3">
      <c r="A424" t="str">
        <f t="shared" si="6"/>
        <v>Frequency error TM2.0aPORT3TM3.3</v>
      </c>
      <c r="B424" t="s">
        <v>60</v>
      </c>
      <c r="C424" t="s">
        <v>277</v>
      </c>
      <c r="D424">
        <v>127.5</v>
      </c>
      <c r="E424">
        <v>115.5</v>
      </c>
      <c r="F424">
        <v>0.3</v>
      </c>
      <c r="G424">
        <v>139.5</v>
      </c>
      <c r="H424" t="s">
        <v>91</v>
      </c>
      <c r="I424" s="70">
        <v>0.29452546296296295</v>
      </c>
      <c r="J424" t="s">
        <v>237</v>
      </c>
    </row>
    <row r="425" spans="1:10" x14ac:dyDescent="0.3">
      <c r="A425" t="str">
        <f t="shared" si="6"/>
        <v>Frequency error TM2.0aPORT4TM3.3</v>
      </c>
      <c r="B425" t="s">
        <v>61</v>
      </c>
      <c r="C425" t="s">
        <v>277</v>
      </c>
      <c r="D425">
        <v>127.5</v>
      </c>
      <c r="E425">
        <v>115.5</v>
      </c>
      <c r="F425">
        <v>0.1</v>
      </c>
      <c r="G425">
        <v>139.5</v>
      </c>
      <c r="H425" t="s">
        <v>91</v>
      </c>
      <c r="I425" s="70">
        <v>0.29452546296296295</v>
      </c>
      <c r="J425" t="s">
        <v>237</v>
      </c>
    </row>
    <row r="426" spans="1:10" x14ac:dyDescent="0.3">
      <c r="A426" t="str">
        <f t="shared" si="6"/>
        <v>Frequency error TM2.0aPORT5TM3.3</v>
      </c>
      <c r="B426" t="s">
        <v>62</v>
      </c>
      <c r="C426" t="s">
        <v>277</v>
      </c>
      <c r="D426">
        <v>127.5</v>
      </c>
      <c r="E426">
        <v>115.5</v>
      </c>
      <c r="F426">
        <v>0.1</v>
      </c>
      <c r="G426">
        <v>139.5</v>
      </c>
      <c r="H426" t="s">
        <v>91</v>
      </c>
      <c r="I426" s="70">
        <v>0.29453703703703704</v>
      </c>
      <c r="J426" t="s">
        <v>237</v>
      </c>
    </row>
    <row r="427" spans="1:10" x14ac:dyDescent="0.3">
      <c r="A427" t="str">
        <f t="shared" si="6"/>
        <v>Frequency error TM2.0aPORT6TM3.3</v>
      </c>
      <c r="B427" t="s">
        <v>63</v>
      </c>
      <c r="C427" t="s">
        <v>277</v>
      </c>
      <c r="D427">
        <v>127.5</v>
      </c>
      <c r="E427">
        <v>115.5</v>
      </c>
      <c r="F427">
        <v>0.2</v>
      </c>
      <c r="G427">
        <v>139.5</v>
      </c>
      <c r="H427" t="s">
        <v>91</v>
      </c>
      <c r="I427" s="70">
        <v>0.29453703703703704</v>
      </c>
      <c r="J427" t="s">
        <v>237</v>
      </c>
    </row>
    <row r="428" spans="1:10" x14ac:dyDescent="0.3">
      <c r="A428" t="str">
        <f t="shared" si="6"/>
        <v>Frequency error TM2.0aPORT7TM3.3</v>
      </c>
      <c r="B428" t="s">
        <v>64</v>
      </c>
      <c r="C428" t="s">
        <v>277</v>
      </c>
      <c r="D428">
        <v>127.5</v>
      </c>
      <c r="E428">
        <v>115.5</v>
      </c>
      <c r="F428">
        <v>0</v>
      </c>
      <c r="G428">
        <v>139.5</v>
      </c>
      <c r="H428" t="s">
        <v>91</v>
      </c>
      <c r="I428" s="70">
        <v>0.29454861111111114</v>
      </c>
      <c r="J428" t="s">
        <v>237</v>
      </c>
    </row>
    <row r="429" spans="1:10" x14ac:dyDescent="0.3">
      <c r="A429" t="str">
        <f t="shared" si="6"/>
        <v>Frequency error TM2.0aPORT8TM3.3</v>
      </c>
      <c r="B429" t="s">
        <v>65</v>
      </c>
      <c r="C429" t="s">
        <v>277</v>
      </c>
      <c r="D429">
        <v>127.5</v>
      </c>
      <c r="E429">
        <v>115.5</v>
      </c>
      <c r="F429">
        <v>0</v>
      </c>
      <c r="G429">
        <v>139.5</v>
      </c>
      <c r="H429" t="s">
        <v>91</v>
      </c>
      <c r="I429" s="70">
        <v>0.29454861111111114</v>
      </c>
      <c r="J429" t="s">
        <v>237</v>
      </c>
    </row>
    <row r="430" spans="1:10" x14ac:dyDescent="0.3">
      <c r="A430" t="str">
        <f t="shared" si="6"/>
        <v>Frequency error TM2.0aPORT9TM3.3</v>
      </c>
      <c r="B430" t="s">
        <v>175</v>
      </c>
      <c r="C430" t="s">
        <v>277</v>
      </c>
      <c r="D430">
        <v>127.5</v>
      </c>
      <c r="E430">
        <v>115.5</v>
      </c>
      <c r="F430">
        <v>0.2</v>
      </c>
      <c r="G430">
        <v>139.5</v>
      </c>
      <c r="H430" t="s">
        <v>91</v>
      </c>
      <c r="I430" s="70">
        <v>0.29456018518518517</v>
      </c>
      <c r="J430" t="s">
        <v>237</v>
      </c>
    </row>
    <row r="431" spans="1:10" x14ac:dyDescent="0.3">
      <c r="A431" t="str">
        <f t="shared" si="6"/>
        <v>Frequency error TM2.0aPORT10TM3.3</v>
      </c>
      <c r="B431" t="s">
        <v>176</v>
      </c>
      <c r="C431" t="s">
        <v>277</v>
      </c>
      <c r="D431">
        <v>127.5</v>
      </c>
      <c r="E431">
        <v>115.5</v>
      </c>
      <c r="F431">
        <v>0.4</v>
      </c>
      <c r="G431">
        <v>139.5</v>
      </c>
      <c r="H431" t="s">
        <v>91</v>
      </c>
      <c r="I431" s="70">
        <v>0.29456018518518517</v>
      </c>
      <c r="J431" t="s">
        <v>237</v>
      </c>
    </row>
    <row r="432" spans="1:10" x14ac:dyDescent="0.3">
      <c r="A432" t="str">
        <f t="shared" si="6"/>
        <v>Frequency error TM2.0aPORT11TM3.3</v>
      </c>
      <c r="B432" t="s">
        <v>177</v>
      </c>
      <c r="C432" t="s">
        <v>277</v>
      </c>
      <c r="D432">
        <v>127.5</v>
      </c>
      <c r="E432">
        <v>115.5</v>
      </c>
      <c r="F432">
        <v>0.4</v>
      </c>
      <c r="G432">
        <v>139.5</v>
      </c>
      <c r="H432" t="s">
        <v>91</v>
      </c>
      <c r="I432" s="70">
        <v>0.29457175925925927</v>
      </c>
      <c r="J432" t="s">
        <v>237</v>
      </c>
    </row>
    <row r="433" spans="1:10" x14ac:dyDescent="0.3">
      <c r="A433" t="str">
        <f t="shared" si="6"/>
        <v>Frequency error TM2.0aPORT12TM3.3</v>
      </c>
      <c r="B433" t="s">
        <v>178</v>
      </c>
      <c r="C433" t="s">
        <v>277</v>
      </c>
      <c r="D433">
        <v>127.5</v>
      </c>
      <c r="E433">
        <v>115.5</v>
      </c>
      <c r="F433">
        <v>0.5</v>
      </c>
      <c r="G433">
        <v>139.5</v>
      </c>
      <c r="H433" t="s">
        <v>91</v>
      </c>
      <c r="I433" s="70">
        <v>0.29457175925925927</v>
      </c>
      <c r="J433" t="s">
        <v>237</v>
      </c>
    </row>
    <row r="434" spans="1:10" x14ac:dyDescent="0.3">
      <c r="A434" t="str">
        <f t="shared" si="6"/>
        <v>Frequency error TM2.0aPORT13TM3.3</v>
      </c>
      <c r="B434" t="s">
        <v>179</v>
      </c>
      <c r="C434" t="s">
        <v>277</v>
      </c>
      <c r="D434">
        <v>127.5</v>
      </c>
      <c r="E434">
        <v>115.5</v>
      </c>
      <c r="F434">
        <v>0</v>
      </c>
      <c r="G434">
        <v>139.5</v>
      </c>
      <c r="H434" t="s">
        <v>91</v>
      </c>
      <c r="I434" s="70">
        <v>0.29458333333333336</v>
      </c>
      <c r="J434" t="s">
        <v>237</v>
      </c>
    </row>
    <row r="435" spans="1:10" x14ac:dyDescent="0.3">
      <c r="A435" t="str">
        <f t="shared" si="6"/>
        <v>Frequency error TM2.0aPORT14TM3.3</v>
      </c>
      <c r="B435" t="s">
        <v>180</v>
      </c>
      <c r="C435" t="s">
        <v>277</v>
      </c>
      <c r="D435">
        <v>127.5</v>
      </c>
      <c r="E435">
        <v>115.5</v>
      </c>
      <c r="F435">
        <v>0.2</v>
      </c>
      <c r="G435">
        <v>139.5</v>
      </c>
      <c r="H435" t="s">
        <v>91</v>
      </c>
      <c r="I435" s="70">
        <v>0.29458333333333336</v>
      </c>
      <c r="J435" t="s">
        <v>237</v>
      </c>
    </row>
    <row r="436" spans="1:10" x14ac:dyDescent="0.3">
      <c r="A436" t="str">
        <f t="shared" si="6"/>
        <v>Frequency error TM2.0aPORT15TM3.3</v>
      </c>
      <c r="B436" t="s">
        <v>181</v>
      </c>
      <c r="C436" t="s">
        <v>277</v>
      </c>
      <c r="D436">
        <v>127.5</v>
      </c>
      <c r="E436">
        <v>115.5</v>
      </c>
      <c r="F436">
        <v>0.2</v>
      </c>
      <c r="G436">
        <v>139.5</v>
      </c>
      <c r="H436" t="s">
        <v>91</v>
      </c>
      <c r="I436" s="70">
        <v>0.2945949074074074</v>
      </c>
      <c r="J436" t="s">
        <v>237</v>
      </c>
    </row>
    <row r="437" spans="1:10" x14ac:dyDescent="0.3">
      <c r="A437" t="str">
        <f t="shared" si="6"/>
        <v>Frequency error TM2.0aPORT16TM3.3</v>
      </c>
      <c r="B437" t="s">
        <v>182</v>
      </c>
      <c r="C437" t="s">
        <v>277</v>
      </c>
      <c r="D437">
        <v>127.5</v>
      </c>
      <c r="E437">
        <v>115.5</v>
      </c>
      <c r="F437">
        <v>0.2</v>
      </c>
      <c r="G437">
        <v>139.5</v>
      </c>
      <c r="H437" t="s">
        <v>91</v>
      </c>
      <c r="I437" s="70">
        <v>0.2945949074074074</v>
      </c>
      <c r="J437" t="s">
        <v>237</v>
      </c>
    </row>
    <row r="438" spans="1:10" x14ac:dyDescent="0.3">
      <c r="A438" t="str">
        <f t="shared" si="6"/>
        <v>Frequency error TM2.0aPORT17TM3.3</v>
      </c>
      <c r="B438" t="s">
        <v>183</v>
      </c>
      <c r="C438" t="s">
        <v>277</v>
      </c>
      <c r="D438">
        <v>127.5</v>
      </c>
      <c r="E438">
        <v>115.5</v>
      </c>
      <c r="F438">
        <v>0.1</v>
      </c>
      <c r="G438">
        <v>139.5</v>
      </c>
      <c r="H438" t="s">
        <v>91</v>
      </c>
      <c r="I438" s="70">
        <v>0.2946064814814815</v>
      </c>
      <c r="J438" t="s">
        <v>237</v>
      </c>
    </row>
    <row r="439" spans="1:10" x14ac:dyDescent="0.3">
      <c r="A439" t="str">
        <f t="shared" si="6"/>
        <v>Frequency error TM2.0aPORT18TM3.3</v>
      </c>
      <c r="B439" t="s">
        <v>184</v>
      </c>
      <c r="C439" t="s">
        <v>277</v>
      </c>
      <c r="D439">
        <v>127.5</v>
      </c>
      <c r="E439">
        <v>115.5</v>
      </c>
      <c r="F439">
        <v>0.2</v>
      </c>
      <c r="G439">
        <v>139.5</v>
      </c>
      <c r="H439" t="s">
        <v>91</v>
      </c>
      <c r="I439" s="70">
        <v>0.2946064814814815</v>
      </c>
      <c r="J439" t="s">
        <v>237</v>
      </c>
    </row>
    <row r="440" spans="1:10" x14ac:dyDescent="0.3">
      <c r="A440" t="str">
        <f t="shared" si="6"/>
        <v>Frequency error TM2.0aPORT19TM3.3</v>
      </c>
      <c r="B440" t="s">
        <v>185</v>
      </c>
      <c r="C440" t="s">
        <v>277</v>
      </c>
      <c r="D440">
        <v>127.5</v>
      </c>
      <c r="E440">
        <v>115.5</v>
      </c>
      <c r="F440">
        <v>0.2</v>
      </c>
      <c r="G440">
        <v>139.5</v>
      </c>
      <c r="H440" t="s">
        <v>91</v>
      </c>
      <c r="I440" s="70">
        <v>0.2946064814814815</v>
      </c>
      <c r="J440" t="s">
        <v>237</v>
      </c>
    </row>
    <row r="441" spans="1:10" x14ac:dyDescent="0.3">
      <c r="A441" t="str">
        <f t="shared" si="6"/>
        <v>Frequency error TM2.0aPORT20TM3.3</v>
      </c>
      <c r="B441" t="s">
        <v>186</v>
      </c>
      <c r="C441" t="s">
        <v>277</v>
      </c>
      <c r="D441">
        <v>127.5</v>
      </c>
      <c r="E441">
        <v>115.5</v>
      </c>
      <c r="F441">
        <v>0.5</v>
      </c>
      <c r="G441">
        <v>139.5</v>
      </c>
      <c r="H441" t="s">
        <v>91</v>
      </c>
      <c r="I441" s="70">
        <v>0.29461805555555559</v>
      </c>
      <c r="J441" t="s">
        <v>237</v>
      </c>
    </row>
    <row r="442" spans="1:10" x14ac:dyDescent="0.3">
      <c r="A442" t="str">
        <f t="shared" si="6"/>
        <v>Frequency error TM2.0aPORT21TM3.3</v>
      </c>
      <c r="B442" t="s">
        <v>187</v>
      </c>
      <c r="C442" t="s">
        <v>277</v>
      </c>
      <c r="D442">
        <v>127.5</v>
      </c>
      <c r="E442">
        <v>115.5</v>
      </c>
      <c r="F442">
        <v>0.5</v>
      </c>
      <c r="G442">
        <v>139.5</v>
      </c>
      <c r="H442" t="s">
        <v>91</v>
      </c>
      <c r="I442" s="70">
        <v>0.29461805555555559</v>
      </c>
      <c r="J442" t="s">
        <v>237</v>
      </c>
    </row>
    <row r="443" spans="1:10" x14ac:dyDescent="0.3">
      <c r="A443" t="str">
        <f t="shared" si="6"/>
        <v>Frequency error TM2.0aPORT22TM3.3</v>
      </c>
      <c r="B443" t="s">
        <v>188</v>
      </c>
      <c r="C443" t="s">
        <v>277</v>
      </c>
      <c r="D443">
        <v>127.5</v>
      </c>
      <c r="E443">
        <v>115.5</v>
      </c>
      <c r="F443">
        <v>0.4</v>
      </c>
      <c r="G443">
        <v>139.5</v>
      </c>
      <c r="H443" t="s">
        <v>91</v>
      </c>
      <c r="I443" s="70">
        <v>0.29462962962962963</v>
      </c>
      <c r="J443" t="s">
        <v>237</v>
      </c>
    </row>
    <row r="444" spans="1:10" x14ac:dyDescent="0.3">
      <c r="A444" t="str">
        <f t="shared" si="6"/>
        <v>Frequency error TM2.0aPORT23TM3.3</v>
      </c>
      <c r="B444" t="s">
        <v>189</v>
      </c>
      <c r="C444" t="s">
        <v>277</v>
      </c>
      <c r="D444">
        <v>127.5</v>
      </c>
      <c r="E444">
        <v>115.5</v>
      </c>
      <c r="F444">
        <v>0.3</v>
      </c>
      <c r="G444">
        <v>139.5</v>
      </c>
      <c r="H444" t="s">
        <v>91</v>
      </c>
      <c r="I444" s="70">
        <v>0.29462962962962963</v>
      </c>
      <c r="J444" t="s">
        <v>237</v>
      </c>
    </row>
    <row r="445" spans="1:10" x14ac:dyDescent="0.3">
      <c r="A445" t="str">
        <f t="shared" si="6"/>
        <v>Frequency error TM2.0aPORT24TM3.3</v>
      </c>
      <c r="B445" t="s">
        <v>190</v>
      </c>
      <c r="C445" t="s">
        <v>277</v>
      </c>
      <c r="D445">
        <v>127.5</v>
      </c>
      <c r="E445">
        <v>115.5</v>
      </c>
      <c r="F445">
        <v>0.3</v>
      </c>
      <c r="G445">
        <v>139.5</v>
      </c>
      <c r="H445" t="s">
        <v>91</v>
      </c>
      <c r="I445" s="70">
        <v>0.29464120370370367</v>
      </c>
      <c r="J445" t="s">
        <v>237</v>
      </c>
    </row>
    <row r="446" spans="1:10" x14ac:dyDescent="0.3">
      <c r="A446" t="str">
        <f t="shared" si="6"/>
        <v>Frequency error TM2.0aPORT25TM3.3</v>
      </c>
      <c r="B446" t="s">
        <v>191</v>
      </c>
      <c r="C446" t="s">
        <v>277</v>
      </c>
      <c r="D446">
        <v>127.5</v>
      </c>
      <c r="E446">
        <v>115.5</v>
      </c>
      <c r="F446">
        <v>0.1</v>
      </c>
      <c r="G446">
        <v>139.5</v>
      </c>
      <c r="H446" t="s">
        <v>91</v>
      </c>
      <c r="I446" s="70">
        <v>0.29464120370370367</v>
      </c>
      <c r="J446" t="s">
        <v>237</v>
      </c>
    </row>
    <row r="447" spans="1:10" x14ac:dyDescent="0.3">
      <c r="A447" t="str">
        <f t="shared" si="6"/>
        <v>Frequency error TM2.0aPORT26TM3.3</v>
      </c>
      <c r="B447" t="s">
        <v>192</v>
      </c>
      <c r="C447" t="s">
        <v>277</v>
      </c>
      <c r="D447">
        <v>127.5</v>
      </c>
      <c r="E447">
        <v>115.5</v>
      </c>
      <c r="F447">
        <v>0.2</v>
      </c>
      <c r="G447">
        <v>139.5</v>
      </c>
      <c r="H447" t="s">
        <v>91</v>
      </c>
      <c r="I447" s="70">
        <v>0.29465277777777776</v>
      </c>
      <c r="J447" t="s">
        <v>237</v>
      </c>
    </row>
    <row r="448" spans="1:10" x14ac:dyDescent="0.3">
      <c r="A448" t="str">
        <f t="shared" si="6"/>
        <v>Frequency error TM2.0aPORT27TM3.3</v>
      </c>
      <c r="B448" t="s">
        <v>193</v>
      </c>
      <c r="C448" t="s">
        <v>277</v>
      </c>
      <c r="D448">
        <v>127.5</v>
      </c>
      <c r="E448">
        <v>115.5</v>
      </c>
      <c r="F448">
        <v>0</v>
      </c>
      <c r="G448">
        <v>139.5</v>
      </c>
      <c r="H448" t="s">
        <v>91</v>
      </c>
      <c r="I448" s="70">
        <v>0.29465277777777776</v>
      </c>
      <c r="J448" t="s">
        <v>237</v>
      </c>
    </row>
    <row r="449" spans="1:10" x14ac:dyDescent="0.3">
      <c r="A449" t="str">
        <f t="shared" si="6"/>
        <v>Frequency error TM2.0aPORT28TM3.3</v>
      </c>
      <c r="B449" t="s">
        <v>194</v>
      </c>
      <c r="C449" t="s">
        <v>277</v>
      </c>
      <c r="D449">
        <v>127.5</v>
      </c>
      <c r="E449">
        <v>115.5</v>
      </c>
      <c r="F449">
        <v>0.1</v>
      </c>
      <c r="G449">
        <v>139.5</v>
      </c>
      <c r="H449" t="s">
        <v>91</v>
      </c>
      <c r="I449" s="70">
        <v>0.29466435185185186</v>
      </c>
      <c r="J449" t="s">
        <v>237</v>
      </c>
    </row>
    <row r="450" spans="1:10" x14ac:dyDescent="0.3">
      <c r="A450" t="str">
        <f t="shared" si="6"/>
        <v>Frequency error TM2.0aPORT29TM3.3</v>
      </c>
      <c r="B450" t="s">
        <v>195</v>
      </c>
      <c r="C450" t="s">
        <v>277</v>
      </c>
      <c r="D450">
        <v>127.5</v>
      </c>
      <c r="E450">
        <v>115.5</v>
      </c>
      <c r="F450">
        <v>0.1</v>
      </c>
      <c r="G450">
        <v>139.5</v>
      </c>
      <c r="H450" t="s">
        <v>91</v>
      </c>
      <c r="I450" s="70">
        <v>0.29466435185185186</v>
      </c>
      <c r="J450" t="s">
        <v>237</v>
      </c>
    </row>
    <row r="451" spans="1:10" x14ac:dyDescent="0.3">
      <c r="A451" t="str">
        <f t="shared" ref="A451:A514" si="7">C451&amp;B451&amp;H451</f>
        <v>Frequency error TM2.0aPORT30TM3.3</v>
      </c>
      <c r="B451" t="s">
        <v>196</v>
      </c>
      <c r="C451" t="s">
        <v>277</v>
      </c>
      <c r="D451">
        <v>127.5</v>
      </c>
      <c r="E451">
        <v>115.5</v>
      </c>
      <c r="F451">
        <v>0.2</v>
      </c>
      <c r="G451">
        <v>139.5</v>
      </c>
      <c r="H451" t="s">
        <v>91</v>
      </c>
      <c r="I451" s="70">
        <v>0.2946759259259259</v>
      </c>
      <c r="J451" t="s">
        <v>237</v>
      </c>
    </row>
    <row r="452" spans="1:10" x14ac:dyDescent="0.3">
      <c r="A452" t="str">
        <f t="shared" si="7"/>
        <v>Frequency error TM2.0aPORT31TM3.3</v>
      </c>
      <c r="B452" t="s">
        <v>197</v>
      </c>
      <c r="C452" t="s">
        <v>277</v>
      </c>
      <c r="D452">
        <v>127.5</v>
      </c>
      <c r="E452">
        <v>115.5</v>
      </c>
      <c r="F452">
        <v>0.2</v>
      </c>
      <c r="G452">
        <v>139.5</v>
      </c>
      <c r="H452" t="s">
        <v>91</v>
      </c>
      <c r="I452" s="70">
        <v>0.2946759259259259</v>
      </c>
      <c r="J452" t="s">
        <v>237</v>
      </c>
    </row>
    <row r="453" spans="1:10" x14ac:dyDescent="0.3">
      <c r="A453" t="str">
        <f t="shared" si="7"/>
        <v>Frequency error TM2.0aPORT32TM3.3</v>
      </c>
      <c r="B453" t="s">
        <v>198</v>
      </c>
      <c r="C453" t="s">
        <v>277</v>
      </c>
      <c r="D453">
        <v>127.5</v>
      </c>
      <c r="E453">
        <v>115.5</v>
      </c>
      <c r="F453">
        <v>0.3</v>
      </c>
      <c r="G453">
        <v>139.5</v>
      </c>
      <c r="H453" t="s">
        <v>91</v>
      </c>
      <c r="I453" s="70">
        <v>0.29468749999999999</v>
      </c>
      <c r="J453" t="s">
        <v>237</v>
      </c>
    </row>
    <row r="454" spans="1:10" x14ac:dyDescent="0.3">
      <c r="A454" t="str">
        <f t="shared" si="7"/>
        <v>Frequency error TM3.1PORT1TM3.3</v>
      </c>
      <c r="B454" t="s">
        <v>57</v>
      </c>
      <c r="C454" t="s">
        <v>278</v>
      </c>
      <c r="D454">
        <v>127.5</v>
      </c>
      <c r="E454">
        <v>115.5</v>
      </c>
      <c r="F454">
        <v>0.4</v>
      </c>
      <c r="G454">
        <v>139.5</v>
      </c>
      <c r="H454" t="s">
        <v>91</v>
      </c>
      <c r="I454" s="70">
        <v>0.29468749999999999</v>
      </c>
      <c r="J454" t="s">
        <v>237</v>
      </c>
    </row>
    <row r="455" spans="1:10" x14ac:dyDescent="0.3">
      <c r="A455" t="str">
        <f t="shared" si="7"/>
        <v>Frequency error TM3.1PORT2TM3.3</v>
      </c>
      <c r="B455" t="s">
        <v>59</v>
      </c>
      <c r="C455" t="s">
        <v>278</v>
      </c>
      <c r="D455">
        <v>127.5</v>
      </c>
      <c r="E455">
        <v>115.5</v>
      </c>
      <c r="F455">
        <v>0.4</v>
      </c>
      <c r="G455">
        <v>139.5</v>
      </c>
      <c r="H455" t="s">
        <v>91</v>
      </c>
      <c r="I455" s="70">
        <v>0.29469907407407409</v>
      </c>
      <c r="J455" t="s">
        <v>237</v>
      </c>
    </row>
    <row r="456" spans="1:10" x14ac:dyDescent="0.3">
      <c r="A456" t="str">
        <f t="shared" si="7"/>
        <v>Frequency error TM3.1PORT3TM3.3</v>
      </c>
      <c r="B456" t="s">
        <v>60</v>
      </c>
      <c r="C456" t="s">
        <v>278</v>
      </c>
      <c r="D456">
        <v>127.5</v>
      </c>
      <c r="E456">
        <v>115.5</v>
      </c>
      <c r="F456">
        <v>0.5</v>
      </c>
      <c r="G456">
        <v>139.5</v>
      </c>
      <c r="H456" t="s">
        <v>91</v>
      </c>
      <c r="I456" s="70">
        <v>0.29469907407407409</v>
      </c>
      <c r="J456" t="s">
        <v>237</v>
      </c>
    </row>
    <row r="457" spans="1:10" x14ac:dyDescent="0.3">
      <c r="A457" t="str">
        <f t="shared" si="7"/>
        <v>Frequency error TM3.1PORT4TM3.3</v>
      </c>
      <c r="B457" t="s">
        <v>61</v>
      </c>
      <c r="C457" t="s">
        <v>278</v>
      </c>
      <c r="D457">
        <v>127.5</v>
      </c>
      <c r="E457">
        <v>115.5</v>
      </c>
      <c r="F457">
        <v>0.4</v>
      </c>
      <c r="G457">
        <v>139.5</v>
      </c>
      <c r="H457" t="s">
        <v>91</v>
      </c>
      <c r="I457" s="70">
        <v>0.29469907407407409</v>
      </c>
      <c r="J457" t="s">
        <v>237</v>
      </c>
    </row>
    <row r="458" spans="1:10" x14ac:dyDescent="0.3">
      <c r="A458" t="str">
        <f t="shared" si="7"/>
        <v>Frequency error TM3.1PORT5TM3.3</v>
      </c>
      <c r="B458" t="s">
        <v>62</v>
      </c>
      <c r="C458" t="s">
        <v>278</v>
      </c>
      <c r="D458">
        <v>127.5</v>
      </c>
      <c r="E458">
        <v>115.5</v>
      </c>
      <c r="F458">
        <v>0.3</v>
      </c>
      <c r="G458">
        <v>139.5</v>
      </c>
      <c r="H458" t="s">
        <v>91</v>
      </c>
      <c r="I458" s="70">
        <v>0.29471064814814812</v>
      </c>
      <c r="J458" t="s">
        <v>237</v>
      </c>
    </row>
    <row r="459" spans="1:10" x14ac:dyDescent="0.3">
      <c r="A459" t="str">
        <f t="shared" si="7"/>
        <v>Frequency error TM3.1PORT6TM3.3</v>
      </c>
      <c r="B459" t="s">
        <v>63</v>
      </c>
      <c r="C459" t="s">
        <v>278</v>
      </c>
      <c r="D459">
        <v>127.5</v>
      </c>
      <c r="E459">
        <v>115.5</v>
      </c>
      <c r="F459">
        <v>0.3</v>
      </c>
      <c r="G459">
        <v>139.5</v>
      </c>
      <c r="H459" t="s">
        <v>91</v>
      </c>
      <c r="I459" s="70">
        <v>0.29471064814814812</v>
      </c>
      <c r="J459" t="s">
        <v>237</v>
      </c>
    </row>
    <row r="460" spans="1:10" x14ac:dyDescent="0.3">
      <c r="A460" t="str">
        <f t="shared" si="7"/>
        <v>Frequency error TM3.1PORT7TM3.3</v>
      </c>
      <c r="B460" t="s">
        <v>64</v>
      </c>
      <c r="C460" t="s">
        <v>278</v>
      </c>
      <c r="D460">
        <v>127.5</v>
      </c>
      <c r="E460">
        <v>115.5</v>
      </c>
      <c r="F460">
        <v>0.3</v>
      </c>
      <c r="G460">
        <v>139.5</v>
      </c>
      <c r="H460" t="s">
        <v>91</v>
      </c>
      <c r="I460" s="70">
        <v>0.29472222222222222</v>
      </c>
      <c r="J460" t="s">
        <v>237</v>
      </c>
    </row>
    <row r="461" spans="1:10" x14ac:dyDescent="0.3">
      <c r="A461" t="str">
        <f t="shared" si="7"/>
        <v>Frequency error TM3.1PORT8TM3.3</v>
      </c>
      <c r="B461" t="s">
        <v>65</v>
      </c>
      <c r="C461" t="s">
        <v>278</v>
      </c>
      <c r="D461">
        <v>127.5</v>
      </c>
      <c r="E461">
        <v>115.5</v>
      </c>
      <c r="F461">
        <v>0.4</v>
      </c>
      <c r="G461">
        <v>139.5</v>
      </c>
      <c r="H461" t="s">
        <v>91</v>
      </c>
      <c r="I461" s="70">
        <v>0.29472222222222222</v>
      </c>
      <c r="J461" t="s">
        <v>237</v>
      </c>
    </row>
    <row r="462" spans="1:10" x14ac:dyDescent="0.3">
      <c r="A462" t="str">
        <f t="shared" si="7"/>
        <v>Frequency error TM3.1PORT9TM3.3</v>
      </c>
      <c r="B462" t="s">
        <v>175</v>
      </c>
      <c r="C462" t="s">
        <v>278</v>
      </c>
      <c r="D462">
        <v>127.5</v>
      </c>
      <c r="E462">
        <v>115.5</v>
      </c>
      <c r="F462">
        <v>0.3</v>
      </c>
      <c r="G462">
        <v>139.5</v>
      </c>
      <c r="H462" t="s">
        <v>91</v>
      </c>
      <c r="I462" s="70">
        <v>0.29473379629629631</v>
      </c>
      <c r="J462" t="s">
        <v>237</v>
      </c>
    </row>
    <row r="463" spans="1:10" x14ac:dyDescent="0.3">
      <c r="A463" t="str">
        <f t="shared" si="7"/>
        <v>Frequency error TM3.1PORT10TM3.3</v>
      </c>
      <c r="B463" t="s">
        <v>176</v>
      </c>
      <c r="C463" t="s">
        <v>278</v>
      </c>
      <c r="D463">
        <v>127.5</v>
      </c>
      <c r="E463">
        <v>115.5</v>
      </c>
      <c r="F463">
        <v>0.3</v>
      </c>
      <c r="G463">
        <v>139.5</v>
      </c>
      <c r="H463" t="s">
        <v>91</v>
      </c>
      <c r="I463" s="70">
        <v>0.29473379629629631</v>
      </c>
      <c r="J463" t="s">
        <v>237</v>
      </c>
    </row>
    <row r="464" spans="1:10" x14ac:dyDescent="0.3">
      <c r="A464" t="str">
        <f t="shared" si="7"/>
        <v>Frequency error TM3.1PORT11TM3.3</v>
      </c>
      <c r="B464" t="s">
        <v>177</v>
      </c>
      <c r="C464" t="s">
        <v>278</v>
      </c>
      <c r="D464">
        <v>127.5</v>
      </c>
      <c r="E464">
        <v>115.5</v>
      </c>
      <c r="F464">
        <v>0.2</v>
      </c>
      <c r="G464">
        <v>139.5</v>
      </c>
      <c r="H464" t="s">
        <v>91</v>
      </c>
      <c r="I464" s="70">
        <v>0.29474537037037035</v>
      </c>
      <c r="J464" t="s">
        <v>237</v>
      </c>
    </row>
    <row r="465" spans="1:10" x14ac:dyDescent="0.3">
      <c r="A465" t="str">
        <f t="shared" si="7"/>
        <v>Frequency error TM3.1PORT12TM3.3</v>
      </c>
      <c r="B465" t="s">
        <v>178</v>
      </c>
      <c r="C465" t="s">
        <v>278</v>
      </c>
      <c r="D465">
        <v>127.5</v>
      </c>
      <c r="E465">
        <v>115.5</v>
      </c>
      <c r="F465">
        <v>0.1</v>
      </c>
      <c r="G465">
        <v>139.5</v>
      </c>
      <c r="H465" t="s">
        <v>91</v>
      </c>
      <c r="I465" s="70">
        <v>0.29474537037037035</v>
      </c>
      <c r="J465" t="s">
        <v>237</v>
      </c>
    </row>
    <row r="466" spans="1:10" x14ac:dyDescent="0.3">
      <c r="A466" t="str">
        <f t="shared" si="7"/>
        <v>Frequency error TM3.1PORT13TM3.3</v>
      </c>
      <c r="B466" t="s">
        <v>179</v>
      </c>
      <c r="C466" t="s">
        <v>278</v>
      </c>
      <c r="D466">
        <v>127.5</v>
      </c>
      <c r="E466">
        <v>115.5</v>
      </c>
      <c r="F466">
        <v>0.2</v>
      </c>
      <c r="G466">
        <v>139.5</v>
      </c>
      <c r="H466" t="s">
        <v>91</v>
      </c>
      <c r="I466" s="70">
        <v>0.29475694444444445</v>
      </c>
      <c r="J466" t="s">
        <v>237</v>
      </c>
    </row>
    <row r="467" spans="1:10" x14ac:dyDescent="0.3">
      <c r="A467" t="str">
        <f t="shared" si="7"/>
        <v>Frequency error TM3.1PORT14TM3.3</v>
      </c>
      <c r="B467" t="s">
        <v>180</v>
      </c>
      <c r="C467" t="s">
        <v>278</v>
      </c>
      <c r="D467">
        <v>127.5</v>
      </c>
      <c r="E467">
        <v>115.5</v>
      </c>
      <c r="F467">
        <v>0.4</v>
      </c>
      <c r="G467">
        <v>139.5</v>
      </c>
      <c r="H467" t="s">
        <v>91</v>
      </c>
      <c r="I467" s="70">
        <v>0.29475694444444445</v>
      </c>
      <c r="J467" t="s">
        <v>237</v>
      </c>
    </row>
    <row r="468" spans="1:10" x14ac:dyDescent="0.3">
      <c r="A468" t="str">
        <f t="shared" si="7"/>
        <v>Frequency error TM3.1PORT15TM3.3</v>
      </c>
      <c r="B468" t="s">
        <v>181</v>
      </c>
      <c r="C468" t="s">
        <v>278</v>
      </c>
      <c r="D468">
        <v>127.5</v>
      </c>
      <c r="E468">
        <v>115.5</v>
      </c>
      <c r="F468">
        <v>0.2</v>
      </c>
      <c r="G468">
        <v>139.5</v>
      </c>
      <c r="H468" t="s">
        <v>91</v>
      </c>
      <c r="I468" s="70">
        <v>0.29476851851851854</v>
      </c>
      <c r="J468" t="s">
        <v>237</v>
      </c>
    </row>
    <row r="469" spans="1:10" x14ac:dyDescent="0.3">
      <c r="A469" t="str">
        <f t="shared" si="7"/>
        <v>Frequency error TM3.1PORT16TM3.3</v>
      </c>
      <c r="B469" t="s">
        <v>182</v>
      </c>
      <c r="C469" t="s">
        <v>278</v>
      </c>
      <c r="D469">
        <v>127.5</v>
      </c>
      <c r="E469">
        <v>115.5</v>
      </c>
      <c r="F469">
        <v>0.3</v>
      </c>
      <c r="G469">
        <v>139.5</v>
      </c>
      <c r="H469" t="s">
        <v>91</v>
      </c>
      <c r="I469" s="70">
        <v>0.29476851851851854</v>
      </c>
      <c r="J469" t="s">
        <v>237</v>
      </c>
    </row>
    <row r="470" spans="1:10" x14ac:dyDescent="0.3">
      <c r="A470" t="str">
        <f t="shared" si="7"/>
        <v>Frequency error TM3.1PORT17TM3.3</v>
      </c>
      <c r="B470" t="s">
        <v>183</v>
      </c>
      <c r="C470" t="s">
        <v>278</v>
      </c>
      <c r="D470">
        <v>127.5</v>
      </c>
      <c r="E470">
        <v>115.5</v>
      </c>
      <c r="F470">
        <v>0.3</v>
      </c>
      <c r="G470">
        <v>139.5</v>
      </c>
      <c r="H470" t="s">
        <v>91</v>
      </c>
      <c r="I470" s="70">
        <v>0.29478009259259258</v>
      </c>
      <c r="J470" t="s">
        <v>237</v>
      </c>
    </row>
    <row r="471" spans="1:10" x14ac:dyDescent="0.3">
      <c r="A471" t="str">
        <f t="shared" si="7"/>
        <v>Frequency error TM3.1PORT18TM3.3</v>
      </c>
      <c r="B471" t="s">
        <v>184</v>
      </c>
      <c r="C471" t="s">
        <v>278</v>
      </c>
      <c r="D471">
        <v>127.5</v>
      </c>
      <c r="E471">
        <v>115.5</v>
      </c>
      <c r="F471">
        <v>0.4</v>
      </c>
      <c r="G471">
        <v>139.5</v>
      </c>
      <c r="H471" t="s">
        <v>91</v>
      </c>
      <c r="I471" s="70">
        <v>0.29478009259259258</v>
      </c>
      <c r="J471" t="s">
        <v>237</v>
      </c>
    </row>
    <row r="472" spans="1:10" x14ac:dyDescent="0.3">
      <c r="A472" t="str">
        <f t="shared" si="7"/>
        <v>Frequency error TM3.1PORT19TM3.3</v>
      </c>
      <c r="B472" t="s">
        <v>185</v>
      </c>
      <c r="C472" t="s">
        <v>278</v>
      </c>
      <c r="D472">
        <v>127.5</v>
      </c>
      <c r="E472">
        <v>115.5</v>
      </c>
      <c r="F472">
        <v>0.1</v>
      </c>
      <c r="G472">
        <v>139.5</v>
      </c>
      <c r="H472" t="s">
        <v>91</v>
      </c>
      <c r="I472" s="70">
        <v>0.29479166666666667</v>
      </c>
      <c r="J472" t="s">
        <v>237</v>
      </c>
    </row>
    <row r="473" spans="1:10" x14ac:dyDescent="0.3">
      <c r="A473" t="str">
        <f t="shared" si="7"/>
        <v>Frequency error TM3.1PORT20TM3.3</v>
      </c>
      <c r="B473" t="s">
        <v>186</v>
      </c>
      <c r="C473" t="s">
        <v>278</v>
      </c>
      <c r="D473">
        <v>127.5</v>
      </c>
      <c r="E473">
        <v>115.5</v>
      </c>
      <c r="F473">
        <v>0.2</v>
      </c>
      <c r="G473">
        <v>139.5</v>
      </c>
      <c r="H473" t="s">
        <v>91</v>
      </c>
      <c r="I473" s="70">
        <v>0.29479166666666667</v>
      </c>
      <c r="J473" t="s">
        <v>237</v>
      </c>
    </row>
    <row r="474" spans="1:10" x14ac:dyDescent="0.3">
      <c r="A474" t="str">
        <f t="shared" si="7"/>
        <v>Frequency error TM3.1PORT21TM3.3</v>
      </c>
      <c r="B474" t="s">
        <v>187</v>
      </c>
      <c r="C474" t="s">
        <v>278</v>
      </c>
      <c r="D474">
        <v>127.5</v>
      </c>
      <c r="E474">
        <v>115.5</v>
      </c>
      <c r="F474">
        <v>0.1</v>
      </c>
      <c r="G474">
        <v>139.5</v>
      </c>
      <c r="H474" t="s">
        <v>91</v>
      </c>
      <c r="I474" s="70">
        <v>0.29480324074074077</v>
      </c>
      <c r="J474" t="s">
        <v>237</v>
      </c>
    </row>
    <row r="475" spans="1:10" x14ac:dyDescent="0.3">
      <c r="A475" t="str">
        <f t="shared" si="7"/>
        <v>Frequency error TM3.1PORT22TM3.3</v>
      </c>
      <c r="B475" t="s">
        <v>188</v>
      </c>
      <c r="C475" t="s">
        <v>278</v>
      </c>
      <c r="D475">
        <v>127.5</v>
      </c>
      <c r="E475">
        <v>115.5</v>
      </c>
      <c r="F475">
        <v>0.2</v>
      </c>
      <c r="G475">
        <v>139.5</v>
      </c>
      <c r="H475" t="s">
        <v>91</v>
      </c>
      <c r="I475" s="70">
        <v>0.29480324074074077</v>
      </c>
      <c r="J475" t="s">
        <v>237</v>
      </c>
    </row>
    <row r="476" spans="1:10" x14ac:dyDescent="0.3">
      <c r="A476" t="str">
        <f t="shared" si="7"/>
        <v>Frequency error TM3.1PORT23TM3.3</v>
      </c>
      <c r="B476" t="s">
        <v>189</v>
      </c>
      <c r="C476" t="s">
        <v>278</v>
      </c>
      <c r="D476">
        <v>127.5</v>
      </c>
      <c r="E476">
        <v>115.5</v>
      </c>
      <c r="F476">
        <v>0.1</v>
      </c>
      <c r="G476">
        <v>139.5</v>
      </c>
      <c r="H476" t="s">
        <v>91</v>
      </c>
      <c r="I476" s="70">
        <v>0.29480324074074077</v>
      </c>
      <c r="J476" t="s">
        <v>237</v>
      </c>
    </row>
    <row r="477" spans="1:10" x14ac:dyDescent="0.3">
      <c r="A477" t="str">
        <f t="shared" si="7"/>
        <v>Frequency error TM3.1PORT24TM3.3</v>
      </c>
      <c r="B477" t="s">
        <v>190</v>
      </c>
      <c r="C477" t="s">
        <v>278</v>
      </c>
      <c r="D477">
        <v>127.5</v>
      </c>
      <c r="E477">
        <v>115.5</v>
      </c>
      <c r="F477">
        <v>0</v>
      </c>
      <c r="G477">
        <v>139.5</v>
      </c>
      <c r="H477" t="s">
        <v>91</v>
      </c>
      <c r="I477" s="70">
        <v>0.29481481481481481</v>
      </c>
      <c r="J477" t="s">
        <v>237</v>
      </c>
    </row>
    <row r="478" spans="1:10" x14ac:dyDescent="0.3">
      <c r="A478" t="str">
        <f t="shared" si="7"/>
        <v>Frequency error TM3.1PORT25TM3.3</v>
      </c>
      <c r="B478" t="s">
        <v>191</v>
      </c>
      <c r="C478" t="s">
        <v>278</v>
      </c>
      <c r="D478">
        <v>127.5</v>
      </c>
      <c r="E478">
        <v>115.5</v>
      </c>
      <c r="F478">
        <v>0.2</v>
      </c>
      <c r="G478">
        <v>139.5</v>
      </c>
      <c r="H478" t="s">
        <v>91</v>
      </c>
      <c r="I478" s="70">
        <v>0.29481481481481481</v>
      </c>
      <c r="J478" t="s">
        <v>237</v>
      </c>
    </row>
    <row r="479" spans="1:10" x14ac:dyDescent="0.3">
      <c r="A479" t="str">
        <f t="shared" si="7"/>
        <v>Frequency error TM3.1PORT26TM3.3</v>
      </c>
      <c r="B479" t="s">
        <v>192</v>
      </c>
      <c r="C479" t="s">
        <v>278</v>
      </c>
      <c r="D479">
        <v>127.5</v>
      </c>
      <c r="E479">
        <v>115.5</v>
      </c>
      <c r="F479">
        <v>0.2</v>
      </c>
      <c r="G479">
        <v>139.5</v>
      </c>
      <c r="H479" t="s">
        <v>91</v>
      </c>
      <c r="I479" s="70">
        <v>0.2948263888888889</v>
      </c>
      <c r="J479" t="s">
        <v>237</v>
      </c>
    </row>
    <row r="480" spans="1:10" x14ac:dyDescent="0.3">
      <c r="A480" t="str">
        <f t="shared" si="7"/>
        <v>Frequency error TM3.1PORT27TM3.3</v>
      </c>
      <c r="B480" t="s">
        <v>193</v>
      </c>
      <c r="C480" t="s">
        <v>278</v>
      </c>
      <c r="D480">
        <v>127.5</v>
      </c>
      <c r="E480">
        <v>115.5</v>
      </c>
      <c r="F480">
        <v>0.3</v>
      </c>
      <c r="G480">
        <v>139.5</v>
      </c>
      <c r="H480" t="s">
        <v>91</v>
      </c>
      <c r="I480" s="70">
        <v>0.2948263888888889</v>
      </c>
      <c r="J480" t="s">
        <v>237</v>
      </c>
    </row>
    <row r="481" spans="1:10" x14ac:dyDescent="0.3">
      <c r="A481" t="str">
        <f t="shared" si="7"/>
        <v>Frequency error TM3.1PORT28TM3.3</v>
      </c>
      <c r="B481" t="s">
        <v>194</v>
      </c>
      <c r="C481" t="s">
        <v>278</v>
      </c>
      <c r="D481">
        <v>127.5</v>
      </c>
      <c r="E481">
        <v>115.5</v>
      </c>
      <c r="F481">
        <v>0.3</v>
      </c>
      <c r="G481">
        <v>139.5</v>
      </c>
      <c r="H481" t="s">
        <v>91</v>
      </c>
      <c r="I481" s="70">
        <v>0.294837962962963</v>
      </c>
      <c r="J481" t="s">
        <v>237</v>
      </c>
    </row>
    <row r="482" spans="1:10" x14ac:dyDescent="0.3">
      <c r="A482" t="str">
        <f t="shared" si="7"/>
        <v>Frequency error TM3.1PORT29TM3.3</v>
      </c>
      <c r="B482" t="s">
        <v>195</v>
      </c>
      <c r="C482" t="s">
        <v>278</v>
      </c>
      <c r="D482">
        <v>127.5</v>
      </c>
      <c r="E482">
        <v>115.5</v>
      </c>
      <c r="F482">
        <v>0.2</v>
      </c>
      <c r="G482">
        <v>139.5</v>
      </c>
      <c r="H482" t="s">
        <v>91</v>
      </c>
      <c r="I482" s="70">
        <v>0.294837962962963</v>
      </c>
      <c r="J482" t="s">
        <v>237</v>
      </c>
    </row>
    <row r="483" spans="1:10" x14ac:dyDescent="0.3">
      <c r="A483" t="str">
        <f t="shared" si="7"/>
        <v>Frequency error TM3.1PORT30TM3.3</v>
      </c>
      <c r="B483" t="s">
        <v>196</v>
      </c>
      <c r="C483" t="s">
        <v>278</v>
      </c>
      <c r="D483">
        <v>127.5</v>
      </c>
      <c r="E483">
        <v>115.5</v>
      </c>
      <c r="F483">
        <v>0.1</v>
      </c>
      <c r="G483">
        <v>139.5</v>
      </c>
      <c r="H483" t="s">
        <v>91</v>
      </c>
      <c r="I483" s="70">
        <v>0.29484953703703703</v>
      </c>
      <c r="J483" t="s">
        <v>237</v>
      </c>
    </row>
    <row r="484" spans="1:10" x14ac:dyDescent="0.3">
      <c r="A484" t="str">
        <f t="shared" si="7"/>
        <v>Frequency error TM3.1PORT31TM3.3</v>
      </c>
      <c r="B484" t="s">
        <v>197</v>
      </c>
      <c r="C484" t="s">
        <v>278</v>
      </c>
      <c r="D484">
        <v>127.5</v>
      </c>
      <c r="E484">
        <v>115.5</v>
      </c>
      <c r="F484">
        <v>0.5</v>
      </c>
      <c r="G484">
        <v>139.5</v>
      </c>
      <c r="H484" t="s">
        <v>91</v>
      </c>
      <c r="I484" s="70">
        <v>0.29484953703703703</v>
      </c>
      <c r="J484" t="s">
        <v>237</v>
      </c>
    </row>
    <row r="485" spans="1:10" x14ac:dyDescent="0.3">
      <c r="A485" t="str">
        <f t="shared" si="7"/>
        <v>Frequency error TM3.1PORT32TM3.3</v>
      </c>
      <c r="B485" t="s">
        <v>198</v>
      </c>
      <c r="C485" t="s">
        <v>278</v>
      </c>
      <c r="D485">
        <v>127.5</v>
      </c>
      <c r="E485">
        <v>115.5</v>
      </c>
      <c r="F485">
        <v>0.3</v>
      </c>
      <c r="G485">
        <v>139.5</v>
      </c>
      <c r="H485" t="s">
        <v>91</v>
      </c>
      <c r="I485" s="70">
        <v>0.29486111111111107</v>
      </c>
      <c r="J485" t="s">
        <v>237</v>
      </c>
    </row>
    <row r="486" spans="1:10" x14ac:dyDescent="0.3">
      <c r="A486" t="str">
        <f t="shared" si="7"/>
        <v>Frequency error TM3.1aPORT1TM3.3</v>
      </c>
      <c r="B486" t="s">
        <v>57</v>
      </c>
      <c r="C486" t="s">
        <v>281</v>
      </c>
      <c r="D486">
        <v>127.5</v>
      </c>
      <c r="E486">
        <v>115.5</v>
      </c>
      <c r="F486">
        <v>0.4</v>
      </c>
      <c r="G486">
        <v>139.5</v>
      </c>
      <c r="H486" t="s">
        <v>91</v>
      </c>
      <c r="I486" s="70">
        <v>0.29486111111111107</v>
      </c>
      <c r="J486" t="s">
        <v>237</v>
      </c>
    </row>
    <row r="487" spans="1:10" x14ac:dyDescent="0.3">
      <c r="A487" t="str">
        <f t="shared" si="7"/>
        <v>Frequency error TM3.1aPORT2TM3.3</v>
      </c>
      <c r="B487" t="s">
        <v>59</v>
      </c>
      <c r="C487" t="s">
        <v>281</v>
      </c>
      <c r="D487">
        <v>127.5</v>
      </c>
      <c r="E487">
        <v>115.5</v>
      </c>
      <c r="F487">
        <v>0.4</v>
      </c>
      <c r="G487">
        <v>139.5</v>
      </c>
      <c r="H487" t="s">
        <v>91</v>
      </c>
      <c r="I487" s="70">
        <v>0.29487268518518517</v>
      </c>
      <c r="J487" t="s">
        <v>237</v>
      </c>
    </row>
    <row r="488" spans="1:10" x14ac:dyDescent="0.3">
      <c r="A488" t="str">
        <f t="shared" si="7"/>
        <v>Frequency error TM3.1aPORT3TM3.3</v>
      </c>
      <c r="B488" t="s">
        <v>60</v>
      </c>
      <c r="C488" t="s">
        <v>281</v>
      </c>
      <c r="D488">
        <v>127.5</v>
      </c>
      <c r="E488">
        <v>115.5</v>
      </c>
      <c r="F488">
        <v>0.5</v>
      </c>
      <c r="G488">
        <v>139.5</v>
      </c>
      <c r="H488" t="s">
        <v>91</v>
      </c>
      <c r="I488" s="70">
        <v>0.29487268518518517</v>
      </c>
      <c r="J488" t="s">
        <v>237</v>
      </c>
    </row>
    <row r="489" spans="1:10" x14ac:dyDescent="0.3">
      <c r="A489" t="str">
        <f t="shared" si="7"/>
        <v>Frequency error TM3.1aPORT4TM3.3</v>
      </c>
      <c r="B489" t="s">
        <v>61</v>
      </c>
      <c r="C489" t="s">
        <v>281</v>
      </c>
      <c r="D489">
        <v>127.5</v>
      </c>
      <c r="E489">
        <v>115.5</v>
      </c>
      <c r="F489">
        <v>0.4</v>
      </c>
      <c r="G489">
        <v>139.5</v>
      </c>
      <c r="H489" t="s">
        <v>91</v>
      </c>
      <c r="I489" s="70">
        <v>0.29488425925925926</v>
      </c>
      <c r="J489" t="s">
        <v>237</v>
      </c>
    </row>
    <row r="490" spans="1:10" x14ac:dyDescent="0.3">
      <c r="A490" t="str">
        <f t="shared" si="7"/>
        <v>Frequency error TM3.1aPORT5TM3.3</v>
      </c>
      <c r="B490" t="s">
        <v>62</v>
      </c>
      <c r="C490" t="s">
        <v>281</v>
      </c>
      <c r="D490">
        <v>127.5</v>
      </c>
      <c r="E490">
        <v>115.5</v>
      </c>
      <c r="F490">
        <v>0.3</v>
      </c>
      <c r="G490">
        <v>139.5</v>
      </c>
      <c r="H490" t="s">
        <v>91</v>
      </c>
      <c r="I490" s="70">
        <v>0.29488425925925926</v>
      </c>
      <c r="J490" t="s">
        <v>237</v>
      </c>
    </row>
    <row r="491" spans="1:10" x14ac:dyDescent="0.3">
      <c r="A491" t="str">
        <f t="shared" si="7"/>
        <v>Frequency error TM3.1aPORT6TM3.3</v>
      </c>
      <c r="B491" t="s">
        <v>63</v>
      </c>
      <c r="C491" t="s">
        <v>281</v>
      </c>
      <c r="D491">
        <v>127.5</v>
      </c>
      <c r="E491">
        <v>115.5</v>
      </c>
      <c r="F491">
        <v>0.3</v>
      </c>
      <c r="G491">
        <v>139.5</v>
      </c>
      <c r="H491" t="s">
        <v>91</v>
      </c>
      <c r="I491" s="70">
        <v>0.2948958333333333</v>
      </c>
      <c r="J491" t="s">
        <v>237</v>
      </c>
    </row>
    <row r="492" spans="1:10" x14ac:dyDescent="0.3">
      <c r="A492" t="str">
        <f t="shared" si="7"/>
        <v>Frequency error TM3.1aPORT7TM3.3</v>
      </c>
      <c r="B492" t="s">
        <v>64</v>
      </c>
      <c r="C492" t="s">
        <v>281</v>
      </c>
      <c r="D492">
        <v>127.5</v>
      </c>
      <c r="E492">
        <v>115.5</v>
      </c>
      <c r="F492">
        <v>0.3</v>
      </c>
      <c r="G492">
        <v>139.5</v>
      </c>
      <c r="H492" t="s">
        <v>91</v>
      </c>
      <c r="I492" s="70">
        <v>0.2948958333333333</v>
      </c>
      <c r="J492" t="s">
        <v>237</v>
      </c>
    </row>
    <row r="493" spans="1:10" x14ac:dyDescent="0.3">
      <c r="A493" t="str">
        <f t="shared" si="7"/>
        <v>Frequency error TM3.1aPORT8TM3.3</v>
      </c>
      <c r="B493" t="s">
        <v>65</v>
      </c>
      <c r="C493" t="s">
        <v>281</v>
      </c>
      <c r="D493">
        <v>127.5</v>
      </c>
      <c r="E493">
        <v>115.5</v>
      </c>
      <c r="F493">
        <v>0.4</v>
      </c>
      <c r="G493">
        <v>139.5</v>
      </c>
      <c r="H493" t="s">
        <v>91</v>
      </c>
      <c r="I493" s="70">
        <v>0.2949074074074074</v>
      </c>
      <c r="J493" t="s">
        <v>237</v>
      </c>
    </row>
    <row r="494" spans="1:10" x14ac:dyDescent="0.3">
      <c r="A494" t="str">
        <f t="shared" si="7"/>
        <v>Frequency error TM3.1aPORT9TM3.3</v>
      </c>
      <c r="B494" t="s">
        <v>175</v>
      </c>
      <c r="C494" t="s">
        <v>281</v>
      </c>
      <c r="D494">
        <v>127.5</v>
      </c>
      <c r="E494">
        <v>115.5</v>
      </c>
      <c r="F494">
        <v>0.3</v>
      </c>
      <c r="G494">
        <v>139.5</v>
      </c>
      <c r="H494" t="s">
        <v>91</v>
      </c>
      <c r="I494" s="70">
        <v>0.2949074074074074</v>
      </c>
      <c r="J494" t="s">
        <v>237</v>
      </c>
    </row>
    <row r="495" spans="1:10" x14ac:dyDescent="0.3">
      <c r="A495" t="str">
        <f t="shared" si="7"/>
        <v>Frequency error TM3.1aPORT10TM3.3</v>
      </c>
      <c r="B495" t="s">
        <v>176</v>
      </c>
      <c r="C495" t="s">
        <v>281</v>
      </c>
      <c r="D495">
        <v>127.5</v>
      </c>
      <c r="E495">
        <v>115.5</v>
      </c>
      <c r="F495">
        <v>0.3</v>
      </c>
      <c r="G495">
        <v>139.5</v>
      </c>
      <c r="H495" t="s">
        <v>91</v>
      </c>
      <c r="I495" s="70">
        <v>0.2949074074074074</v>
      </c>
      <c r="J495" t="s">
        <v>237</v>
      </c>
    </row>
    <row r="496" spans="1:10" x14ac:dyDescent="0.3">
      <c r="A496" t="str">
        <f t="shared" si="7"/>
        <v>Frequency error TM3.1aPORT11TM3.3</v>
      </c>
      <c r="B496" t="s">
        <v>177</v>
      </c>
      <c r="C496" t="s">
        <v>281</v>
      </c>
      <c r="D496">
        <v>127.5</v>
      </c>
      <c r="E496">
        <v>115.5</v>
      </c>
      <c r="F496">
        <v>0.2</v>
      </c>
      <c r="G496">
        <v>139.5</v>
      </c>
      <c r="H496" t="s">
        <v>91</v>
      </c>
      <c r="I496" s="70">
        <v>0.29491898148148149</v>
      </c>
      <c r="J496" t="s">
        <v>237</v>
      </c>
    </row>
    <row r="497" spans="1:10" x14ac:dyDescent="0.3">
      <c r="A497" t="str">
        <f t="shared" si="7"/>
        <v>Frequency error TM3.1aPORT12TM3.3</v>
      </c>
      <c r="B497" t="s">
        <v>178</v>
      </c>
      <c r="C497" t="s">
        <v>281</v>
      </c>
      <c r="D497">
        <v>127.5</v>
      </c>
      <c r="E497">
        <v>115.5</v>
      </c>
      <c r="F497">
        <v>0.1</v>
      </c>
      <c r="G497">
        <v>139.5</v>
      </c>
      <c r="H497" t="s">
        <v>91</v>
      </c>
      <c r="I497" s="70">
        <v>0.29491898148148149</v>
      </c>
      <c r="J497" t="s">
        <v>237</v>
      </c>
    </row>
    <row r="498" spans="1:10" x14ac:dyDescent="0.3">
      <c r="A498" t="str">
        <f t="shared" si="7"/>
        <v>Frequency error TM3.1aPORT13TM3.3</v>
      </c>
      <c r="B498" t="s">
        <v>179</v>
      </c>
      <c r="C498" t="s">
        <v>281</v>
      </c>
      <c r="D498">
        <v>127.5</v>
      </c>
      <c r="E498">
        <v>115.5</v>
      </c>
      <c r="F498">
        <v>0.2</v>
      </c>
      <c r="G498">
        <v>139.5</v>
      </c>
      <c r="H498" t="s">
        <v>91</v>
      </c>
      <c r="I498" s="70">
        <v>0.29493055555555553</v>
      </c>
      <c r="J498" t="s">
        <v>237</v>
      </c>
    </row>
    <row r="499" spans="1:10" x14ac:dyDescent="0.3">
      <c r="A499" t="str">
        <f t="shared" si="7"/>
        <v>Frequency error TM3.1aPORT14TM3.3</v>
      </c>
      <c r="B499" t="s">
        <v>180</v>
      </c>
      <c r="C499" t="s">
        <v>281</v>
      </c>
      <c r="D499">
        <v>127.5</v>
      </c>
      <c r="E499">
        <v>115.5</v>
      </c>
      <c r="F499">
        <v>0.4</v>
      </c>
      <c r="G499">
        <v>139.5</v>
      </c>
      <c r="H499" t="s">
        <v>91</v>
      </c>
      <c r="I499" s="70">
        <v>0.29493055555555553</v>
      </c>
      <c r="J499" t="s">
        <v>237</v>
      </c>
    </row>
    <row r="500" spans="1:10" x14ac:dyDescent="0.3">
      <c r="A500" t="str">
        <f t="shared" si="7"/>
        <v>Frequency error TM3.1aPORT15TM3.3</v>
      </c>
      <c r="B500" t="s">
        <v>181</v>
      </c>
      <c r="C500" t="s">
        <v>281</v>
      </c>
      <c r="D500">
        <v>127.5</v>
      </c>
      <c r="E500">
        <v>115.5</v>
      </c>
      <c r="F500">
        <v>0.2</v>
      </c>
      <c r="G500">
        <v>139.5</v>
      </c>
      <c r="H500" t="s">
        <v>91</v>
      </c>
      <c r="I500" s="70">
        <v>0.29494212962962962</v>
      </c>
      <c r="J500" t="s">
        <v>237</v>
      </c>
    </row>
    <row r="501" spans="1:10" x14ac:dyDescent="0.3">
      <c r="A501" t="str">
        <f t="shared" si="7"/>
        <v>Frequency error TM3.1aPORT16TM3.3</v>
      </c>
      <c r="B501" t="s">
        <v>182</v>
      </c>
      <c r="C501" t="s">
        <v>281</v>
      </c>
      <c r="D501">
        <v>127.5</v>
      </c>
      <c r="E501">
        <v>115.5</v>
      </c>
      <c r="F501">
        <v>0.3</v>
      </c>
      <c r="G501">
        <v>139.5</v>
      </c>
      <c r="H501" t="s">
        <v>91</v>
      </c>
      <c r="I501" s="70">
        <v>0.29494212962962962</v>
      </c>
      <c r="J501" t="s">
        <v>237</v>
      </c>
    </row>
    <row r="502" spans="1:10" x14ac:dyDescent="0.3">
      <c r="A502" t="str">
        <f t="shared" si="7"/>
        <v>Frequency error TM3.1aPORT17TM3.3</v>
      </c>
      <c r="B502" t="s">
        <v>183</v>
      </c>
      <c r="C502" t="s">
        <v>281</v>
      </c>
      <c r="D502">
        <v>127.5</v>
      </c>
      <c r="E502">
        <v>115.5</v>
      </c>
      <c r="F502">
        <v>0.3</v>
      </c>
      <c r="G502">
        <v>139.5</v>
      </c>
      <c r="H502" t="s">
        <v>91</v>
      </c>
      <c r="I502" s="70">
        <v>0.29495370370370372</v>
      </c>
      <c r="J502" t="s">
        <v>237</v>
      </c>
    </row>
    <row r="503" spans="1:10" x14ac:dyDescent="0.3">
      <c r="A503" t="str">
        <f t="shared" si="7"/>
        <v>Frequency error TM3.1aPORT18TM3.3</v>
      </c>
      <c r="B503" t="s">
        <v>184</v>
      </c>
      <c r="C503" t="s">
        <v>281</v>
      </c>
      <c r="D503">
        <v>127.5</v>
      </c>
      <c r="E503">
        <v>115.5</v>
      </c>
      <c r="F503">
        <v>0.4</v>
      </c>
      <c r="G503">
        <v>139.5</v>
      </c>
      <c r="H503" t="s">
        <v>91</v>
      </c>
      <c r="I503" s="70">
        <v>0.29495370370370372</v>
      </c>
      <c r="J503" t="s">
        <v>237</v>
      </c>
    </row>
    <row r="504" spans="1:10" x14ac:dyDescent="0.3">
      <c r="A504" t="str">
        <f t="shared" si="7"/>
        <v>Frequency error TM3.1aPORT19TM3.3</v>
      </c>
      <c r="B504" t="s">
        <v>185</v>
      </c>
      <c r="C504" t="s">
        <v>281</v>
      </c>
      <c r="D504">
        <v>127.5</v>
      </c>
      <c r="E504">
        <v>115.5</v>
      </c>
      <c r="F504">
        <v>0.1</v>
      </c>
      <c r="G504">
        <v>139.5</v>
      </c>
      <c r="H504" t="s">
        <v>91</v>
      </c>
      <c r="I504" s="70">
        <v>0.29496527777777776</v>
      </c>
      <c r="J504" t="s">
        <v>237</v>
      </c>
    </row>
    <row r="505" spans="1:10" x14ac:dyDescent="0.3">
      <c r="A505" t="str">
        <f t="shared" si="7"/>
        <v>Frequency error TM3.1aPORT20TM3.3</v>
      </c>
      <c r="B505" t="s">
        <v>186</v>
      </c>
      <c r="C505" t="s">
        <v>281</v>
      </c>
      <c r="D505">
        <v>127.5</v>
      </c>
      <c r="E505">
        <v>115.5</v>
      </c>
      <c r="F505">
        <v>0.2</v>
      </c>
      <c r="G505">
        <v>139.5</v>
      </c>
      <c r="H505" t="s">
        <v>91</v>
      </c>
      <c r="I505" s="70">
        <v>0.29496527777777776</v>
      </c>
      <c r="J505" t="s">
        <v>237</v>
      </c>
    </row>
    <row r="506" spans="1:10" x14ac:dyDescent="0.3">
      <c r="A506" t="str">
        <f t="shared" si="7"/>
        <v>Frequency error TM3.1aPORT21TM3.3</v>
      </c>
      <c r="B506" t="s">
        <v>187</v>
      </c>
      <c r="C506" t="s">
        <v>281</v>
      </c>
      <c r="D506">
        <v>127.5</v>
      </c>
      <c r="E506">
        <v>115.5</v>
      </c>
      <c r="F506">
        <v>0.1</v>
      </c>
      <c r="G506">
        <v>139.5</v>
      </c>
      <c r="H506" t="s">
        <v>91</v>
      </c>
      <c r="I506" s="70">
        <v>0.29497685185185185</v>
      </c>
      <c r="J506" t="s">
        <v>237</v>
      </c>
    </row>
    <row r="507" spans="1:10" x14ac:dyDescent="0.3">
      <c r="A507" t="str">
        <f t="shared" si="7"/>
        <v>Frequency error TM3.1aPORT22TM3.3</v>
      </c>
      <c r="B507" t="s">
        <v>188</v>
      </c>
      <c r="C507" t="s">
        <v>281</v>
      </c>
      <c r="D507">
        <v>127.5</v>
      </c>
      <c r="E507">
        <v>115.5</v>
      </c>
      <c r="F507">
        <v>0.2</v>
      </c>
      <c r="G507">
        <v>139.5</v>
      </c>
      <c r="H507" t="s">
        <v>91</v>
      </c>
      <c r="I507" s="70">
        <v>0.29497685185185185</v>
      </c>
      <c r="J507" t="s">
        <v>237</v>
      </c>
    </row>
    <row r="508" spans="1:10" x14ac:dyDescent="0.3">
      <c r="A508" t="str">
        <f t="shared" si="7"/>
        <v>Frequency error TM3.1aPORT23TM3.3</v>
      </c>
      <c r="B508" t="s">
        <v>189</v>
      </c>
      <c r="C508" t="s">
        <v>281</v>
      </c>
      <c r="D508">
        <v>127.5</v>
      </c>
      <c r="E508">
        <v>115.5</v>
      </c>
      <c r="F508">
        <v>0.1</v>
      </c>
      <c r="G508">
        <v>139.5</v>
      </c>
      <c r="H508" t="s">
        <v>91</v>
      </c>
      <c r="I508" s="70">
        <v>0.29498842592592595</v>
      </c>
      <c r="J508" t="s">
        <v>237</v>
      </c>
    </row>
    <row r="509" spans="1:10" x14ac:dyDescent="0.3">
      <c r="A509" t="str">
        <f t="shared" si="7"/>
        <v>Frequency error TM3.1aPORT24TM3.3</v>
      </c>
      <c r="B509" t="s">
        <v>190</v>
      </c>
      <c r="C509" t="s">
        <v>281</v>
      </c>
      <c r="D509">
        <v>127.5</v>
      </c>
      <c r="E509">
        <v>115.5</v>
      </c>
      <c r="F509">
        <v>0</v>
      </c>
      <c r="G509">
        <v>139.5</v>
      </c>
      <c r="H509" t="s">
        <v>91</v>
      </c>
      <c r="I509" s="70">
        <v>0.29498842592592595</v>
      </c>
      <c r="J509" t="s">
        <v>237</v>
      </c>
    </row>
    <row r="510" spans="1:10" x14ac:dyDescent="0.3">
      <c r="A510" t="str">
        <f t="shared" si="7"/>
        <v>Frequency error TM3.1aPORT25TM3.3</v>
      </c>
      <c r="B510" t="s">
        <v>191</v>
      </c>
      <c r="C510" t="s">
        <v>281</v>
      </c>
      <c r="D510">
        <v>127.5</v>
      </c>
      <c r="E510">
        <v>115.5</v>
      </c>
      <c r="F510">
        <v>0.2</v>
      </c>
      <c r="G510">
        <v>139.5</v>
      </c>
      <c r="H510" t="s">
        <v>91</v>
      </c>
      <c r="I510" s="70">
        <v>0.29498842592592595</v>
      </c>
      <c r="J510" t="s">
        <v>237</v>
      </c>
    </row>
    <row r="511" spans="1:10" x14ac:dyDescent="0.3">
      <c r="A511" t="str">
        <f t="shared" si="7"/>
        <v>Frequency error TM3.1aPORT26TM3.3</v>
      </c>
      <c r="B511" t="s">
        <v>192</v>
      </c>
      <c r="C511" t="s">
        <v>281</v>
      </c>
      <c r="D511">
        <v>127.5</v>
      </c>
      <c r="E511">
        <v>115.5</v>
      </c>
      <c r="F511">
        <v>0.2</v>
      </c>
      <c r="G511">
        <v>139.5</v>
      </c>
      <c r="H511" t="s">
        <v>91</v>
      </c>
      <c r="I511" s="70">
        <v>0.29499999999999998</v>
      </c>
      <c r="J511" t="s">
        <v>237</v>
      </c>
    </row>
    <row r="512" spans="1:10" x14ac:dyDescent="0.3">
      <c r="A512" t="str">
        <f t="shared" si="7"/>
        <v>Frequency error TM3.1aPORT27TM3.3</v>
      </c>
      <c r="B512" t="s">
        <v>193</v>
      </c>
      <c r="C512" t="s">
        <v>281</v>
      </c>
      <c r="D512">
        <v>127.5</v>
      </c>
      <c r="E512">
        <v>115.5</v>
      </c>
      <c r="F512">
        <v>0.3</v>
      </c>
      <c r="G512">
        <v>139.5</v>
      </c>
      <c r="H512" t="s">
        <v>91</v>
      </c>
      <c r="I512" s="70">
        <v>0.29499999999999998</v>
      </c>
      <c r="J512" t="s">
        <v>237</v>
      </c>
    </row>
    <row r="513" spans="1:14" x14ac:dyDescent="0.3">
      <c r="A513" t="str">
        <f t="shared" si="7"/>
        <v>Frequency error TM3.1aPORT28TM3.3</v>
      </c>
      <c r="B513" t="s">
        <v>194</v>
      </c>
      <c r="C513" t="s">
        <v>281</v>
      </c>
      <c r="D513">
        <v>127.5</v>
      </c>
      <c r="E513">
        <v>115.5</v>
      </c>
      <c r="F513">
        <v>0.3</v>
      </c>
      <c r="G513">
        <v>139.5</v>
      </c>
      <c r="H513" t="s">
        <v>91</v>
      </c>
      <c r="I513" s="70">
        <v>0.29501157407407408</v>
      </c>
      <c r="J513" t="s">
        <v>237</v>
      </c>
    </row>
    <row r="514" spans="1:14" x14ac:dyDescent="0.3">
      <c r="A514" t="str">
        <f t="shared" si="7"/>
        <v>Frequency error TM3.1aPORT29TM3.3</v>
      </c>
      <c r="B514" t="s">
        <v>195</v>
      </c>
      <c r="C514" t="s">
        <v>281</v>
      </c>
      <c r="D514">
        <v>127.5</v>
      </c>
      <c r="E514">
        <v>115.5</v>
      </c>
      <c r="F514">
        <v>0.2</v>
      </c>
      <c r="G514">
        <v>139.5</v>
      </c>
      <c r="H514" t="s">
        <v>91</v>
      </c>
      <c r="I514" s="70">
        <v>0.29501157407407408</v>
      </c>
      <c r="J514" t="s">
        <v>237</v>
      </c>
    </row>
    <row r="515" spans="1:14" x14ac:dyDescent="0.3">
      <c r="A515" t="str">
        <f t="shared" ref="A515:A578" si="8">C515&amp;B515&amp;H515</f>
        <v>Frequency error TM3.1aPORT30TM3.3</v>
      </c>
      <c r="B515" t="s">
        <v>196</v>
      </c>
      <c r="C515" t="s">
        <v>281</v>
      </c>
      <c r="D515">
        <v>127.5</v>
      </c>
      <c r="E515">
        <v>115.5</v>
      </c>
      <c r="F515">
        <v>0.1</v>
      </c>
      <c r="G515">
        <v>139.5</v>
      </c>
      <c r="H515" t="s">
        <v>91</v>
      </c>
      <c r="I515" s="70">
        <v>0.29502314814814817</v>
      </c>
      <c r="J515" t="s">
        <v>237</v>
      </c>
    </row>
    <row r="516" spans="1:14" x14ac:dyDescent="0.3">
      <c r="A516" t="str">
        <f t="shared" si="8"/>
        <v>Frequency error TM3.1aPORT31TM3.3</v>
      </c>
      <c r="B516" t="s">
        <v>197</v>
      </c>
      <c r="C516" t="s">
        <v>281</v>
      </c>
      <c r="D516">
        <v>127.5</v>
      </c>
      <c r="E516">
        <v>115.5</v>
      </c>
      <c r="F516">
        <v>0.5</v>
      </c>
      <c r="G516">
        <v>139.5</v>
      </c>
      <c r="H516" t="s">
        <v>91</v>
      </c>
      <c r="I516" s="70">
        <v>0.29502314814814817</v>
      </c>
      <c r="J516" t="s">
        <v>237</v>
      </c>
    </row>
    <row r="517" spans="1:14" x14ac:dyDescent="0.3">
      <c r="A517" t="str">
        <f t="shared" si="8"/>
        <v>Frequency error TM3.1aPORT32TM3.3</v>
      </c>
      <c r="B517" t="s">
        <v>198</v>
      </c>
      <c r="C517" t="s">
        <v>281</v>
      </c>
      <c r="D517">
        <v>127.5</v>
      </c>
      <c r="E517">
        <v>115.5</v>
      </c>
      <c r="F517">
        <v>0.3</v>
      </c>
      <c r="G517">
        <v>139.5</v>
      </c>
      <c r="H517" t="s">
        <v>91</v>
      </c>
      <c r="I517" s="70">
        <v>0.29503472222222221</v>
      </c>
      <c r="J517" t="s">
        <v>237</v>
      </c>
    </row>
    <row r="518" spans="1:14" hidden="1" x14ac:dyDescent="0.3">
      <c r="A518" t="str">
        <f t="shared" si="8"/>
        <v>Frequency error TM3.2PORT1TM3.3</v>
      </c>
      <c r="B518" t="s">
        <v>57</v>
      </c>
      <c r="C518" t="s">
        <v>279</v>
      </c>
      <c r="D518">
        <v>127.5</v>
      </c>
      <c r="E518">
        <v>115.5</v>
      </c>
      <c r="F518">
        <v>3.3</v>
      </c>
      <c r="G518">
        <v>139.5</v>
      </c>
      <c r="H518" t="s">
        <v>91</v>
      </c>
      <c r="I518" s="70">
        <v>0.51313657407407409</v>
      </c>
      <c r="J518" t="s">
        <v>237</v>
      </c>
    </row>
    <row r="519" spans="1:14" hidden="1" x14ac:dyDescent="0.3">
      <c r="A519" t="str">
        <f t="shared" si="8"/>
        <v>Frequency error TM3.2PORT2TM3.3</v>
      </c>
      <c r="B519" t="s">
        <v>59</v>
      </c>
      <c r="C519" t="s">
        <v>279</v>
      </c>
      <c r="D519">
        <v>127.5</v>
      </c>
      <c r="E519">
        <v>115.5</v>
      </c>
      <c r="F519">
        <v>3.1</v>
      </c>
      <c r="G519">
        <v>139.5</v>
      </c>
      <c r="H519" t="s">
        <v>91</v>
      </c>
      <c r="I519" s="70">
        <v>0.51313657407407409</v>
      </c>
      <c r="J519" t="s">
        <v>237</v>
      </c>
    </row>
    <row r="520" spans="1:14" hidden="1" x14ac:dyDescent="0.3">
      <c r="A520" t="str">
        <f t="shared" si="8"/>
        <v>Frequency error TM3.2PORT3TM3.3</v>
      </c>
      <c r="B520" t="s">
        <v>60</v>
      </c>
      <c r="C520" t="s">
        <v>279</v>
      </c>
      <c r="D520">
        <v>127.5</v>
      </c>
      <c r="E520">
        <v>115.5</v>
      </c>
      <c r="F520">
        <v>0.6</v>
      </c>
      <c r="G520">
        <v>139.5</v>
      </c>
      <c r="H520" t="s">
        <v>91</v>
      </c>
      <c r="I520" s="70">
        <v>0.51314814814814813</v>
      </c>
      <c r="J520" t="s">
        <v>237</v>
      </c>
    </row>
    <row r="521" spans="1:14" hidden="1" x14ac:dyDescent="0.3">
      <c r="A521" t="str">
        <f t="shared" si="8"/>
        <v>Frequency error TM3.2PORT4TM3.3</v>
      </c>
      <c r="B521" t="s">
        <v>61</v>
      </c>
      <c r="C521" t="s">
        <v>279</v>
      </c>
      <c r="D521">
        <v>127.5</v>
      </c>
      <c r="E521">
        <v>115.5</v>
      </c>
      <c r="F521">
        <v>1.2</v>
      </c>
      <c r="G521">
        <v>139.5</v>
      </c>
      <c r="H521" t="s">
        <v>91</v>
      </c>
      <c r="I521" s="70">
        <v>0.51314814814814813</v>
      </c>
      <c r="J521" t="s">
        <v>237</v>
      </c>
    </row>
    <row r="522" spans="1:14" hidden="1" x14ac:dyDescent="0.3">
      <c r="A522" t="str">
        <f t="shared" si="8"/>
        <v>Frequency error TM3.2PORT5TM3.3</v>
      </c>
      <c r="B522" t="s">
        <v>62</v>
      </c>
      <c r="C522" t="s">
        <v>279</v>
      </c>
      <c r="D522">
        <v>127.5</v>
      </c>
      <c r="E522">
        <v>115.5</v>
      </c>
      <c r="F522">
        <v>3.4</v>
      </c>
      <c r="G522">
        <v>139.5</v>
      </c>
      <c r="H522" t="s">
        <v>91</v>
      </c>
      <c r="I522" s="70">
        <v>0.51315972222222228</v>
      </c>
      <c r="J522" t="s">
        <v>237</v>
      </c>
    </row>
    <row r="523" spans="1:14" hidden="1" x14ac:dyDescent="0.3">
      <c r="A523" t="str">
        <f t="shared" si="8"/>
        <v>Frequency error TM3.2PORT6TM3.3</v>
      </c>
      <c r="B523" t="s">
        <v>63</v>
      </c>
      <c r="C523" t="s">
        <v>279</v>
      </c>
      <c r="D523">
        <v>127.5</v>
      </c>
      <c r="E523">
        <v>115.5</v>
      </c>
      <c r="F523">
        <v>4.9000000000000004</v>
      </c>
      <c r="G523">
        <v>139.5</v>
      </c>
      <c r="H523" t="s">
        <v>91</v>
      </c>
      <c r="I523" s="70">
        <v>0.51315972222222228</v>
      </c>
      <c r="J523" t="s">
        <v>237</v>
      </c>
    </row>
    <row r="524" spans="1:14" hidden="1" x14ac:dyDescent="0.3">
      <c r="A524" t="str">
        <f t="shared" si="8"/>
        <v>Frequency error TM3.2PORT7TM3.3</v>
      </c>
      <c r="B524" t="s">
        <v>64</v>
      </c>
      <c r="C524" t="s">
        <v>279</v>
      </c>
      <c r="D524">
        <v>127.5</v>
      </c>
      <c r="E524">
        <v>115.5</v>
      </c>
      <c r="F524">
        <v>4.0999999999999996</v>
      </c>
      <c r="G524">
        <v>139.5</v>
      </c>
      <c r="H524" t="s">
        <v>91</v>
      </c>
      <c r="I524" s="70">
        <v>0.51317129629629632</v>
      </c>
      <c r="J524" t="s">
        <v>237</v>
      </c>
    </row>
    <row r="525" spans="1:14" hidden="1" x14ac:dyDescent="0.3">
      <c r="A525" t="str">
        <f t="shared" si="8"/>
        <v>Frequency error TM3.2PORT8TM3.3</v>
      </c>
      <c r="B525" t="s">
        <v>65</v>
      </c>
      <c r="C525" t="s">
        <v>279</v>
      </c>
      <c r="D525">
        <v>127.5</v>
      </c>
      <c r="E525">
        <v>115.5</v>
      </c>
      <c r="F525">
        <v>1.8</v>
      </c>
      <c r="G525">
        <v>139.5</v>
      </c>
      <c r="H525" t="s">
        <v>91</v>
      </c>
      <c r="I525" s="70">
        <v>0.51317129629629632</v>
      </c>
      <c r="J525" t="s">
        <v>237</v>
      </c>
    </row>
    <row r="526" spans="1:14" hidden="1" x14ac:dyDescent="0.3">
      <c r="A526" t="str">
        <f t="shared" si="8"/>
        <v>Frequency error TM3.2PORT9TM3.3</v>
      </c>
      <c r="B526" t="s">
        <v>175</v>
      </c>
      <c r="C526" t="s">
        <v>279</v>
      </c>
      <c r="D526">
        <v>127.5</v>
      </c>
      <c r="E526">
        <v>115.5</v>
      </c>
      <c r="F526">
        <v>1.4</v>
      </c>
      <c r="G526">
        <v>139.5</v>
      </c>
      <c r="H526" t="s">
        <v>91</v>
      </c>
      <c r="I526" s="70">
        <v>0.51318287037037036</v>
      </c>
      <c r="J526" t="s">
        <v>237</v>
      </c>
    </row>
    <row r="527" spans="1:14" hidden="1" x14ac:dyDescent="0.3">
      <c r="A527" t="str">
        <f t="shared" si="8"/>
        <v>Frequency error TM3.2PORT10TM3.3</v>
      </c>
      <c r="B527" t="s">
        <v>176</v>
      </c>
      <c r="C527" t="s">
        <v>279</v>
      </c>
      <c r="D527">
        <v>127.5</v>
      </c>
      <c r="E527">
        <v>115.5</v>
      </c>
      <c r="F527">
        <v>0.5</v>
      </c>
      <c r="G527">
        <v>139.5</v>
      </c>
      <c r="H527" t="s">
        <v>91</v>
      </c>
      <c r="I527" s="70">
        <v>0.51318287037037036</v>
      </c>
      <c r="J527" t="s">
        <v>237</v>
      </c>
      <c r="N527">
        <f>LEN(C527)</f>
        <v>21</v>
      </c>
    </row>
    <row r="528" spans="1:14" hidden="1" x14ac:dyDescent="0.3">
      <c r="A528" t="str">
        <f t="shared" si="8"/>
        <v>Frequency error TM3.2PORT11TM3.3</v>
      </c>
      <c r="B528" t="s">
        <v>177</v>
      </c>
      <c r="C528" t="s">
        <v>279</v>
      </c>
      <c r="D528">
        <v>127.5</v>
      </c>
      <c r="E528">
        <v>115.5</v>
      </c>
      <c r="F528">
        <v>0.5</v>
      </c>
      <c r="G528">
        <v>139.5</v>
      </c>
      <c r="H528" t="s">
        <v>91</v>
      </c>
      <c r="I528" s="70">
        <v>0.5131944444444444</v>
      </c>
      <c r="J528" t="s">
        <v>237</v>
      </c>
      <c r="N528" t="str">
        <f>LEFT(C527,14)</f>
        <v>Frequency erro</v>
      </c>
    </row>
    <row r="529" spans="1:10" hidden="1" x14ac:dyDescent="0.3">
      <c r="A529" t="str">
        <f t="shared" si="8"/>
        <v>Frequency error TM3.2PORT12TM3.3</v>
      </c>
      <c r="B529" t="s">
        <v>178</v>
      </c>
      <c r="C529" t="s">
        <v>279</v>
      </c>
      <c r="D529">
        <v>127.5</v>
      </c>
      <c r="E529">
        <v>115.5</v>
      </c>
      <c r="F529">
        <v>1.5</v>
      </c>
      <c r="G529">
        <v>139.5</v>
      </c>
      <c r="H529" t="s">
        <v>91</v>
      </c>
      <c r="I529" s="70">
        <v>0.5131944444444444</v>
      </c>
      <c r="J529" t="s">
        <v>237</v>
      </c>
    </row>
    <row r="530" spans="1:10" hidden="1" x14ac:dyDescent="0.3">
      <c r="A530" t="str">
        <f t="shared" si="8"/>
        <v>Frequency error TM3.2PORT13TM3.3</v>
      </c>
      <c r="B530" t="s">
        <v>179</v>
      </c>
      <c r="C530" t="s">
        <v>279</v>
      </c>
      <c r="D530">
        <v>127.5</v>
      </c>
      <c r="E530">
        <v>115.5</v>
      </c>
      <c r="F530">
        <v>2.5</v>
      </c>
      <c r="G530">
        <v>139.5</v>
      </c>
      <c r="H530" t="s">
        <v>91</v>
      </c>
      <c r="I530" s="70">
        <v>0.51320601851851855</v>
      </c>
      <c r="J530" t="s">
        <v>237</v>
      </c>
    </row>
    <row r="531" spans="1:10" hidden="1" x14ac:dyDescent="0.3">
      <c r="A531" t="str">
        <f t="shared" si="8"/>
        <v>Frequency error TM3.2PORT14TM3.3</v>
      </c>
      <c r="B531" t="s">
        <v>180</v>
      </c>
      <c r="C531" t="s">
        <v>279</v>
      </c>
      <c r="D531">
        <v>127.5</v>
      </c>
      <c r="E531">
        <v>115.5</v>
      </c>
      <c r="F531">
        <v>1.9</v>
      </c>
      <c r="G531">
        <v>139.5</v>
      </c>
      <c r="H531" t="s">
        <v>91</v>
      </c>
      <c r="I531" s="70">
        <v>0.51320601851851855</v>
      </c>
      <c r="J531" t="s">
        <v>237</v>
      </c>
    </row>
    <row r="532" spans="1:10" hidden="1" x14ac:dyDescent="0.3">
      <c r="A532" t="str">
        <f t="shared" si="8"/>
        <v>Frequency error TM3.2PORT15TM3.3</v>
      </c>
      <c r="B532" t="s">
        <v>181</v>
      </c>
      <c r="C532" t="s">
        <v>279</v>
      </c>
      <c r="D532">
        <v>127.5</v>
      </c>
      <c r="E532">
        <v>115.5</v>
      </c>
      <c r="F532">
        <v>39.200000000000003</v>
      </c>
      <c r="G532">
        <v>139.5</v>
      </c>
      <c r="H532" t="s">
        <v>91</v>
      </c>
      <c r="I532" s="70">
        <v>0.51321759259259259</v>
      </c>
      <c r="J532" t="s">
        <v>237</v>
      </c>
    </row>
    <row r="533" spans="1:10" hidden="1" x14ac:dyDescent="0.3">
      <c r="A533" t="str">
        <f t="shared" si="8"/>
        <v>Frequency error TM3.2PORT16TM3.3</v>
      </c>
      <c r="B533" t="s">
        <v>182</v>
      </c>
      <c r="C533" t="s">
        <v>279</v>
      </c>
      <c r="D533">
        <v>127.5</v>
      </c>
      <c r="E533">
        <v>115.5</v>
      </c>
      <c r="F533">
        <v>19.7</v>
      </c>
      <c r="G533">
        <v>139.5</v>
      </c>
      <c r="H533" t="s">
        <v>91</v>
      </c>
      <c r="I533" s="70">
        <v>0.51321759259259259</v>
      </c>
      <c r="J533" t="s">
        <v>237</v>
      </c>
    </row>
    <row r="534" spans="1:10" hidden="1" x14ac:dyDescent="0.3">
      <c r="A534" t="str">
        <f t="shared" si="8"/>
        <v>Frequency error TM3.2PORT17TM3.3</v>
      </c>
      <c r="B534" t="s">
        <v>183</v>
      </c>
      <c r="C534" t="s">
        <v>279</v>
      </c>
      <c r="D534">
        <v>127.5</v>
      </c>
      <c r="E534">
        <v>115.5</v>
      </c>
      <c r="F534">
        <v>3.5</v>
      </c>
      <c r="G534">
        <v>139.5</v>
      </c>
      <c r="H534" t="s">
        <v>91</v>
      </c>
      <c r="I534" s="70">
        <v>0.51322916666666674</v>
      </c>
      <c r="J534" t="s">
        <v>237</v>
      </c>
    </row>
    <row r="535" spans="1:10" hidden="1" x14ac:dyDescent="0.3">
      <c r="A535" t="str">
        <f t="shared" si="8"/>
        <v>Frequency error TM3.2PORT18TM3.3</v>
      </c>
      <c r="B535" t="s">
        <v>184</v>
      </c>
      <c r="C535" t="s">
        <v>279</v>
      </c>
      <c r="D535">
        <v>127.5</v>
      </c>
      <c r="E535">
        <v>115.5</v>
      </c>
      <c r="F535">
        <v>3</v>
      </c>
      <c r="G535">
        <v>139.5</v>
      </c>
      <c r="H535" t="s">
        <v>91</v>
      </c>
      <c r="I535" s="70">
        <v>0.51322916666666674</v>
      </c>
      <c r="J535" t="s">
        <v>237</v>
      </c>
    </row>
    <row r="536" spans="1:10" hidden="1" x14ac:dyDescent="0.3">
      <c r="A536" t="str">
        <f t="shared" si="8"/>
        <v>Frequency error TM3.2PORT19TM3.3</v>
      </c>
      <c r="B536" t="s">
        <v>185</v>
      </c>
      <c r="C536" t="s">
        <v>279</v>
      </c>
      <c r="D536">
        <v>127.5</v>
      </c>
      <c r="E536">
        <v>115.5</v>
      </c>
      <c r="F536">
        <v>3.2</v>
      </c>
      <c r="G536">
        <v>139.5</v>
      </c>
      <c r="H536" t="s">
        <v>91</v>
      </c>
      <c r="I536" s="70">
        <v>0.51322916666666674</v>
      </c>
      <c r="J536" t="s">
        <v>237</v>
      </c>
    </row>
    <row r="537" spans="1:10" hidden="1" x14ac:dyDescent="0.3">
      <c r="A537" t="str">
        <f t="shared" si="8"/>
        <v>Frequency error TM3.2PORT20TM3.3</v>
      </c>
      <c r="B537" t="s">
        <v>186</v>
      </c>
      <c r="C537" t="s">
        <v>279</v>
      </c>
      <c r="D537">
        <v>127.5</v>
      </c>
      <c r="E537">
        <v>115.5</v>
      </c>
      <c r="F537">
        <v>0.6</v>
      </c>
      <c r="G537">
        <v>139.5</v>
      </c>
      <c r="H537" t="s">
        <v>91</v>
      </c>
      <c r="I537" s="70">
        <v>0.51324074074074078</v>
      </c>
      <c r="J537" t="s">
        <v>237</v>
      </c>
    </row>
    <row r="538" spans="1:10" hidden="1" x14ac:dyDescent="0.3">
      <c r="A538" t="str">
        <f t="shared" si="8"/>
        <v>Frequency error TM3.2PORT21TM3.3</v>
      </c>
      <c r="B538" t="s">
        <v>187</v>
      </c>
      <c r="C538" t="s">
        <v>279</v>
      </c>
      <c r="D538">
        <v>127.5</v>
      </c>
      <c r="E538">
        <v>115.5</v>
      </c>
      <c r="F538">
        <v>3.2</v>
      </c>
      <c r="G538">
        <v>139.5</v>
      </c>
      <c r="H538" t="s">
        <v>91</v>
      </c>
      <c r="I538" s="70">
        <v>0.51324074074074078</v>
      </c>
      <c r="J538" t="s">
        <v>237</v>
      </c>
    </row>
    <row r="539" spans="1:10" hidden="1" x14ac:dyDescent="0.3">
      <c r="A539" t="str">
        <f t="shared" si="8"/>
        <v>Frequency error TM3.2PORT22TM3.3</v>
      </c>
      <c r="B539" t="s">
        <v>188</v>
      </c>
      <c r="C539" t="s">
        <v>279</v>
      </c>
      <c r="D539">
        <v>127.5</v>
      </c>
      <c r="E539">
        <v>115.5</v>
      </c>
      <c r="F539">
        <v>2</v>
      </c>
      <c r="G539">
        <v>139.5</v>
      </c>
      <c r="H539" t="s">
        <v>91</v>
      </c>
      <c r="I539" s="70">
        <v>0.51325231481481481</v>
      </c>
      <c r="J539" t="s">
        <v>237</v>
      </c>
    </row>
    <row r="540" spans="1:10" hidden="1" x14ac:dyDescent="0.3">
      <c r="A540" t="str">
        <f t="shared" si="8"/>
        <v>Frequency error TM3.2PORT23TM3.3</v>
      </c>
      <c r="B540" t="s">
        <v>189</v>
      </c>
      <c r="C540" t="s">
        <v>279</v>
      </c>
      <c r="D540">
        <v>127.5</v>
      </c>
      <c r="E540">
        <v>115.5</v>
      </c>
      <c r="F540">
        <v>8.1</v>
      </c>
      <c r="G540">
        <v>139.5</v>
      </c>
      <c r="H540" t="s">
        <v>91</v>
      </c>
      <c r="I540" s="70">
        <v>0.51325231481481481</v>
      </c>
      <c r="J540" t="s">
        <v>237</v>
      </c>
    </row>
    <row r="541" spans="1:10" hidden="1" x14ac:dyDescent="0.3">
      <c r="A541" t="str">
        <f t="shared" si="8"/>
        <v>Frequency error TM3.2PORT24TM3.3</v>
      </c>
      <c r="B541" t="s">
        <v>190</v>
      </c>
      <c r="C541" t="s">
        <v>279</v>
      </c>
      <c r="D541">
        <v>127.5</v>
      </c>
      <c r="E541">
        <v>115.5</v>
      </c>
      <c r="F541">
        <v>3.3</v>
      </c>
      <c r="G541">
        <v>139.5</v>
      </c>
      <c r="H541" t="s">
        <v>91</v>
      </c>
      <c r="I541" s="70">
        <v>0.51326388888888885</v>
      </c>
      <c r="J541" t="s">
        <v>237</v>
      </c>
    </row>
    <row r="542" spans="1:10" hidden="1" x14ac:dyDescent="0.3">
      <c r="A542" t="str">
        <f t="shared" si="8"/>
        <v>Frequency error TM3.2PORT25TM3.3</v>
      </c>
      <c r="B542" t="s">
        <v>191</v>
      </c>
      <c r="C542" t="s">
        <v>279</v>
      </c>
      <c r="D542">
        <v>127.5</v>
      </c>
      <c r="E542">
        <v>115.5</v>
      </c>
      <c r="F542">
        <v>1.4</v>
      </c>
      <c r="G542">
        <v>139.5</v>
      </c>
      <c r="H542" t="s">
        <v>91</v>
      </c>
      <c r="I542" s="70">
        <v>0.51326388888888885</v>
      </c>
      <c r="J542" t="s">
        <v>237</v>
      </c>
    </row>
    <row r="543" spans="1:10" hidden="1" x14ac:dyDescent="0.3">
      <c r="A543" t="str">
        <f t="shared" si="8"/>
        <v>Frequency error TM3.2PORT26TM3.3</v>
      </c>
      <c r="B543" t="s">
        <v>192</v>
      </c>
      <c r="C543" t="s">
        <v>279</v>
      </c>
      <c r="D543">
        <v>127.5</v>
      </c>
      <c r="E543">
        <v>115.5</v>
      </c>
      <c r="F543">
        <v>2.9</v>
      </c>
      <c r="G543">
        <v>139.5</v>
      </c>
      <c r="H543" t="s">
        <v>91</v>
      </c>
      <c r="I543" s="70">
        <v>0.51327546296296289</v>
      </c>
      <c r="J543" t="s">
        <v>237</v>
      </c>
    </row>
    <row r="544" spans="1:10" hidden="1" x14ac:dyDescent="0.3">
      <c r="A544" t="str">
        <f t="shared" si="8"/>
        <v>Frequency error TM3.2PORT27TM3.3</v>
      </c>
      <c r="B544" t="s">
        <v>193</v>
      </c>
      <c r="C544" t="s">
        <v>279</v>
      </c>
      <c r="D544">
        <v>127.5</v>
      </c>
      <c r="E544">
        <v>115.5</v>
      </c>
      <c r="F544">
        <v>2.9</v>
      </c>
      <c r="G544">
        <v>139.5</v>
      </c>
      <c r="H544" t="s">
        <v>91</v>
      </c>
      <c r="I544" s="70">
        <v>0.51327546296296289</v>
      </c>
      <c r="J544" t="s">
        <v>237</v>
      </c>
    </row>
    <row r="545" spans="1:10" hidden="1" x14ac:dyDescent="0.3">
      <c r="A545" t="str">
        <f t="shared" si="8"/>
        <v>Frequency error TM3.2PORT28TM3.3</v>
      </c>
      <c r="B545" t="s">
        <v>194</v>
      </c>
      <c r="C545" t="s">
        <v>279</v>
      </c>
      <c r="D545">
        <v>127.5</v>
      </c>
      <c r="E545">
        <v>115.5</v>
      </c>
      <c r="F545">
        <v>1.2</v>
      </c>
      <c r="G545">
        <v>139.5</v>
      </c>
      <c r="H545" t="s">
        <v>91</v>
      </c>
      <c r="I545" s="70">
        <v>0.51328703703703704</v>
      </c>
      <c r="J545" t="s">
        <v>237</v>
      </c>
    </row>
    <row r="546" spans="1:10" hidden="1" x14ac:dyDescent="0.3">
      <c r="A546" t="str">
        <f t="shared" si="8"/>
        <v>Frequency error TM3.2PORT29TM3.3</v>
      </c>
      <c r="B546" t="s">
        <v>195</v>
      </c>
      <c r="C546" t="s">
        <v>279</v>
      </c>
      <c r="D546">
        <v>127.5</v>
      </c>
      <c r="E546">
        <v>115.5</v>
      </c>
      <c r="F546">
        <v>0.9</v>
      </c>
      <c r="G546">
        <v>139.5</v>
      </c>
      <c r="H546" t="s">
        <v>91</v>
      </c>
      <c r="I546" s="70">
        <v>0.51328703703703704</v>
      </c>
      <c r="J546" t="s">
        <v>237</v>
      </c>
    </row>
    <row r="547" spans="1:10" hidden="1" x14ac:dyDescent="0.3">
      <c r="A547" t="str">
        <f t="shared" si="8"/>
        <v>Frequency error TM3.2PORT30TM3.3</v>
      </c>
      <c r="B547" t="s">
        <v>196</v>
      </c>
      <c r="C547" t="s">
        <v>279</v>
      </c>
      <c r="D547">
        <v>127.5</v>
      </c>
      <c r="E547">
        <v>115.5</v>
      </c>
      <c r="F547">
        <v>1.6</v>
      </c>
      <c r="G547">
        <v>139.5</v>
      </c>
      <c r="H547" t="s">
        <v>91</v>
      </c>
      <c r="I547" s="70">
        <v>0.51329861111111108</v>
      </c>
      <c r="J547" t="s">
        <v>237</v>
      </c>
    </row>
    <row r="548" spans="1:10" hidden="1" x14ac:dyDescent="0.3">
      <c r="A548" t="str">
        <f t="shared" si="8"/>
        <v>Frequency error TM3.2PORT31TM3.3</v>
      </c>
      <c r="B548" t="s">
        <v>197</v>
      </c>
      <c r="C548" t="s">
        <v>279</v>
      </c>
      <c r="D548">
        <v>127.5</v>
      </c>
      <c r="E548">
        <v>115.5</v>
      </c>
      <c r="F548">
        <v>3</v>
      </c>
      <c r="G548">
        <v>139.5</v>
      </c>
      <c r="H548" t="s">
        <v>91</v>
      </c>
      <c r="I548" s="70">
        <v>0.51329861111111108</v>
      </c>
      <c r="J548" t="s">
        <v>237</v>
      </c>
    </row>
    <row r="549" spans="1:10" hidden="1" x14ac:dyDescent="0.3">
      <c r="A549" t="str">
        <f t="shared" si="8"/>
        <v>Frequency error TM3.2PORT32TM3.3</v>
      </c>
      <c r="B549" t="s">
        <v>198</v>
      </c>
      <c r="C549" t="s">
        <v>279</v>
      </c>
      <c r="D549">
        <v>127.5</v>
      </c>
      <c r="E549">
        <v>115.5</v>
      </c>
      <c r="F549">
        <v>3.7</v>
      </c>
      <c r="G549">
        <v>139.5</v>
      </c>
      <c r="H549" t="s">
        <v>91</v>
      </c>
      <c r="I549" s="70">
        <v>0.51331018518518523</v>
      </c>
      <c r="J549" t="s">
        <v>237</v>
      </c>
    </row>
    <row r="550" spans="1:10" hidden="1" x14ac:dyDescent="0.3">
      <c r="A550" t="str">
        <f t="shared" si="8"/>
        <v>Frequency error TM3.3PORT1TM3.3</v>
      </c>
      <c r="B550" t="s">
        <v>57</v>
      </c>
      <c r="C550" t="s">
        <v>280</v>
      </c>
      <c r="D550">
        <v>127.5</v>
      </c>
      <c r="E550">
        <v>115.5</v>
      </c>
      <c r="F550">
        <v>1.1000000000000001</v>
      </c>
      <c r="G550">
        <v>139.5</v>
      </c>
      <c r="H550" t="s">
        <v>91</v>
      </c>
      <c r="I550" s="70">
        <v>0.51331018518518523</v>
      </c>
      <c r="J550" t="s">
        <v>237</v>
      </c>
    </row>
    <row r="551" spans="1:10" hidden="1" x14ac:dyDescent="0.3">
      <c r="A551" t="str">
        <f t="shared" si="8"/>
        <v>Frequency error TM3.3PORT2TM3.3</v>
      </c>
      <c r="B551" t="s">
        <v>59</v>
      </c>
      <c r="C551" t="s">
        <v>280</v>
      </c>
      <c r="D551">
        <v>127.5</v>
      </c>
      <c r="E551">
        <v>115.5</v>
      </c>
      <c r="F551">
        <v>6.1</v>
      </c>
      <c r="G551">
        <v>139.5</v>
      </c>
      <c r="H551" t="s">
        <v>91</v>
      </c>
      <c r="I551" s="70">
        <v>0.51332175925925927</v>
      </c>
      <c r="J551" t="s">
        <v>237</v>
      </c>
    </row>
    <row r="552" spans="1:10" hidden="1" x14ac:dyDescent="0.3">
      <c r="A552" t="str">
        <f t="shared" si="8"/>
        <v>Frequency error TM3.3PORT3TM3.3</v>
      </c>
      <c r="B552" t="s">
        <v>60</v>
      </c>
      <c r="C552" t="s">
        <v>280</v>
      </c>
      <c r="D552">
        <v>127.5</v>
      </c>
      <c r="E552">
        <v>115.5</v>
      </c>
      <c r="F552">
        <v>10.5</v>
      </c>
      <c r="G552">
        <v>139.5</v>
      </c>
      <c r="H552" t="s">
        <v>91</v>
      </c>
      <c r="I552" s="70">
        <v>0.51332175925925927</v>
      </c>
      <c r="J552" t="s">
        <v>237</v>
      </c>
    </row>
    <row r="553" spans="1:10" hidden="1" x14ac:dyDescent="0.3">
      <c r="A553" t="str">
        <f t="shared" si="8"/>
        <v>Frequency error TM3.3PORT4TM3.3</v>
      </c>
      <c r="B553" t="s">
        <v>61</v>
      </c>
      <c r="C553" t="s">
        <v>280</v>
      </c>
      <c r="D553">
        <v>127.5</v>
      </c>
      <c r="E553">
        <v>115.5</v>
      </c>
      <c r="F553">
        <v>1.2</v>
      </c>
      <c r="G553">
        <v>139.5</v>
      </c>
      <c r="H553" t="s">
        <v>91</v>
      </c>
      <c r="I553" s="70">
        <v>0.51333333333333331</v>
      </c>
      <c r="J553" t="s">
        <v>237</v>
      </c>
    </row>
    <row r="554" spans="1:10" hidden="1" x14ac:dyDescent="0.3">
      <c r="A554" t="str">
        <f t="shared" si="8"/>
        <v>Frequency error TM3.3PORT5TM3.3</v>
      </c>
      <c r="B554" t="s">
        <v>62</v>
      </c>
      <c r="C554" t="s">
        <v>280</v>
      </c>
      <c r="D554">
        <v>127.5</v>
      </c>
      <c r="E554">
        <v>115.5</v>
      </c>
      <c r="F554">
        <v>2.8</v>
      </c>
      <c r="G554">
        <v>139.5</v>
      </c>
      <c r="H554" t="s">
        <v>91</v>
      </c>
      <c r="I554" s="70">
        <v>0.51333333333333331</v>
      </c>
      <c r="J554" t="s">
        <v>237</v>
      </c>
    </row>
    <row r="555" spans="1:10" hidden="1" x14ac:dyDescent="0.3">
      <c r="A555" t="str">
        <f t="shared" si="8"/>
        <v>Frequency error TM3.3PORT6TM3.3</v>
      </c>
      <c r="B555" t="s">
        <v>63</v>
      </c>
      <c r="C555" t="s">
        <v>280</v>
      </c>
      <c r="D555">
        <v>127.5</v>
      </c>
      <c r="E555">
        <v>115.5</v>
      </c>
      <c r="F555">
        <v>0.1</v>
      </c>
      <c r="G555">
        <v>139.5</v>
      </c>
      <c r="H555" t="s">
        <v>91</v>
      </c>
      <c r="I555" s="70">
        <v>0.51334490740740735</v>
      </c>
      <c r="J555" t="s">
        <v>237</v>
      </c>
    </row>
    <row r="556" spans="1:10" hidden="1" x14ac:dyDescent="0.3">
      <c r="A556" t="str">
        <f t="shared" si="8"/>
        <v>Frequency error TM3.3PORT7TM3.3</v>
      </c>
      <c r="B556" t="s">
        <v>64</v>
      </c>
      <c r="C556" t="s">
        <v>280</v>
      </c>
      <c r="D556">
        <v>127.5</v>
      </c>
      <c r="E556">
        <v>115.5</v>
      </c>
      <c r="F556">
        <v>8.3000000000000007</v>
      </c>
      <c r="G556">
        <v>139.5</v>
      </c>
      <c r="H556" t="s">
        <v>91</v>
      </c>
      <c r="I556" s="70">
        <v>0.51334490740740735</v>
      </c>
      <c r="J556" t="s">
        <v>237</v>
      </c>
    </row>
    <row r="557" spans="1:10" hidden="1" x14ac:dyDescent="0.3">
      <c r="A557" t="str">
        <f t="shared" si="8"/>
        <v>Frequency error TM3.3PORT8TM3.3</v>
      </c>
      <c r="B557" t="s">
        <v>65</v>
      </c>
      <c r="C557" t="s">
        <v>280</v>
      </c>
      <c r="D557">
        <v>127.5</v>
      </c>
      <c r="E557">
        <v>115.5</v>
      </c>
      <c r="F557">
        <v>2.4</v>
      </c>
      <c r="G557">
        <v>139.5</v>
      </c>
      <c r="H557" t="s">
        <v>91</v>
      </c>
      <c r="I557" s="70">
        <v>0.5133564814814815</v>
      </c>
      <c r="J557" t="s">
        <v>237</v>
      </c>
    </row>
    <row r="558" spans="1:10" hidden="1" x14ac:dyDescent="0.3">
      <c r="A558" t="str">
        <f t="shared" si="8"/>
        <v>Frequency error TM3.3PORT9TM3.3</v>
      </c>
      <c r="B558" t="s">
        <v>175</v>
      </c>
      <c r="C558" t="s">
        <v>280</v>
      </c>
      <c r="D558">
        <v>127.5</v>
      </c>
      <c r="E558">
        <v>115.5</v>
      </c>
      <c r="F558">
        <v>5.4</v>
      </c>
      <c r="G558">
        <v>139.5</v>
      </c>
      <c r="H558" t="s">
        <v>91</v>
      </c>
      <c r="I558" s="70">
        <v>0.5133564814814815</v>
      </c>
      <c r="J558" t="s">
        <v>237</v>
      </c>
    </row>
    <row r="559" spans="1:10" hidden="1" x14ac:dyDescent="0.3">
      <c r="A559" t="str">
        <f t="shared" si="8"/>
        <v>Frequency error TM3.3PORT10TM3.3</v>
      </c>
      <c r="B559" t="s">
        <v>176</v>
      </c>
      <c r="C559" t="s">
        <v>280</v>
      </c>
      <c r="D559">
        <v>127.5</v>
      </c>
      <c r="E559">
        <v>115.5</v>
      </c>
      <c r="F559">
        <v>0.3</v>
      </c>
      <c r="G559">
        <v>139.5</v>
      </c>
      <c r="H559" t="s">
        <v>91</v>
      </c>
      <c r="I559" s="70">
        <v>0.5133564814814815</v>
      </c>
      <c r="J559" t="s">
        <v>237</v>
      </c>
    </row>
    <row r="560" spans="1:10" hidden="1" x14ac:dyDescent="0.3">
      <c r="A560" t="str">
        <f t="shared" si="8"/>
        <v>Frequency error TM3.3PORT11TM3.3</v>
      </c>
      <c r="B560" t="s">
        <v>177</v>
      </c>
      <c r="C560" t="s">
        <v>280</v>
      </c>
      <c r="D560">
        <v>127.5</v>
      </c>
      <c r="E560">
        <v>115.5</v>
      </c>
      <c r="F560">
        <v>2.9</v>
      </c>
      <c r="G560">
        <v>139.5</v>
      </c>
      <c r="H560" t="s">
        <v>91</v>
      </c>
      <c r="I560" s="70">
        <v>0.51336805555555554</v>
      </c>
      <c r="J560" t="s">
        <v>237</v>
      </c>
    </row>
    <row r="561" spans="1:10" hidden="1" x14ac:dyDescent="0.3">
      <c r="A561" t="str">
        <f t="shared" si="8"/>
        <v>Frequency error TM3.3PORT12TM3.3</v>
      </c>
      <c r="B561" t="s">
        <v>178</v>
      </c>
      <c r="C561" t="s">
        <v>280</v>
      </c>
      <c r="D561">
        <v>127.5</v>
      </c>
      <c r="E561">
        <v>115.5</v>
      </c>
      <c r="F561">
        <v>2</v>
      </c>
      <c r="G561">
        <v>139.5</v>
      </c>
      <c r="H561" t="s">
        <v>91</v>
      </c>
      <c r="I561" s="70">
        <v>0.51336805555555554</v>
      </c>
      <c r="J561" t="s">
        <v>237</v>
      </c>
    </row>
    <row r="562" spans="1:10" hidden="1" x14ac:dyDescent="0.3">
      <c r="A562" t="str">
        <f t="shared" si="8"/>
        <v>Frequency error TM3.3PORT13TM3.3</v>
      </c>
      <c r="B562" t="s">
        <v>179</v>
      </c>
      <c r="C562" t="s">
        <v>280</v>
      </c>
      <c r="D562">
        <v>127.5</v>
      </c>
      <c r="E562">
        <v>115.5</v>
      </c>
      <c r="F562">
        <v>3</v>
      </c>
      <c r="G562">
        <v>139.5</v>
      </c>
      <c r="H562" t="s">
        <v>91</v>
      </c>
      <c r="I562" s="70">
        <v>0.51337962962962969</v>
      </c>
      <c r="J562" t="s">
        <v>237</v>
      </c>
    </row>
    <row r="563" spans="1:10" hidden="1" x14ac:dyDescent="0.3">
      <c r="A563" t="str">
        <f t="shared" si="8"/>
        <v>Frequency error TM3.3PORT14TM3.3</v>
      </c>
      <c r="B563" t="s">
        <v>180</v>
      </c>
      <c r="C563" t="s">
        <v>280</v>
      </c>
      <c r="D563">
        <v>127.5</v>
      </c>
      <c r="E563">
        <v>115.5</v>
      </c>
      <c r="F563">
        <v>1.3</v>
      </c>
      <c r="G563">
        <v>139.5</v>
      </c>
      <c r="H563" t="s">
        <v>91</v>
      </c>
      <c r="I563" s="70">
        <v>0.51337962962962969</v>
      </c>
      <c r="J563" t="s">
        <v>237</v>
      </c>
    </row>
    <row r="564" spans="1:10" hidden="1" x14ac:dyDescent="0.3">
      <c r="A564" t="str">
        <f t="shared" si="8"/>
        <v>Frequency error TM3.3PORT15TM3.3</v>
      </c>
      <c r="B564" t="s">
        <v>181</v>
      </c>
      <c r="C564" t="s">
        <v>280</v>
      </c>
      <c r="D564">
        <v>127.5</v>
      </c>
      <c r="E564">
        <v>115.5</v>
      </c>
      <c r="F564">
        <v>12.7</v>
      </c>
      <c r="G564">
        <v>139.5</v>
      </c>
      <c r="H564" t="s">
        <v>91</v>
      </c>
      <c r="I564" s="70">
        <v>0.51339120370370372</v>
      </c>
      <c r="J564" t="s">
        <v>237</v>
      </c>
    </row>
    <row r="565" spans="1:10" hidden="1" x14ac:dyDescent="0.3">
      <c r="A565" t="str">
        <f t="shared" si="8"/>
        <v>Frequency error TM3.3PORT16TM3.3</v>
      </c>
      <c r="B565" t="s">
        <v>182</v>
      </c>
      <c r="C565" t="s">
        <v>280</v>
      </c>
      <c r="D565">
        <v>127.5</v>
      </c>
      <c r="E565">
        <v>115.5</v>
      </c>
      <c r="F565">
        <v>1.3</v>
      </c>
      <c r="G565">
        <v>139.5</v>
      </c>
      <c r="H565" t="s">
        <v>91</v>
      </c>
      <c r="I565" s="70">
        <v>0.51339120370370372</v>
      </c>
      <c r="J565" t="s">
        <v>237</v>
      </c>
    </row>
    <row r="566" spans="1:10" hidden="1" x14ac:dyDescent="0.3">
      <c r="A566" t="str">
        <f t="shared" si="8"/>
        <v>Frequency error TM3.3PORT17TM3.3</v>
      </c>
      <c r="B566" t="s">
        <v>183</v>
      </c>
      <c r="C566" t="s">
        <v>280</v>
      </c>
      <c r="D566">
        <v>127.5</v>
      </c>
      <c r="E566">
        <v>115.5</v>
      </c>
      <c r="F566">
        <v>3.5</v>
      </c>
      <c r="G566">
        <v>139.5</v>
      </c>
      <c r="H566" t="s">
        <v>91</v>
      </c>
      <c r="I566" s="70">
        <v>0.51340277777777776</v>
      </c>
      <c r="J566" t="s">
        <v>237</v>
      </c>
    </row>
    <row r="567" spans="1:10" hidden="1" x14ac:dyDescent="0.3">
      <c r="A567" t="str">
        <f t="shared" si="8"/>
        <v>Frequency error TM3.3PORT18TM3.3</v>
      </c>
      <c r="B567" t="s">
        <v>184</v>
      </c>
      <c r="C567" t="s">
        <v>280</v>
      </c>
      <c r="D567">
        <v>127.5</v>
      </c>
      <c r="E567">
        <v>115.5</v>
      </c>
      <c r="F567">
        <v>1.1000000000000001</v>
      </c>
      <c r="G567">
        <v>139.5</v>
      </c>
      <c r="H567" t="s">
        <v>91</v>
      </c>
      <c r="I567" s="70">
        <v>0.51340277777777776</v>
      </c>
      <c r="J567" t="s">
        <v>237</v>
      </c>
    </row>
    <row r="568" spans="1:10" hidden="1" x14ac:dyDescent="0.3">
      <c r="A568" t="str">
        <f t="shared" si="8"/>
        <v>Frequency error TM3.3PORT19TM3.3</v>
      </c>
      <c r="B568" t="s">
        <v>185</v>
      </c>
      <c r="C568" t="s">
        <v>280</v>
      </c>
      <c r="D568">
        <v>127.5</v>
      </c>
      <c r="E568">
        <v>115.5</v>
      </c>
      <c r="F568">
        <v>1.2</v>
      </c>
      <c r="G568">
        <v>139.5</v>
      </c>
      <c r="H568" t="s">
        <v>91</v>
      </c>
      <c r="I568" s="70">
        <v>0.5134143518518518</v>
      </c>
      <c r="J568" t="s">
        <v>237</v>
      </c>
    </row>
    <row r="569" spans="1:10" hidden="1" x14ac:dyDescent="0.3">
      <c r="A569" t="str">
        <f t="shared" si="8"/>
        <v>Frequency error TM3.3PORT20TM3.3</v>
      </c>
      <c r="B569" t="s">
        <v>186</v>
      </c>
      <c r="C569" t="s">
        <v>280</v>
      </c>
      <c r="D569">
        <v>127.5</v>
      </c>
      <c r="E569">
        <v>115.5</v>
      </c>
      <c r="F569">
        <v>3.3</v>
      </c>
      <c r="G569">
        <v>139.5</v>
      </c>
      <c r="H569" t="s">
        <v>91</v>
      </c>
      <c r="I569" s="70">
        <v>0.5134143518518518</v>
      </c>
      <c r="J569" t="s">
        <v>237</v>
      </c>
    </row>
    <row r="570" spans="1:10" hidden="1" x14ac:dyDescent="0.3">
      <c r="A570" t="str">
        <f t="shared" si="8"/>
        <v>Frequency error TM3.3PORT21TM3.3</v>
      </c>
      <c r="B570" t="s">
        <v>187</v>
      </c>
      <c r="C570" t="s">
        <v>280</v>
      </c>
      <c r="D570">
        <v>127.5</v>
      </c>
      <c r="E570">
        <v>115.5</v>
      </c>
      <c r="F570">
        <v>3.2</v>
      </c>
      <c r="G570">
        <v>139.5</v>
      </c>
      <c r="H570" t="s">
        <v>91</v>
      </c>
      <c r="I570" s="70">
        <v>0.51342592592592595</v>
      </c>
      <c r="J570" t="s">
        <v>237</v>
      </c>
    </row>
    <row r="571" spans="1:10" hidden="1" x14ac:dyDescent="0.3">
      <c r="A571" t="str">
        <f t="shared" si="8"/>
        <v>Frequency error TM3.3PORT22TM3.3</v>
      </c>
      <c r="B571" t="s">
        <v>188</v>
      </c>
      <c r="C571" t="s">
        <v>280</v>
      </c>
      <c r="D571">
        <v>127.5</v>
      </c>
      <c r="E571">
        <v>115.5</v>
      </c>
      <c r="F571">
        <v>0.6</v>
      </c>
      <c r="G571">
        <v>139.5</v>
      </c>
      <c r="H571" t="s">
        <v>91</v>
      </c>
      <c r="I571" s="70">
        <v>0.51342592592592595</v>
      </c>
      <c r="J571" t="s">
        <v>237</v>
      </c>
    </row>
    <row r="572" spans="1:10" hidden="1" x14ac:dyDescent="0.3">
      <c r="A572" t="str">
        <f t="shared" si="8"/>
        <v>Frequency error TM3.3PORT23TM3.3</v>
      </c>
      <c r="B572" t="s">
        <v>189</v>
      </c>
      <c r="C572" t="s">
        <v>280</v>
      </c>
      <c r="D572">
        <v>127.5</v>
      </c>
      <c r="E572">
        <v>115.5</v>
      </c>
      <c r="F572">
        <v>1.1000000000000001</v>
      </c>
      <c r="G572">
        <v>139.5</v>
      </c>
      <c r="H572" t="s">
        <v>91</v>
      </c>
      <c r="I572" s="70">
        <v>0.51343749999999999</v>
      </c>
      <c r="J572" t="s">
        <v>237</v>
      </c>
    </row>
    <row r="573" spans="1:10" hidden="1" x14ac:dyDescent="0.3">
      <c r="A573" t="str">
        <f t="shared" si="8"/>
        <v>Frequency error TM3.3PORT24TM3.3</v>
      </c>
      <c r="B573" t="s">
        <v>190</v>
      </c>
      <c r="C573" t="s">
        <v>280</v>
      </c>
      <c r="D573">
        <v>127.5</v>
      </c>
      <c r="E573">
        <v>115.5</v>
      </c>
      <c r="F573">
        <v>1.9</v>
      </c>
      <c r="G573">
        <v>139.5</v>
      </c>
      <c r="H573" t="s">
        <v>91</v>
      </c>
      <c r="I573" s="70">
        <v>0.51343749999999999</v>
      </c>
      <c r="J573" t="s">
        <v>237</v>
      </c>
    </row>
    <row r="574" spans="1:10" hidden="1" x14ac:dyDescent="0.3">
      <c r="A574" t="str">
        <f t="shared" si="8"/>
        <v>Frequency error TM3.3PORT25TM3.3</v>
      </c>
      <c r="B574" t="s">
        <v>191</v>
      </c>
      <c r="C574" t="s">
        <v>280</v>
      </c>
      <c r="D574">
        <v>127.5</v>
      </c>
      <c r="E574">
        <v>115.5</v>
      </c>
      <c r="F574">
        <v>3</v>
      </c>
      <c r="G574">
        <v>139.5</v>
      </c>
      <c r="H574" t="s">
        <v>91</v>
      </c>
      <c r="I574" s="70">
        <v>0.51344907407407414</v>
      </c>
      <c r="J574" t="s">
        <v>237</v>
      </c>
    </row>
    <row r="575" spans="1:10" hidden="1" x14ac:dyDescent="0.3">
      <c r="A575" t="str">
        <f t="shared" si="8"/>
        <v>Frequency error TM3.3PORT26TM3.3</v>
      </c>
      <c r="B575" t="s">
        <v>192</v>
      </c>
      <c r="C575" t="s">
        <v>280</v>
      </c>
      <c r="D575">
        <v>127.5</v>
      </c>
      <c r="E575">
        <v>115.5</v>
      </c>
      <c r="F575">
        <v>7.3</v>
      </c>
      <c r="G575">
        <v>139.5</v>
      </c>
      <c r="H575" t="s">
        <v>91</v>
      </c>
      <c r="I575" s="70">
        <v>0.51344907407407414</v>
      </c>
      <c r="J575" t="s">
        <v>237</v>
      </c>
    </row>
    <row r="576" spans="1:10" hidden="1" x14ac:dyDescent="0.3">
      <c r="A576" t="str">
        <f t="shared" si="8"/>
        <v>Frequency error TM3.3PORT27TM3.3</v>
      </c>
      <c r="B576" t="s">
        <v>193</v>
      </c>
      <c r="C576" t="s">
        <v>280</v>
      </c>
      <c r="D576">
        <v>127.5</v>
      </c>
      <c r="E576">
        <v>115.5</v>
      </c>
      <c r="F576">
        <v>3.5</v>
      </c>
      <c r="G576">
        <v>139.5</v>
      </c>
      <c r="H576" t="s">
        <v>91</v>
      </c>
      <c r="I576" s="70">
        <v>0.51346064814814818</v>
      </c>
      <c r="J576" t="s">
        <v>237</v>
      </c>
    </row>
    <row r="577" spans="1:10" hidden="1" x14ac:dyDescent="0.3">
      <c r="A577" t="str">
        <f t="shared" si="8"/>
        <v>Frequency error TM3.3PORT28TM3.3</v>
      </c>
      <c r="B577" t="s">
        <v>194</v>
      </c>
      <c r="C577" t="s">
        <v>280</v>
      </c>
      <c r="D577">
        <v>127.5</v>
      </c>
      <c r="E577">
        <v>115.5</v>
      </c>
      <c r="F577">
        <v>0.9</v>
      </c>
      <c r="G577">
        <v>139.5</v>
      </c>
      <c r="H577" t="s">
        <v>91</v>
      </c>
      <c r="I577" s="70">
        <v>0.51346064814814818</v>
      </c>
      <c r="J577" t="s">
        <v>237</v>
      </c>
    </row>
    <row r="578" spans="1:10" hidden="1" x14ac:dyDescent="0.3">
      <c r="A578" t="str">
        <f t="shared" si="8"/>
        <v>Frequency error TM3.3PORT29TM3.3</v>
      </c>
      <c r="B578" t="s">
        <v>195</v>
      </c>
      <c r="C578" t="s">
        <v>280</v>
      </c>
      <c r="D578">
        <v>127.5</v>
      </c>
      <c r="E578">
        <v>115.5</v>
      </c>
      <c r="F578">
        <v>3.7</v>
      </c>
      <c r="G578">
        <v>139.5</v>
      </c>
      <c r="H578" t="s">
        <v>91</v>
      </c>
      <c r="I578" s="70">
        <v>0.51346064814814818</v>
      </c>
      <c r="J578" t="s">
        <v>237</v>
      </c>
    </row>
    <row r="579" spans="1:10" hidden="1" x14ac:dyDescent="0.3">
      <c r="A579" t="str">
        <f t="shared" ref="A579:A642" si="9">C579&amp;B579&amp;H579</f>
        <v>Frequency error TM3.3PORT30TM3.3</v>
      </c>
      <c r="B579" t="s">
        <v>196</v>
      </c>
      <c r="C579" t="s">
        <v>280</v>
      </c>
      <c r="D579">
        <v>127.5</v>
      </c>
      <c r="E579">
        <v>115.5</v>
      </c>
      <c r="F579">
        <v>3.5</v>
      </c>
      <c r="G579">
        <v>139.5</v>
      </c>
      <c r="H579" t="s">
        <v>91</v>
      </c>
      <c r="I579" s="70">
        <v>0.51347222222222222</v>
      </c>
      <c r="J579" t="s">
        <v>237</v>
      </c>
    </row>
    <row r="580" spans="1:10" hidden="1" x14ac:dyDescent="0.3">
      <c r="A580" t="str">
        <f t="shared" si="9"/>
        <v>Frequency error TM3.3PORT31TM3.3</v>
      </c>
      <c r="B580" t="s">
        <v>197</v>
      </c>
      <c r="C580" t="s">
        <v>280</v>
      </c>
      <c r="D580">
        <v>127.5</v>
      </c>
      <c r="E580">
        <v>115.5</v>
      </c>
      <c r="F580">
        <v>1.6</v>
      </c>
      <c r="G580">
        <v>139.5</v>
      </c>
      <c r="H580" t="s">
        <v>91</v>
      </c>
      <c r="I580" s="70">
        <v>0.51347222222222222</v>
      </c>
      <c r="J580" t="s">
        <v>237</v>
      </c>
    </row>
    <row r="581" spans="1:10" hidden="1" x14ac:dyDescent="0.3">
      <c r="A581" t="str">
        <f t="shared" si="9"/>
        <v>Frequency error TM3.3PORT32TM3.3</v>
      </c>
      <c r="B581" t="s">
        <v>198</v>
      </c>
      <c r="C581" t="s">
        <v>280</v>
      </c>
      <c r="D581">
        <v>127.5</v>
      </c>
      <c r="E581">
        <v>115.5</v>
      </c>
      <c r="F581">
        <v>1.2</v>
      </c>
      <c r="G581">
        <v>139.5</v>
      </c>
      <c r="H581" t="s">
        <v>91</v>
      </c>
      <c r="I581" s="70">
        <v>0.51348379629629626</v>
      </c>
      <c r="J581" t="s">
        <v>237</v>
      </c>
    </row>
    <row r="582" spans="1:10" x14ac:dyDescent="0.3">
      <c r="A582" t="str">
        <f t="shared" si="9"/>
        <v>Total power dynamic rangePORT1TM2.0a TM3.1a</v>
      </c>
      <c r="B582" t="s">
        <v>57</v>
      </c>
      <c r="C582" t="s">
        <v>228</v>
      </c>
      <c r="D582">
        <v>24.3</v>
      </c>
      <c r="E582">
        <v>24.3</v>
      </c>
      <c r="F582">
        <v>26.2</v>
      </c>
      <c r="H582" t="s">
        <v>269</v>
      </c>
      <c r="I582" s="70">
        <v>0.29503472222222221</v>
      </c>
      <c r="J582" t="s">
        <v>237</v>
      </c>
    </row>
    <row r="583" spans="1:10" x14ac:dyDescent="0.3">
      <c r="A583" t="str">
        <f t="shared" si="9"/>
        <v>Total power dynamic rangePORT2TM2.0a TM3.1a</v>
      </c>
      <c r="B583" t="s">
        <v>59</v>
      </c>
      <c r="C583" t="s">
        <v>228</v>
      </c>
      <c r="D583">
        <v>24.3</v>
      </c>
      <c r="E583">
        <v>24.3</v>
      </c>
      <c r="F583">
        <v>26</v>
      </c>
      <c r="H583" t="s">
        <v>269</v>
      </c>
      <c r="I583" s="70">
        <v>0.29504629629629631</v>
      </c>
      <c r="J583" t="s">
        <v>237</v>
      </c>
    </row>
    <row r="584" spans="1:10" x14ac:dyDescent="0.3">
      <c r="A584" t="str">
        <f t="shared" si="9"/>
        <v>Total power dynamic rangePORT3TM2.0a TM3.1a</v>
      </c>
      <c r="B584" t="s">
        <v>60</v>
      </c>
      <c r="C584" t="s">
        <v>228</v>
      </c>
      <c r="D584">
        <v>24.3</v>
      </c>
      <c r="E584">
        <v>24.3</v>
      </c>
      <c r="F584">
        <v>26.2</v>
      </c>
      <c r="H584" t="s">
        <v>269</v>
      </c>
      <c r="I584" s="70">
        <v>0.29504629629629631</v>
      </c>
      <c r="J584" t="s">
        <v>237</v>
      </c>
    </row>
    <row r="585" spans="1:10" x14ac:dyDescent="0.3">
      <c r="A585" t="str">
        <f t="shared" si="9"/>
        <v>Total power dynamic rangePORT4TM2.0a TM3.1a</v>
      </c>
      <c r="B585" t="s">
        <v>61</v>
      </c>
      <c r="C585" t="s">
        <v>228</v>
      </c>
      <c r="D585">
        <v>24.3</v>
      </c>
      <c r="E585">
        <v>24.3</v>
      </c>
      <c r="F585">
        <v>26.3</v>
      </c>
      <c r="H585" t="s">
        <v>269</v>
      </c>
      <c r="I585" s="70">
        <v>0.2950578703703704</v>
      </c>
      <c r="J585" t="s">
        <v>237</v>
      </c>
    </row>
    <row r="586" spans="1:10" x14ac:dyDescent="0.3">
      <c r="A586" t="str">
        <f t="shared" si="9"/>
        <v>Total power dynamic rangePORT5TM2.0a TM3.1a</v>
      </c>
      <c r="B586" t="s">
        <v>62</v>
      </c>
      <c r="C586" t="s">
        <v>228</v>
      </c>
      <c r="D586">
        <v>24.3</v>
      </c>
      <c r="E586">
        <v>24.3</v>
      </c>
      <c r="F586">
        <v>26.5</v>
      </c>
      <c r="H586" t="s">
        <v>269</v>
      </c>
      <c r="I586" s="70">
        <v>0.2950578703703704</v>
      </c>
      <c r="J586" t="s">
        <v>237</v>
      </c>
    </row>
    <row r="587" spans="1:10" x14ac:dyDescent="0.3">
      <c r="A587" t="str">
        <f t="shared" si="9"/>
        <v>Total power dynamic rangePORT6TM2.0a TM3.1a</v>
      </c>
      <c r="B587" t="s">
        <v>63</v>
      </c>
      <c r="C587" t="s">
        <v>228</v>
      </c>
      <c r="D587">
        <v>24.3</v>
      </c>
      <c r="E587">
        <v>24.3</v>
      </c>
      <c r="F587">
        <v>25.8</v>
      </c>
      <c r="H587" t="s">
        <v>269</v>
      </c>
      <c r="I587" s="70">
        <v>0.29506944444444444</v>
      </c>
      <c r="J587" t="s">
        <v>237</v>
      </c>
    </row>
    <row r="588" spans="1:10" x14ac:dyDescent="0.3">
      <c r="A588" t="str">
        <f t="shared" si="9"/>
        <v>Total power dynamic rangePORT7TM2.0a TM3.1a</v>
      </c>
      <c r="B588" t="s">
        <v>64</v>
      </c>
      <c r="C588" t="s">
        <v>228</v>
      </c>
      <c r="D588">
        <v>24.3</v>
      </c>
      <c r="E588">
        <v>24.3</v>
      </c>
      <c r="F588">
        <v>26.2</v>
      </c>
      <c r="H588" t="s">
        <v>269</v>
      </c>
      <c r="I588" s="70">
        <v>0.29506944444444444</v>
      </c>
      <c r="J588" t="s">
        <v>237</v>
      </c>
    </row>
    <row r="589" spans="1:10" x14ac:dyDescent="0.3">
      <c r="A589" t="str">
        <f t="shared" si="9"/>
        <v>Total power dynamic rangePORT8TM2.0a TM3.1a</v>
      </c>
      <c r="B589" t="s">
        <v>65</v>
      </c>
      <c r="C589" t="s">
        <v>228</v>
      </c>
      <c r="D589">
        <v>24.3</v>
      </c>
      <c r="E589">
        <v>24.3</v>
      </c>
      <c r="F589">
        <v>25.9</v>
      </c>
      <c r="H589" t="s">
        <v>269</v>
      </c>
      <c r="I589" s="70">
        <v>0.29508101851851853</v>
      </c>
      <c r="J589" t="s">
        <v>237</v>
      </c>
    </row>
    <row r="590" spans="1:10" x14ac:dyDescent="0.3">
      <c r="A590" t="str">
        <f t="shared" si="9"/>
        <v>Total power dynamic rangePORT9TM2.0a TM3.1a</v>
      </c>
      <c r="B590" t="s">
        <v>175</v>
      </c>
      <c r="C590" t="s">
        <v>228</v>
      </c>
      <c r="D590">
        <v>24.3</v>
      </c>
      <c r="E590">
        <v>24.3</v>
      </c>
      <c r="F590">
        <v>26</v>
      </c>
      <c r="H590" t="s">
        <v>269</v>
      </c>
      <c r="I590" s="70">
        <v>0.29508101851851853</v>
      </c>
      <c r="J590" t="s">
        <v>237</v>
      </c>
    </row>
    <row r="591" spans="1:10" x14ac:dyDescent="0.3">
      <c r="A591" t="str">
        <f t="shared" si="9"/>
        <v>Total power dynamic rangePORT10TM2.0a TM3.1a</v>
      </c>
      <c r="B591" t="s">
        <v>176</v>
      </c>
      <c r="C591" t="s">
        <v>228</v>
      </c>
      <c r="D591">
        <v>24.3</v>
      </c>
      <c r="E591">
        <v>24.3</v>
      </c>
      <c r="F591">
        <v>26.4</v>
      </c>
      <c r="H591" t="s">
        <v>269</v>
      </c>
      <c r="I591" s="70">
        <v>0.29509259259259263</v>
      </c>
      <c r="J591" t="s">
        <v>237</v>
      </c>
    </row>
    <row r="592" spans="1:10" x14ac:dyDescent="0.3">
      <c r="A592" t="str">
        <f t="shared" si="9"/>
        <v>Total power dynamic rangePORT11TM2.0a TM3.1a</v>
      </c>
      <c r="B592" t="s">
        <v>177</v>
      </c>
      <c r="C592" t="s">
        <v>228</v>
      </c>
      <c r="D592">
        <v>24.3</v>
      </c>
      <c r="E592">
        <v>24.3</v>
      </c>
      <c r="F592">
        <v>26.4</v>
      </c>
      <c r="H592" t="s">
        <v>269</v>
      </c>
      <c r="I592" s="70">
        <v>0.29509259259259263</v>
      </c>
      <c r="J592" t="s">
        <v>237</v>
      </c>
    </row>
    <row r="593" spans="1:10" x14ac:dyDescent="0.3">
      <c r="A593" t="str">
        <f t="shared" si="9"/>
        <v>Total power dynamic rangePORT12TM2.0a TM3.1a</v>
      </c>
      <c r="B593" t="s">
        <v>178</v>
      </c>
      <c r="C593" t="s">
        <v>228</v>
      </c>
      <c r="D593">
        <v>24.3</v>
      </c>
      <c r="E593">
        <v>24.3</v>
      </c>
      <c r="F593">
        <v>26.2</v>
      </c>
      <c r="H593" t="s">
        <v>269</v>
      </c>
      <c r="I593" s="70">
        <v>0.29510416666666667</v>
      </c>
      <c r="J593" t="s">
        <v>237</v>
      </c>
    </row>
    <row r="594" spans="1:10" x14ac:dyDescent="0.3">
      <c r="A594" t="str">
        <f t="shared" si="9"/>
        <v>Total power dynamic rangePORT13TM2.0a TM3.1a</v>
      </c>
      <c r="B594" t="s">
        <v>179</v>
      </c>
      <c r="C594" t="s">
        <v>228</v>
      </c>
      <c r="D594">
        <v>24.3</v>
      </c>
      <c r="E594">
        <v>24.3</v>
      </c>
      <c r="F594">
        <v>26.7</v>
      </c>
      <c r="H594" t="s">
        <v>269</v>
      </c>
      <c r="I594" s="70">
        <v>0.29510416666666667</v>
      </c>
      <c r="J594" t="s">
        <v>237</v>
      </c>
    </row>
    <row r="595" spans="1:10" x14ac:dyDescent="0.3">
      <c r="A595" t="str">
        <f t="shared" si="9"/>
        <v>Total power dynamic rangePORT14TM2.0a TM3.1a</v>
      </c>
      <c r="B595" t="s">
        <v>180</v>
      </c>
      <c r="C595" t="s">
        <v>228</v>
      </c>
      <c r="D595">
        <v>24.3</v>
      </c>
      <c r="E595">
        <v>24.3</v>
      </c>
      <c r="F595">
        <v>26.3</v>
      </c>
      <c r="H595" t="s">
        <v>269</v>
      </c>
      <c r="I595" s="70">
        <v>0.29510416666666667</v>
      </c>
      <c r="J595" t="s">
        <v>237</v>
      </c>
    </row>
    <row r="596" spans="1:10" x14ac:dyDescent="0.3">
      <c r="A596" t="str">
        <f t="shared" si="9"/>
        <v>Total power dynamic rangePORT15TM2.0a TM3.1a</v>
      </c>
      <c r="B596" t="s">
        <v>181</v>
      </c>
      <c r="C596" t="s">
        <v>228</v>
      </c>
      <c r="D596">
        <v>24.3</v>
      </c>
      <c r="E596">
        <v>24.3</v>
      </c>
      <c r="F596">
        <v>26.1</v>
      </c>
      <c r="H596" t="s">
        <v>269</v>
      </c>
      <c r="I596" s="70">
        <v>0.29511574074074071</v>
      </c>
      <c r="J596" t="s">
        <v>237</v>
      </c>
    </row>
    <row r="597" spans="1:10" x14ac:dyDescent="0.3">
      <c r="A597" t="str">
        <f t="shared" si="9"/>
        <v>Total power dynamic rangePORT16TM2.0a TM3.1a</v>
      </c>
      <c r="B597" t="s">
        <v>182</v>
      </c>
      <c r="C597" t="s">
        <v>228</v>
      </c>
      <c r="D597">
        <v>24.3</v>
      </c>
      <c r="E597">
        <v>24.3</v>
      </c>
      <c r="F597">
        <v>26.5</v>
      </c>
      <c r="H597" t="s">
        <v>269</v>
      </c>
      <c r="I597" s="70">
        <v>0.29511574074074071</v>
      </c>
      <c r="J597" t="s">
        <v>237</v>
      </c>
    </row>
    <row r="598" spans="1:10" x14ac:dyDescent="0.3">
      <c r="A598" t="str">
        <f t="shared" si="9"/>
        <v>Total power dynamic rangePORT17TM2.0a TM3.1a</v>
      </c>
      <c r="B598" t="s">
        <v>183</v>
      </c>
      <c r="C598" t="s">
        <v>228</v>
      </c>
      <c r="D598">
        <v>24.3</v>
      </c>
      <c r="E598">
        <v>24.3</v>
      </c>
      <c r="F598">
        <v>26.1</v>
      </c>
      <c r="H598" t="s">
        <v>269</v>
      </c>
      <c r="I598" s="70">
        <v>0.2951273148148148</v>
      </c>
      <c r="J598" t="s">
        <v>237</v>
      </c>
    </row>
    <row r="599" spans="1:10" x14ac:dyDescent="0.3">
      <c r="A599" t="str">
        <f t="shared" si="9"/>
        <v>Total power dynamic rangePORT18TM2.0a TM3.1a</v>
      </c>
      <c r="B599" t="s">
        <v>184</v>
      </c>
      <c r="C599" t="s">
        <v>228</v>
      </c>
      <c r="D599">
        <v>24.3</v>
      </c>
      <c r="E599">
        <v>24.3</v>
      </c>
      <c r="F599">
        <v>26.2</v>
      </c>
      <c r="H599" t="s">
        <v>269</v>
      </c>
      <c r="I599" s="70">
        <v>0.2951273148148148</v>
      </c>
      <c r="J599" t="s">
        <v>237</v>
      </c>
    </row>
    <row r="600" spans="1:10" x14ac:dyDescent="0.3">
      <c r="A600" t="str">
        <f t="shared" si="9"/>
        <v>Total power dynamic rangePORT19TM2.0a TM3.1a</v>
      </c>
      <c r="B600" t="s">
        <v>185</v>
      </c>
      <c r="C600" t="s">
        <v>228</v>
      </c>
      <c r="D600">
        <v>24.3</v>
      </c>
      <c r="E600">
        <v>24.3</v>
      </c>
      <c r="F600">
        <v>26.5</v>
      </c>
      <c r="H600" t="s">
        <v>269</v>
      </c>
      <c r="I600" s="70">
        <v>0.2951388888888889</v>
      </c>
      <c r="J600" t="s">
        <v>237</v>
      </c>
    </row>
    <row r="601" spans="1:10" x14ac:dyDescent="0.3">
      <c r="A601" t="str">
        <f t="shared" si="9"/>
        <v>Total power dynamic rangePORT20TM2.0a TM3.1a</v>
      </c>
      <c r="B601" t="s">
        <v>186</v>
      </c>
      <c r="C601" t="s">
        <v>228</v>
      </c>
      <c r="D601">
        <v>24.3</v>
      </c>
      <c r="E601">
        <v>24.3</v>
      </c>
      <c r="F601">
        <v>26</v>
      </c>
      <c r="H601" t="s">
        <v>269</v>
      </c>
      <c r="I601" s="70">
        <v>0.2951388888888889</v>
      </c>
      <c r="J601" t="s">
        <v>237</v>
      </c>
    </row>
    <row r="602" spans="1:10" x14ac:dyDescent="0.3">
      <c r="A602" t="str">
        <f t="shared" si="9"/>
        <v>Total power dynamic rangePORT21TM2.0a TM3.1a</v>
      </c>
      <c r="B602" t="s">
        <v>187</v>
      </c>
      <c r="C602" t="s">
        <v>228</v>
      </c>
      <c r="D602">
        <v>24.3</v>
      </c>
      <c r="E602">
        <v>24.3</v>
      </c>
      <c r="F602">
        <v>26.3</v>
      </c>
      <c r="H602" t="s">
        <v>269</v>
      </c>
      <c r="I602" s="70">
        <v>0.29515046296296293</v>
      </c>
      <c r="J602" t="s">
        <v>237</v>
      </c>
    </row>
    <row r="603" spans="1:10" x14ac:dyDescent="0.3">
      <c r="A603" t="str">
        <f t="shared" si="9"/>
        <v>Total power dynamic rangePORT22TM2.0a TM3.1a</v>
      </c>
      <c r="B603" t="s">
        <v>188</v>
      </c>
      <c r="C603" t="s">
        <v>228</v>
      </c>
      <c r="D603">
        <v>24.3</v>
      </c>
      <c r="E603">
        <v>24.3</v>
      </c>
      <c r="F603">
        <v>26.9</v>
      </c>
      <c r="H603" t="s">
        <v>269</v>
      </c>
      <c r="I603" s="70">
        <v>0.29515046296296293</v>
      </c>
      <c r="J603" t="s">
        <v>237</v>
      </c>
    </row>
    <row r="604" spans="1:10" x14ac:dyDescent="0.3">
      <c r="A604" t="str">
        <f t="shared" si="9"/>
        <v>Total power dynamic rangePORT23TM2.0a TM3.1a</v>
      </c>
      <c r="B604" t="s">
        <v>189</v>
      </c>
      <c r="C604" t="s">
        <v>228</v>
      </c>
      <c r="D604">
        <v>24.3</v>
      </c>
      <c r="E604">
        <v>24.3</v>
      </c>
      <c r="F604">
        <v>25.9</v>
      </c>
      <c r="H604" t="s">
        <v>269</v>
      </c>
      <c r="I604" s="70">
        <v>0.29516203703703703</v>
      </c>
      <c r="J604" t="s">
        <v>237</v>
      </c>
    </row>
    <row r="605" spans="1:10" x14ac:dyDescent="0.3">
      <c r="A605" t="str">
        <f t="shared" si="9"/>
        <v>Total power dynamic rangePORT24TM2.0a TM3.1a</v>
      </c>
      <c r="B605" t="s">
        <v>190</v>
      </c>
      <c r="C605" t="s">
        <v>228</v>
      </c>
      <c r="D605">
        <v>24.3</v>
      </c>
      <c r="E605">
        <v>24.3</v>
      </c>
      <c r="F605">
        <v>26.1</v>
      </c>
      <c r="H605" t="s">
        <v>269</v>
      </c>
      <c r="I605" s="70">
        <v>0.29516203703703703</v>
      </c>
      <c r="J605" t="s">
        <v>237</v>
      </c>
    </row>
    <row r="606" spans="1:10" x14ac:dyDescent="0.3">
      <c r="A606" t="str">
        <f t="shared" si="9"/>
        <v>Total power dynamic rangePORT25TM2.0a TM3.1a</v>
      </c>
      <c r="B606" t="s">
        <v>191</v>
      </c>
      <c r="C606" t="s">
        <v>228</v>
      </c>
      <c r="D606">
        <v>24.3</v>
      </c>
      <c r="E606">
        <v>24.3</v>
      </c>
      <c r="F606">
        <v>26.2</v>
      </c>
      <c r="H606" t="s">
        <v>269</v>
      </c>
      <c r="I606" s="70">
        <v>0.29517361111111112</v>
      </c>
      <c r="J606" t="s">
        <v>237</v>
      </c>
    </row>
    <row r="607" spans="1:10" x14ac:dyDescent="0.3">
      <c r="A607" t="str">
        <f t="shared" si="9"/>
        <v>Total power dynamic rangePORT26TM2.0a TM3.1a</v>
      </c>
      <c r="B607" t="s">
        <v>192</v>
      </c>
      <c r="C607" t="s">
        <v>228</v>
      </c>
      <c r="D607">
        <v>24.3</v>
      </c>
      <c r="E607">
        <v>24.3</v>
      </c>
      <c r="F607">
        <v>26</v>
      </c>
      <c r="H607" t="s">
        <v>269</v>
      </c>
      <c r="I607" s="70">
        <v>0.29517361111111112</v>
      </c>
      <c r="J607" t="s">
        <v>237</v>
      </c>
    </row>
    <row r="608" spans="1:10" x14ac:dyDescent="0.3">
      <c r="A608" t="str">
        <f t="shared" si="9"/>
        <v>Total power dynamic rangePORT27TM2.0a TM3.1a</v>
      </c>
      <c r="B608" t="s">
        <v>193</v>
      </c>
      <c r="C608" t="s">
        <v>228</v>
      </c>
      <c r="D608">
        <v>24.3</v>
      </c>
      <c r="E608">
        <v>24.3</v>
      </c>
      <c r="F608">
        <v>26.2</v>
      </c>
      <c r="H608" t="s">
        <v>269</v>
      </c>
      <c r="I608" s="70">
        <v>0.29518518518518516</v>
      </c>
      <c r="J608" t="s">
        <v>237</v>
      </c>
    </row>
    <row r="609" spans="1:10" x14ac:dyDescent="0.3">
      <c r="A609" t="str">
        <f t="shared" si="9"/>
        <v>Total power dynamic rangePORT28TM2.0a TM3.1a</v>
      </c>
      <c r="B609" t="s">
        <v>194</v>
      </c>
      <c r="C609" t="s">
        <v>228</v>
      </c>
      <c r="D609">
        <v>24.3</v>
      </c>
      <c r="E609">
        <v>24.3</v>
      </c>
      <c r="F609">
        <v>26.4</v>
      </c>
      <c r="H609" t="s">
        <v>269</v>
      </c>
      <c r="I609" s="70">
        <v>0.29518518518518516</v>
      </c>
      <c r="J609" t="s">
        <v>237</v>
      </c>
    </row>
    <row r="610" spans="1:10" x14ac:dyDescent="0.3">
      <c r="A610" t="str">
        <f t="shared" si="9"/>
        <v>Total power dynamic rangePORT29TM2.0a TM3.1a</v>
      </c>
      <c r="B610" t="s">
        <v>195</v>
      </c>
      <c r="C610" t="s">
        <v>228</v>
      </c>
      <c r="D610">
        <v>24.3</v>
      </c>
      <c r="E610">
        <v>24.3</v>
      </c>
      <c r="F610">
        <v>26</v>
      </c>
      <c r="H610" t="s">
        <v>269</v>
      </c>
      <c r="I610" s="70">
        <v>0.29519675925925926</v>
      </c>
      <c r="J610" t="s">
        <v>237</v>
      </c>
    </row>
    <row r="611" spans="1:10" x14ac:dyDescent="0.3">
      <c r="A611" t="str">
        <f t="shared" si="9"/>
        <v>Total power dynamic rangePORT30TM2.0a TM3.1a</v>
      </c>
      <c r="B611" t="s">
        <v>196</v>
      </c>
      <c r="C611" t="s">
        <v>228</v>
      </c>
      <c r="D611">
        <v>24.3</v>
      </c>
      <c r="E611">
        <v>24.3</v>
      </c>
      <c r="F611">
        <v>25.8</v>
      </c>
      <c r="H611" t="s">
        <v>269</v>
      </c>
      <c r="I611" s="70">
        <v>0.29519675925925926</v>
      </c>
      <c r="J611" t="s">
        <v>237</v>
      </c>
    </row>
    <row r="612" spans="1:10" x14ac:dyDescent="0.3">
      <c r="A612" t="str">
        <f t="shared" si="9"/>
        <v>Total power dynamic rangePORT31TM2.0a TM3.1a</v>
      </c>
      <c r="B612" t="s">
        <v>197</v>
      </c>
      <c r="C612" t="s">
        <v>228</v>
      </c>
      <c r="D612">
        <v>24.3</v>
      </c>
      <c r="E612">
        <v>24.3</v>
      </c>
      <c r="F612">
        <v>26</v>
      </c>
      <c r="H612" t="s">
        <v>269</v>
      </c>
      <c r="I612" s="70">
        <v>0.29520833333333335</v>
      </c>
      <c r="J612" t="s">
        <v>237</v>
      </c>
    </row>
    <row r="613" spans="1:10" x14ac:dyDescent="0.3">
      <c r="A613" t="str">
        <f t="shared" si="9"/>
        <v>Total power dynamic rangePORT32TM2.0a TM3.1a</v>
      </c>
      <c r="B613" t="s">
        <v>198</v>
      </c>
      <c r="C613" t="s">
        <v>228</v>
      </c>
      <c r="D613">
        <v>24.3</v>
      </c>
      <c r="E613">
        <v>24.3</v>
      </c>
      <c r="F613">
        <v>26</v>
      </c>
      <c r="H613" t="s">
        <v>269</v>
      </c>
      <c r="I613" s="70">
        <v>0.29520833333333335</v>
      </c>
      <c r="J613" t="s">
        <v>237</v>
      </c>
    </row>
    <row r="614" spans="1:10" x14ac:dyDescent="0.3">
      <c r="A614" t="str">
        <f t="shared" si="9"/>
        <v/>
      </c>
      <c r="I614" s="70"/>
    </row>
    <row r="615" spans="1:10" x14ac:dyDescent="0.3">
      <c r="A615" t="str">
        <f t="shared" si="9"/>
        <v/>
      </c>
      <c r="I615" s="70"/>
    </row>
    <row r="616" spans="1:10" x14ac:dyDescent="0.3">
      <c r="A616" t="str">
        <f t="shared" si="9"/>
        <v/>
      </c>
      <c r="I616" s="70"/>
    </row>
    <row r="617" spans="1:10" x14ac:dyDescent="0.3">
      <c r="A617" t="str">
        <f t="shared" si="9"/>
        <v/>
      </c>
      <c r="I617" s="70"/>
    </row>
    <row r="618" spans="1:10" x14ac:dyDescent="0.3">
      <c r="A618" t="str">
        <f t="shared" si="9"/>
        <v/>
      </c>
      <c r="I618" s="70"/>
    </row>
    <row r="619" spans="1:10" x14ac:dyDescent="0.3">
      <c r="A619" t="str">
        <f t="shared" si="9"/>
        <v/>
      </c>
      <c r="I619" s="70"/>
    </row>
    <row r="620" spans="1:10" x14ac:dyDescent="0.3">
      <c r="A620" t="str">
        <f t="shared" si="9"/>
        <v/>
      </c>
      <c r="I620" s="70"/>
    </row>
    <row r="621" spans="1:10" x14ac:dyDescent="0.3">
      <c r="A621" t="str">
        <f t="shared" si="9"/>
        <v/>
      </c>
      <c r="I621" s="70"/>
    </row>
    <row r="622" spans="1:10" x14ac:dyDescent="0.3">
      <c r="A622" t="str">
        <f t="shared" si="9"/>
        <v/>
      </c>
      <c r="I622" s="70"/>
    </row>
    <row r="623" spans="1:10" x14ac:dyDescent="0.3">
      <c r="A623" t="str">
        <f t="shared" si="9"/>
        <v/>
      </c>
      <c r="I623" s="70"/>
    </row>
    <row r="624" spans="1:10" x14ac:dyDescent="0.3">
      <c r="A624" t="str">
        <f t="shared" si="9"/>
        <v/>
      </c>
      <c r="I624" s="70"/>
    </row>
    <row r="625" spans="1:15" x14ac:dyDescent="0.3">
      <c r="A625" t="str">
        <f t="shared" si="9"/>
        <v/>
      </c>
      <c r="I625" s="70"/>
    </row>
    <row r="626" spans="1:15" x14ac:dyDescent="0.3">
      <c r="A626" t="str">
        <f t="shared" si="9"/>
        <v/>
      </c>
      <c r="I626" s="70"/>
    </row>
    <row r="627" spans="1:15" x14ac:dyDescent="0.3">
      <c r="A627" t="str">
        <f t="shared" si="9"/>
        <v/>
      </c>
      <c r="I627" s="70"/>
    </row>
    <row r="628" spans="1:15" x14ac:dyDescent="0.3">
      <c r="A628" t="str">
        <f t="shared" si="9"/>
        <v/>
      </c>
      <c r="I628" s="70"/>
    </row>
    <row r="629" spans="1:15" x14ac:dyDescent="0.3">
      <c r="A629" t="str">
        <f t="shared" si="9"/>
        <v/>
      </c>
      <c r="I629" s="70"/>
    </row>
    <row r="630" spans="1:15" x14ac:dyDescent="0.3">
      <c r="A630" t="str">
        <f t="shared" si="9"/>
        <v/>
      </c>
      <c r="I630" s="70"/>
    </row>
    <row r="631" spans="1:15" x14ac:dyDescent="0.3">
      <c r="A631" t="str">
        <f t="shared" si="9"/>
        <v/>
      </c>
      <c r="I631" s="70"/>
    </row>
    <row r="632" spans="1:15" x14ac:dyDescent="0.3">
      <c r="A632" t="str">
        <f t="shared" si="9"/>
        <v/>
      </c>
      <c r="I632" s="70"/>
    </row>
    <row r="633" spans="1:15" x14ac:dyDescent="0.3">
      <c r="A633" t="str">
        <f t="shared" si="9"/>
        <v/>
      </c>
      <c r="I633" s="70"/>
    </row>
    <row r="634" spans="1:15" x14ac:dyDescent="0.3">
      <c r="A634" t="str">
        <f t="shared" si="9"/>
        <v/>
      </c>
      <c r="I634" s="70"/>
    </row>
    <row r="635" spans="1:15" x14ac:dyDescent="0.3">
      <c r="A635" t="str">
        <f t="shared" si="9"/>
        <v/>
      </c>
      <c r="I635" s="70"/>
    </row>
    <row r="636" spans="1:15" x14ac:dyDescent="0.3">
      <c r="A636" t="str">
        <f t="shared" si="9"/>
        <v/>
      </c>
      <c r="I636" s="70"/>
      <c r="O636" s="73"/>
    </row>
    <row r="637" spans="1:15" x14ac:dyDescent="0.3">
      <c r="A637" t="str">
        <f t="shared" si="9"/>
        <v/>
      </c>
      <c r="I637" s="70"/>
    </row>
    <row r="638" spans="1:15" x14ac:dyDescent="0.3">
      <c r="A638" t="str">
        <f t="shared" si="9"/>
        <v/>
      </c>
      <c r="I638" s="70"/>
    </row>
    <row r="639" spans="1:15" x14ac:dyDescent="0.3">
      <c r="A639" t="str">
        <f t="shared" si="9"/>
        <v/>
      </c>
      <c r="I639" s="70"/>
    </row>
    <row r="640" spans="1:15" x14ac:dyDescent="0.3">
      <c r="A640" t="str">
        <f t="shared" si="9"/>
        <v/>
      </c>
      <c r="I640" s="70"/>
    </row>
    <row r="641" spans="1:9" x14ac:dyDescent="0.3">
      <c r="A641" t="str">
        <f t="shared" si="9"/>
        <v/>
      </c>
      <c r="I641" s="70"/>
    </row>
    <row r="642" spans="1:9" x14ac:dyDescent="0.3">
      <c r="A642" t="str">
        <f t="shared" si="9"/>
        <v/>
      </c>
      <c r="I642" s="70"/>
    </row>
    <row r="643" spans="1:9" x14ac:dyDescent="0.3">
      <c r="A643" t="str">
        <f t="shared" ref="A643:A706" si="10">C643&amp;B643&amp;H643</f>
        <v/>
      </c>
      <c r="I643" s="70"/>
    </row>
    <row r="644" spans="1:9" x14ac:dyDescent="0.3">
      <c r="A644" t="str">
        <f t="shared" si="10"/>
        <v/>
      </c>
      <c r="I644" s="70"/>
    </row>
    <row r="645" spans="1:9" x14ac:dyDescent="0.3">
      <c r="A645" t="str">
        <f t="shared" si="10"/>
        <v/>
      </c>
      <c r="I645" s="70"/>
    </row>
    <row r="646" spans="1:9" x14ac:dyDescent="0.3">
      <c r="A646" t="str">
        <f t="shared" si="10"/>
        <v/>
      </c>
      <c r="I646" s="70"/>
    </row>
    <row r="647" spans="1:9" x14ac:dyDescent="0.3">
      <c r="A647" t="str">
        <f t="shared" si="10"/>
        <v/>
      </c>
      <c r="I647" s="70"/>
    </row>
    <row r="648" spans="1:9" x14ac:dyDescent="0.3">
      <c r="A648" t="str">
        <f t="shared" si="10"/>
        <v/>
      </c>
      <c r="I648" s="70"/>
    </row>
    <row r="649" spans="1:9" x14ac:dyDescent="0.3">
      <c r="A649" t="str">
        <f t="shared" si="10"/>
        <v/>
      </c>
      <c r="I649" s="70"/>
    </row>
    <row r="650" spans="1:9" x14ac:dyDescent="0.3">
      <c r="A650" t="str">
        <f t="shared" si="10"/>
        <v/>
      </c>
      <c r="I650" s="70"/>
    </row>
    <row r="651" spans="1:9" x14ac:dyDescent="0.3">
      <c r="A651" t="str">
        <f t="shared" si="10"/>
        <v/>
      </c>
      <c r="I651" s="70"/>
    </row>
    <row r="652" spans="1:9" x14ac:dyDescent="0.3">
      <c r="A652" t="str">
        <f t="shared" si="10"/>
        <v/>
      </c>
      <c r="I652" s="70"/>
    </row>
    <row r="653" spans="1:9" x14ac:dyDescent="0.3">
      <c r="A653" t="str">
        <f t="shared" si="10"/>
        <v/>
      </c>
      <c r="I653" s="70"/>
    </row>
    <row r="654" spans="1:9" x14ac:dyDescent="0.3">
      <c r="A654" t="str">
        <f t="shared" si="10"/>
        <v/>
      </c>
      <c r="I654" s="70"/>
    </row>
    <row r="655" spans="1:9" x14ac:dyDescent="0.3">
      <c r="A655" t="str">
        <f t="shared" si="10"/>
        <v/>
      </c>
      <c r="I655" s="70"/>
    </row>
    <row r="656" spans="1:9" x14ac:dyDescent="0.3">
      <c r="A656" t="str">
        <f t="shared" si="10"/>
        <v/>
      </c>
      <c r="I656" s="70"/>
    </row>
    <row r="657" spans="1:9" x14ac:dyDescent="0.3">
      <c r="A657" t="str">
        <f t="shared" si="10"/>
        <v/>
      </c>
      <c r="I657" s="70"/>
    </row>
    <row r="658" spans="1:9" x14ac:dyDescent="0.3">
      <c r="A658" t="str">
        <f t="shared" si="10"/>
        <v/>
      </c>
      <c r="I658" s="70"/>
    </row>
    <row r="659" spans="1:9" x14ac:dyDescent="0.3">
      <c r="A659" t="str">
        <f t="shared" si="10"/>
        <v/>
      </c>
      <c r="I659" s="70"/>
    </row>
    <row r="660" spans="1:9" x14ac:dyDescent="0.3">
      <c r="A660" t="str">
        <f t="shared" si="10"/>
        <v/>
      </c>
      <c r="I660" s="70"/>
    </row>
    <row r="661" spans="1:9" x14ac:dyDescent="0.3">
      <c r="A661" t="str">
        <f t="shared" si="10"/>
        <v/>
      </c>
      <c r="I661" s="70"/>
    </row>
    <row r="662" spans="1:9" x14ac:dyDescent="0.3">
      <c r="A662" t="str">
        <f t="shared" si="10"/>
        <v/>
      </c>
      <c r="I662" s="70"/>
    </row>
    <row r="663" spans="1:9" x14ac:dyDescent="0.3">
      <c r="A663" t="str">
        <f t="shared" si="10"/>
        <v/>
      </c>
      <c r="I663" s="70"/>
    </row>
    <row r="664" spans="1:9" x14ac:dyDescent="0.3">
      <c r="A664" t="str">
        <f t="shared" si="10"/>
        <v/>
      </c>
      <c r="I664" s="70"/>
    </row>
    <row r="665" spans="1:9" x14ac:dyDescent="0.3">
      <c r="A665" t="str">
        <f t="shared" si="10"/>
        <v/>
      </c>
      <c r="I665" s="70"/>
    </row>
    <row r="666" spans="1:9" x14ac:dyDescent="0.3">
      <c r="A666" t="str">
        <f t="shared" si="10"/>
        <v/>
      </c>
      <c r="I666" s="70"/>
    </row>
    <row r="667" spans="1:9" x14ac:dyDescent="0.3">
      <c r="A667" t="str">
        <f t="shared" si="10"/>
        <v/>
      </c>
      <c r="I667" s="70"/>
    </row>
    <row r="668" spans="1:9" x14ac:dyDescent="0.3">
      <c r="A668" t="str">
        <f t="shared" si="10"/>
        <v/>
      </c>
      <c r="I668" s="70"/>
    </row>
    <row r="669" spans="1:9" x14ac:dyDescent="0.3">
      <c r="A669" t="str">
        <f t="shared" si="10"/>
        <v/>
      </c>
      <c r="I669" s="70"/>
    </row>
    <row r="670" spans="1:9" x14ac:dyDescent="0.3">
      <c r="A670" t="str">
        <f t="shared" si="10"/>
        <v/>
      </c>
      <c r="I670" s="70"/>
    </row>
    <row r="671" spans="1:9" x14ac:dyDescent="0.3">
      <c r="A671" t="str">
        <f t="shared" si="10"/>
        <v/>
      </c>
      <c r="I671" s="70"/>
    </row>
    <row r="672" spans="1:9" x14ac:dyDescent="0.3">
      <c r="A672" t="str">
        <f t="shared" si="10"/>
        <v/>
      </c>
      <c r="I672" s="70"/>
    </row>
    <row r="673" spans="1:9" x14ac:dyDescent="0.3">
      <c r="A673" t="str">
        <f t="shared" si="10"/>
        <v/>
      </c>
      <c r="I673" s="70"/>
    </row>
    <row r="674" spans="1:9" x14ac:dyDescent="0.3">
      <c r="A674" t="str">
        <f t="shared" si="10"/>
        <v/>
      </c>
      <c r="I674" s="70"/>
    </row>
    <row r="675" spans="1:9" x14ac:dyDescent="0.3">
      <c r="A675" t="str">
        <f t="shared" si="10"/>
        <v/>
      </c>
      <c r="I675" s="70"/>
    </row>
    <row r="676" spans="1:9" x14ac:dyDescent="0.3">
      <c r="A676" t="str">
        <f t="shared" si="10"/>
        <v/>
      </c>
      <c r="I676" s="70"/>
    </row>
    <row r="677" spans="1:9" x14ac:dyDescent="0.3">
      <c r="A677" t="str">
        <f t="shared" si="10"/>
        <v/>
      </c>
      <c r="I677" s="70"/>
    </row>
    <row r="678" spans="1:9" x14ac:dyDescent="0.3">
      <c r="A678" t="str">
        <f t="shared" si="10"/>
        <v/>
      </c>
      <c r="I678" s="70"/>
    </row>
    <row r="679" spans="1:9" x14ac:dyDescent="0.3">
      <c r="A679" t="str">
        <f t="shared" si="10"/>
        <v/>
      </c>
      <c r="I679" s="70"/>
    </row>
    <row r="680" spans="1:9" x14ac:dyDescent="0.3">
      <c r="A680" t="str">
        <f t="shared" si="10"/>
        <v/>
      </c>
      <c r="I680" s="70"/>
    </row>
    <row r="681" spans="1:9" x14ac:dyDescent="0.3">
      <c r="A681" t="str">
        <f t="shared" si="10"/>
        <v/>
      </c>
      <c r="I681" s="70"/>
    </row>
    <row r="682" spans="1:9" x14ac:dyDescent="0.3">
      <c r="A682" t="str">
        <f t="shared" si="10"/>
        <v/>
      </c>
      <c r="I682" s="70"/>
    </row>
    <row r="683" spans="1:9" x14ac:dyDescent="0.3">
      <c r="A683" t="str">
        <f t="shared" si="10"/>
        <v/>
      </c>
      <c r="I683" s="70"/>
    </row>
    <row r="684" spans="1:9" x14ac:dyDescent="0.3">
      <c r="A684" t="str">
        <f t="shared" si="10"/>
        <v/>
      </c>
      <c r="I684" s="70"/>
    </row>
    <row r="685" spans="1:9" x14ac:dyDescent="0.3">
      <c r="A685" t="str">
        <f t="shared" si="10"/>
        <v/>
      </c>
      <c r="I685" s="70"/>
    </row>
    <row r="686" spans="1:9" x14ac:dyDescent="0.3">
      <c r="A686" t="str">
        <f t="shared" si="10"/>
        <v/>
      </c>
      <c r="I686" s="70"/>
    </row>
    <row r="687" spans="1:9" x14ac:dyDescent="0.3">
      <c r="A687" t="str">
        <f t="shared" si="10"/>
        <v/>
      </c>
      <c r="I687" s="70"/>
    </row>
    <row r="688" spans="1:9" x14ac:dyDescent="0.3">
      <c r="A688" t="str">
        <f t="shared" si="10"/>
        <v/>
      </c>
      <c r="I688" s="70"/>
    </row>
    <row r="689" spans="1:9" x14ac:dyDescent="0.3">
      <c r="A689" t="str">
        <f t="shared" si="10"/>
        <v/>
      </c>
      <c r="I689" s="70"/>
    </row>
    <row r="690" spans="1:9" x14ac:dyDescent="0.3">
      <c r="A690" t="str">
        <f t="shared" si="10"/>
        <v/>
      </c>
      <c r="I690" s="70"/>
    </row>
    <row r="691" spans="1:9" x14ac:dyDescent="0.3">
      <c r="A691" t="str">
        <f t="shared" si="10"/>
        <v/>
      </c>
      <c r="I691" s="70"/>
    </row>
    <row r="692" spans="1:9" x14ac:dyDescent="0.3">
      <c r="A692" t="str">
        <f t="shared" si="10"/>
        <v/>
      </c>
      <c r="I692" s="70"/>
    </row>
    <row r="693" spans="1:9" x14ac:dyDescent="0.3">
      <c r="A693" t="str">
        <f t="shared" si="10"/>
        <v/>
      </c>
      <c r="I693" s="70"/>
    </row>
    <row r="694" spans="1:9" x14ac:dyDescent="0.3">
      <c r="A694" t="str">
        <f t="shared" si="10"/>
        <v/>
      </c>
      <c r="I694" s="70"/>
    </row>
    <row r="695" spans="1:9" x14ac:dyDescent="0.3">
      <c r="A695" t="str">
        <f t="shared" si="10"/>
        <v/>
      </c>
      <c r="I695" s="70"/>
    </row>
    <row r="696" spans="1:9" x14ac:dyDescent="0.3">
      <c r="A696" t="str">
        <f t="shared" si="10"/>
        <v/>
      </c>
      <c r="I696" s="70"/>
    </row>
    <row r="697" spans="1:9" x14ac:dyDescent="0.3">
      <c r="A697" t="str">
        <f t="shared" si="10"/>
        <v/>
      </c>
      <c r="I697" s="70"/>
    </row>
    <row r="698" spans="1:9" x14ac:dyDescent="0.3">
      <c r="A698" t="str">
        <f t="shared" si="10"/>
        <v/>
      </c>
      <c r="I698" s="70"/>
    </row>
    <row r="699" spans="1:9" x14ac:dyDescent="0.3">
      <c r="A699" t="str">
        <f t="shared" si="10"/>
        <v/>
      </c>
      <c r="I699" s="70"/>
    </row>
    <row r="700" spans="1:9" x14ac:dyDescent="0.3">
      <c r="A700" t="str">
        <f t="shared" si="10"/>
        <v/>
      </c>
      <c r="I700" s="70"/>
    </row>
    <row r="701" spans="1:9" x14ac:dyDescent="0.3">
      <c r="A701" t="str">
        <f t="shared" si="10"/>
        <v/>
      </c>
      <c r="I701" s="70"/>
    </row>
    <row r="702" spans="1:9" x14ac:dyDescent="0.3">
      <c r="A702" t="str">
        <f t="shared" si="10"/>
        <v/>
      </c>
      <c r="I702" s="70"/>
    </row>
    <row r="703" spans="1:9" x14ac:dyDescent="0.3">
      <c r="A703" t="str">
        <f t="shared" si="10"/>
        <v/>
      </c>
      <c r="I703" s="70"/>
    </row>
    <row r="704" spans="1:9" x14ac:dyDescent="0.3">
      <c r="A704" t="str">
        <f t="shared" si="10"/>
        <v/>
      </c>
      <c r="I704" s="70"/>
    </row>
    <row r="705" spans="1:21" x14ac:dyDescent="0.3">
      <c r="A705" t="str">
        <f t="shared" si="10"/>
        <v/>
      </c>
      <c r="I705" s="70"/>
    </row>
    <row r="706" spans="1:21" x14ac:dyDescent="0.3">
      <c r="A706" t="str">
        <f t="shared" si="10"/>
        <v/>
      </c>
      <c r="I706" s="70"/>
    </row>
    <row r="707" spans="1:21" x14ac:dyDescent="0.3">
      <c r="A707" t="str">
        <f t="shared" ref="A707:A770" si="11">C707&amp;B707&amp;H707</f>
        <v/>
      </c>
      <c r="I707" s="70"/>
    </row>
    <row r="708" spans="1:21" x14ac:dyDescent="0.3">
      <c r="A708" t="str">
        <f t="shared" si="11"/>
        <v/>
      </c>
      <c r="I708" s="70"/>
    </row>
    <row r="709" spans="1:21" x14ac:dyDescent="0.3">
      <c r="A709" t="str">
        <f t="shared" si="11"/>
        <v/>
      </c>
      <c r="I709" s="70"/>
    </row>
    <row r="710" spans="1:21" x14ac:dyDescent="0.3">
      <c r="A710" t="str">
        <f t="shared" si="11"/>
        <v/>
      </c>
      <c r="I710" s="70"/>
      <c r="P710" t="s">
        <v>261</v>
      </c>
      <c r="Q710" t="s">
        <v>53</v>
      </c>
      <c r="R710" t="s">
        <v>57</v>
      </c>
      <c r="S710" t="e">
        <f t="array" ref="S710">INDEX($B$1:$I$1000,MATCH(P710&amp;R710&amp;Q710&amp;T710,$C$1:$C$1000&amp;$B$1:$B$1000&amp;$H$1:$H$1000&amp;$K$1:$K$1000,0),5)</f>
        <v>#N/A</v>
      </c>
      <c r="T710" t="s">
        <v>268</v>
      </c>
      <c r="U710" t="str">
        <f>P710&amp;R710&amp;Q710&amp;T710</f>
        <v>IMD Transmitter spurious emissionPORT1TM1.1SPUR5</v>
      </c>
    </row>
    <row r="711" spans="1:21" x14ac:dyDescent="0.3">
      <c r="A711" t="str">
        <f t="shared" si="11"/>
        <v/>
      </c>
      <c r="I711" s="70"/>
      <c r="U711" t="str">
        <f>P710&amp;R710&amp;Q710&amp;"SPUR5"</f>
        <v>IMD Transmitter spurious emissionPORT1TM1.1SPUR5</v>
      </c>
    </row>
    <row r="712" spans="1:21" x14ac:dyDescent="0.3">
      <c r="A712" t="str">
        <f t="shared" si="11"/>
        <v/>
      </c>
      <c r="I712" s="70"/>
    </row>
    <row r="713" spans="1:21" x14ac:dyDescent="0.3">
      <c r="A713" t="str">
        <f t="shared" si="11"/>
        <v/>
      </c>
      <c r="I713" s="70"/>
    </row>
    <row r="714" spans="1:21" x14ac:dyDescent="0.3">
      <c r="A714" t="str">
        <f t="shared" si="11"/>
        <v/>
      </c>
      <c r="I714" s="70"/>
    </row>
    <row r="715" spans="1:21" x14ac:dyDescent="0.3">
      <c r="A715" t="str">
        <f t="shared" si="11"/>
        <v/>
      </c>
      <c r="I715" s="70"/>
    </row>
    <row r="716" spans="1:21" x14ac:dyDescent="0.3">
      <c r="A716" t="str">
        <f t="shared" si="11"/>
        <v/>
      </c>
      <c r="I716" s="70"/>
    </row>
    <row r="717" spans="1:21" x14ac:dyDescent="0.3">
      <c r="A717" t="str">
        <f t="shared" si="11"/>
        <v/>
      </c>
      <c r="I717" s="70"/>
    </row>
    <row r="718" spans="1:21" x14ac:dyDescent="0.3">
      <c r="A718" t="str">
        <f t="shared" si="11"/>
        <v/>
      </c>
      <c r="I718" s="70"/>
    </row>
    <row r="719" spans="1:21" x14ac:dyDescent="0.3">
      <c r="A719" t="str">
        <f t="shared" si="11"/>
        <v/>
      </c>
      <c r="I719" s="70"/>
    </row>
    <row r="720" spans="1:21" x14ac:dyDescent="0.3">
      <c r="A720" t="str">
        <f t="shared" si="11"/>
        <v/>
      </c>
      <c r="I720" s="70"/>
    </row>
    <row r="721" spans="1:9" x14ac:dyDescent="0.3">
      <c r="A721" t="str">
        <f t="shared" si="11"/>
        <v/>
      </c>
      <c r="I721" s="70"/>
    </row>
    <row r="722" spans="1:9" x14ac:dyDescent="0.3">
      <c r="A722" t="str">
        <f t="shared" si="11"/>
        <v/>
      </c>
      <c r="I722" s="70"/>
    </row>
    <row r="723" spans="1:9" x14ac:dyDescent="0.3">
      <c r="A723" t="str">
        <f t="shared" si="11"/>
        <v/>
      </c>
      <c r="I723" s="70"/>
    </row>
    <row r="724" spans="1:9" x14ac:dyDescent="0.3">
      <c r="A724" t="str">
        <f t="shared" si="11"/>
        <v/>
      </c>
      <c r="I724" s="70"/>
    </row>
    <row r="725" spans="1:9" x14ac:dyDescent="0.3">
      <c r="A725" t="str">
        <f t="shared" si="11"/>
        <v/>
      </c>
      <c r="I725" s="70"/>
    </row>
    <row r="726" spans="1:9" x14ac:dyDescent="0.3">
      <c r="A726" t="str">
        <f t="shared" si="11"/>
        <v/>
      </c>
      <c r="I726" s="70"/>
    </row>
    <row r="727" spans="1:9" x14ac:dyDescent="0.3">
      <c r="A727" t="str">
        <f t="shared" si="11"/>
        <v/>
      </c>
      <c r="I727" s="70"/>
    </row>
    <row r="728" spans="1:9" x14ac:dyDescent="0.3">
      <c r="A728" t="str">
        <f t="shared" si="11"/>
        <v/>
      </c>
      <c r="I728" s="70"/>
    </row>
    <row r="729" spans="1:9" x14ac:dyDescent="0.3">
      <c r="A729" t="str">
        <f t="shared" si="11"/>
        <v/>
      </c>
      <c r="I729" s="70"/>
    </row>
    <row r="730" spans="1:9" x14ac:dyDescent="0.3">
      <c r="A730" t="str">
        <f t="shared" si="11"/>
        <v/>
      </c>
      <c r="I730" s="70"/>
    </row>
    <row r="731" spans="1:9" x14ac:dyDescent="0.3">
      <c r="A731" t="str">
        <f t="shared" si="11"/>
        <v/>
      </c>
      <c r="I731" s="70"/>
    </row>
    <row r="732" spans="1:9" x14ac:dyDescent="0.3">
      <c r="A732" t="str">
        <f t="shared" si="11"/>
        <v/>
      </c>
      <c r="I732" s="70"/>
    </row>
    <row r="733" spans="1:9" x14ac:dyDescent="0.3">
      <c r="A733" t="str">
        <f t="shared" si="11"/>
        <v/>
      </c>
      <c r="I733" s="70"/>
    </row>
    <row r="734" spans="1:9" x14ac:dyDescent="0.3">
      <c r="A734" t="str">
        <f t="shared" si="11"/>
        <v/>
      </c>
      <c r="I734" s="70"/>
    </row>
    <row r="735" spans="1:9" x14ac:dyDescent="0.3">
      <c r="A735" t="str">
        <f t="shared" si="11"/>
        <v/>
      </c>
      <c r="I735" s="70"/>
    </row>
    <row r="736" spans="1:9" x14ac:dyDescent="0.3">
      <c r="A736" t="str">
        <f t="shared" si="11"/>
        <v/>
      </c>
      <c r="I736" s="70"/>
    </row>
    <row r="737" spans="1:9" x14ac:dyDescent="0.3">
      <c r="A737" t="str">
        <f t="shared" si="11"/>
        <v/>
      </c>
      <c r="I737" s="70"/>
    </row>
    <row r="738" spans="1:9" x14ac:dyDescent="0.3">
      <c r="A738" t="str">
        <f t="shared" si="11"/>
        <v/>
      </c>
      <c r="I738" s="70"/>
    </row>
    <row r="739" spans="1:9" x14ac:dyDescent="0.3">
      <c r="A739" t="str">
        <f t="shared" si="11"/>
        <v/>
      </c>
      <c r="I739" s="70"/>
    </row>
    <row r="740" spans="1:9" x14ac:dyDescent="0.3">
      <c r="A740" t="str">
        <f t="shared" si="11"/>
        <v/>
      </c>
      <c r="I740" s="70"/>
    </row>
    <row r="741" spans="1:9" x14ac:dyDescent="0.3">
      <c r="A741" t="str">
        <f t="shared" si="11"/>
        <v/>
      </c>
      <c r="I741" s="70"/>
    </row>
    <row r="742" spans="1:9" x14ac:dyDescent="0.3">
      <c r="A742" t="str">
        <f t="shared" si="11"/>
        <v/>
      </c>
      <c r="I742" s="70"/>
    </row>
    <row r="743" spans="1:9" x14ac:dyDescent="0.3">
      <c r="A743" t="str">
        <f t="shared" si="11"/>
        <v/>
      </c>
      <c r="I743" s="70"/>
    </row>
    <row r="744" spans="1:9" x14ac:dyDescent="0.3">
      <c r="A744" t="str">
        <f t="shared" si="11"/>
        <v/>
      </c>
      <c r="I744" s="70"/>
    </row>
    <row r="745" spans="1:9" x14ac:dyDescent="0.3">
      <c r="A745" t="str">
        <f t="shared" si="11"/>
        <v/>
      </c>
      <c r="I745" s="70"/>
    </row>
    <row r="746" spans="1:9" x14ac:dyDescent="0.3">
      <c r="A746" t="str">
        <f t="shared" si="11"/>
        <v/>
      </c>
      <c r="I746" s="70"/>
    </row>
    <row r="747" spans="1:9" x14ac:dyDescent="0.3">
      <c r="A747" t="str">
        <f t="shared" si="11"/>
        <v/>
      </c>
      <c r="I747" s="70"/>
    </row>
    <row r="748" spans="1:9" x14ac:dyDescent="0.3">
      <c r="A748" t="str">
        <f t="shared" si="11"/>
        <v/>
      </c>
      <c r="I748" s="70"/>
    </row>
    <row r="749" spans="1:9" x14ac:dyDescent="0.3">
      <c r="A749" t="str">
        <f t="shared" si="11"/>
        <v/>
      </c>
      <c r="I749" s="70"/>
    </row>
    <row r="750" spans="1:9" x14ac:dyDescent="0.3">
      <c r="A750" t="str">
        <f t="shared" si="11"/>
        <v/>
      </c>
      <c r="I750" s="70"/>
    </row>
    <row r="751" spans="1:9" x14ac:dyDescent="0.3">
      <c r="A751" t="str">
        <f t="shared" si="11"/>
        <v/>
      </c>
      <c r="I751" s="70"/>
    </row>
    <row r="752" spans="1:9" x14ac:dyDescent="0.3">
      <c r="A752" t="str">
        <f t="shared" si="11"/>
        <v/>
      </c>
      <c r="I752" s="70"/>
    </row>
    <row r="753" spans="1:9" x14ac:dyDescent="0.3">
      <c r="A753" t="str">
        <f t="shared" si="11"/>
        <v/>
      </c>
      <c r="I753" s="70"/>
    </row>
    <row r="754" spans="1:9" x14ac:dyDescent="0.3">
      <c r="A754" t="str">
        <f t="shared" si="11"/>
        <v/>
      </c>
      <c r="I754" s="70"/>
    </row>
    <row r="755" spans="1:9" x14ac:dyDescent="0.3">
      <c r="A755" t="str">
        <f t="shared" si="11"/>
        <v/>
      </c>
      <c r="I755" s="70"/>
    </row>
    <row r="756" spans="1:9" x14ac:dyDescent="0.3">
      <c r="A756" t="str">
        <f t="shared" si="11"/>
        <v/>
      </c>
      <c r="I756" s="70"/>
    </row>
    <row r="757" spans="1:9" x14ac:dyDescent="0.3">
      <c r="A757" t="str">
        <f t="shared" si="11"/>
        <v/>
      </c>
      <c r="I757" s="70"/>
    </row>
    <row r="758" spans="1:9" x14ac:dyDescent="0.3">
      <c r="A758" t="str">
        <f t="shared" si="11"/>
        <v/>
      </c>
      <c r="I758" s="70"/>
    </row>
    <row r="759" spans="1:9" x14ac:dyDescent="0.3">
      <c r="A759" t="str">
        <f t="shared" si="11"/>
        <v/>
      </c>
      <c r="I759" s="70"/>
    </row>
    <row r="760" spans="1:9" x14ac:dyDescent="0.3">
      <c r="A760" t="str">
        <f t="shared" si="11"/>
        <v/>
      </c>
      <c r="I760" s="70"/>
    </row>
    <row r="761" spans="1:9" x14ac:dyDescent="0.3">
      <c r="A761" t="str">
        <f t="shared" si="11"/>
        <v/>
      </c>
      <c r="I761" s="70"/>
    </row>
    <row r="762" spans="1:9" x14ac:dyDescent="0.3">
      <c r="A762" t="str">
        <f t="shared" si="11"/>
        <v/>
      </c>
      <c r="I762" s="70"/>
    </row>
    <row r="763" spans="1:9" x14ac:dyDescent="0.3">
      <c r="A763" t="str">
        <f t="shared" si="11"/>
        <v/>
      </c>
      <c r="I763" s="70"/>
    </row>
    <row r="764" spans="1:9" x14ac:dyDescent="0.3">
      <c r="A764" t="str">
        <f t="shared" si="11"/>
        <v/>
      </c>
      <c r="I764" s="70"/>
    </row>
    <row r="765" spans="1:9" x14ac:dyDescent="0.3">
      <c r="A765" t="str">
        <f t="shared" si="11"/>
        <v/>
      </c>
      <c r="I765" s="70"/>
    </row>
    <row r="766" spans="1:9" x14ac:dyDescent="0.3">
      <c r="A766" t="str">
        <f t="shared" si="11"/>
        <v/>
      </c>
      <c r="I766" s="70"/>
    </row>
    <row r="767" spans="1:9" x14ac:dyDescent="0.3">
      <c r="A767" t="str">
        <f t="shared" si="11"/>
        <v/>
      </c>
      <c r="I767" s="70"/>
    </row>
    <row r="768" spans="1:9" x14ac:dyDescent="0.3">
      <c r="A768" t="str">
        <f t="shared" si="11"/>
        <v/>
      </c>
      <c r="I768" s="70"/>
    </row>
    <row r="769" spans="1:9" x14ac:dyDescent="0.3">
      <c r="A769" t="str">
        <f t="shared" si="11"/>
        <v/>
      </c>
      <c r="I769" s="70"/>
    </row>
    <row r="770" spans="1:9" x14ac:dyDescent="0.3">
      <c r="A770" t="str">
        <f t="shared" si="11"/>
        <v/>
      </c>
      <c r="I770" s="70"/>
    </row>
    <row r="771" spans="1:9" x14ac:dyDescent="0.3">
      <c r="A771" t="str">
        <f t="shared" ref="A771:A834" si="12">C771&amp;B771&amp;H771</f>
        <v/>
      </c>
      <c r="I771" s="70"/>
    </row>
    <row r="772" spans="1:9" x14ac:dyDescent="0.3">
      <c r="A772" t="str">
        <f t="shared" si="12"/>
        <v/>
      </c>
      <c r="I772" s="70"/>
    </row>
    <row r="773" spans="1:9" x14ac:dyDescent="0.3">
      <c r="A773" t="str">
        <f t="shared" si="12"/>
        <v/>
      </c>
      <c r="I773" s="70"/>
    </row>
    <row r="774" spans="1:9" x14ac:dyDescent="0.3">
      <c r="A774" t="str">
        <f t="shared" si="12"/>
        <v/>
      </c>
      <c r="I774" s="70"/>
    </row>
    <row r="775" spans="1:9" x14ac:dyDescent="0.3">
      <c r="A775" t="str">
        <f t="shared" si="12"/>
        <v/>
      </c>
      <c r="I775" s="70"/>
    </row>
    <row r="776" spans="1:9" x14ac:dyDescent="0.3">
      <c r="A776" t="str">
        <f t="shared" si="12"/>
        <v/>
      </c>
      <c r="I776" s="70"/>
    </row>
    <row r="777" spans="1:9" x14ac:dyDescent="0.3">
      <c r="A777" t="str">
        <f t="shared" si="12"/>
        <v/>
      </c>
      <c r="I777" s="70"/>
    </row>
    <row r="778" spans="1:9" x14ac:dyDescent="0.3">
      <c r="A778" t="str">
        <f t="shared" si="12"/>
        <v/>
      </c>
      <c r="I778" s="70"/>
    </row>
    <row r="779" spans="1:9" x14ac:dyDescent="0.3">
      <c r="A779" t="str">
        <f t="shared" si="12"/>
        <v/>
      </c>
      <c r="I779" s="70"/>
    </row>
    <row r="780" spans="1:9" x14ac:dyDescent="0.3">
      <c r="A780" t="str">
        <f t="shared" si="12"/>
        <v/>
      </c>
      <c r="I780" s="70"/>
    </row>
    <row r="781" spans="1:9" x14ac:dyDescent="0.3">
      <c r="A781" t="str">
        <f t="shared" si="12"/>
        <v/>
      </c>
      <c r="I781" s="70"/>
    </row>
    <row r="782" spans="1:9" x14ac:dyDescent="0.3">
      <c r="A782" t="str">
        <f t="shared" si="12"/>
        <v/>
      </c>
      <c r="I782" s="70"/>
    </row>
    <row r="783" spans="1:9" x14ac:dyDescent="0.3">
      <c r="A783" t="str">
        <f t="shared" si="12"/>
        <v/>
      </c>
      <c r="I783" s="70"/>
    </row>
    <row r="784" spans="1:9" x14ac:dyDescent="0.3">
      <c r="A784" t="str">
        <f t="shared" si="12"/>
        <v/>
      </c>
      <c r="I784" s="70"/>
    </row>
    <row r="785" spans="1:9" x14ac:dyDescent="0.3">
      <c r="A785" t="str">
        <f t="shared" si="12"/>
        <v/>
      </c>
      <c r="I785" s="70"/>
    </row>
    <row r="786" spans="1:9" x14ac:dyDescent="0.3">
      <c r="A786" t="str">
        <f t="shared" si="12"/>
        <v/>
      </c>
      <c r="I786" s="70"/>
    </row>
    <row r="787" spans="1:9" x14ac:dyDescent="0.3">
      <c r="A787" t="str">
        <f t="shared" si="12"/>
        <v/>
      </c>
      <c r="I787" s="70"/>
    </row>
    <row r="788" spans="1:9" x14ac:dyDescent="0.3">
      <c r="A788" t="str">
        <f t="shared" si="12"/>
        <v/>
      </c>
      <c r="I788" s="70"/>
    </row>
    <row r="789" spans="1:9" x14ac:dyDescent="0.3">
      <c r="A789" t="str">
        <f t="shared" si="12"/>
        <v/>
      </c>
      <c r="I789" s="70"/>
    </row>
    <row r="790" spans="1:9" x14ac:dyDescent="0.3">
      <c r="A790" t="str">
        <f t="shared" si="12"/>
        <v/>
      </c>
      <c r="I790" s="70"/>
    </row>
    <row r="791" spans="1:9" x14ac:dyDescent="0.3">
      <c r="A791" t="str">
        <f t="shared" si="12"/>
        <v/>
      </c>
      <c r="I791" s="70"/>
    </row>
    <row r="792" spans="1:9" x14ac:dyDescent="0.3">
      <c r="A792" t="str">
        <f t="shared" si="12"/>
        <v/>
      </c>
      <c r="I792" s="70"/>
    </row>
    <row r="793" spans="1:9" x14ac:dyDescent="0.3">
      <c r="A793" t="str">
        <f t="shared" si="12"/>
        <v/>
      </c>
      <c r="I793" s="70"/>
    </row>
    <row r="794" spans="1:9" x14ac:dyDescent="0.3">
      <c r="A794" t="str">
        <f t="shared" si="12"/>
        <v/>
      </c>
      <c r="I794" s="70"/>
    </row>
    <row r="795" spans="1:9" x14ac:dyDescent="0.3">
      <c r="A795" t="str">
        <f t="shared" si="12"/>
        <v/>
      </c>
      <c r="I795" s="70"/>
    </row>
    <row r="796" spans="1:9" x14ac:dyDescent="0.3">
      <c r="A796" t="str">
        <f t="shared" si="12"/>
        <v/>
      </c>
      <c r="I796" s="70"/>
    </row>
    <row r="797" spans="1:9" x14ac:dyDescent="0.3">
      <c r="A797" t="str">
        <f t="shared" si="12"/>
        <v/>
      </c>
      <c r="I797" s="70"/>
    </row>
    <row r="798" spans="1:9" x14ac:dyDescent="0.3">
      <c r="A798" t="str">
        <f t="shared" si="12"/>
        <v/>
      </c>
      <c r="I798" s="70"/>
    </row>
    <row r="799" spans="1:9" x14ac:dyDescent="0.3">
      <c r="A799" t="str">
        <f t="shared" si="12"/>
        <v/>
      </c>
      <c r="I799" s="70"/>
    </row>
    <row r="800" spans="1:9" x14ac:dyDescent="0.3">
      <c r="A800" t="str">
        <f t="shared" si="12"/>
        <v/>
      </c>
      <c r="I800" s="70"/>
    </row>
    <row r="801" spans="1:20" x14ac:dyDescent="0.3">
      <c r="A801" t="str">
        <f t="shared" si="12"/>
        <v/>
      </c>
      <c r="I801" s="70"/>
    </row>
    <row r="802" spans="1:20" x14ac:dyDescent="0.3">
      <c r="A802" t="str">
        <f t="shared" si="12"/>
        <v/>
      </c>
      <c r="I802" s="70"/>
    </row>
    <row r="803" spans="1:20" x14ac:dyDescent="0.3">
      <c r="A803" t="str">
        <f t="shared" si="12"/>
        <v/>
      </c>
      <c r="I803" s="70"/>
    </row>
    <row r="804" spans="1:20" x14ac:dyDescent="0.3">
      <c r="A804" t="str">
        <f t="shared" si="12"/>
        <v/>
      </c>
      <c r="I804" s="70"/>
    </row>
    <row r="805" spans="1:20" x14ac:dyDescent="0.3">
      <c r="A805" t="str">
        <f t="shared" si="12"/>
        <v/>
      </c>
      <c r="I805" s="70"/>
    </row>
    <row r="806" spans="1:20" x14ac:dyDescent="0.3">
      <c r="A806" t="str">
        <f t="shared" si="12"/>
        <v/>
      </c>
      <c r="I806" s="70"/>
    </row>
    <row r="807" spans="1:20" x14ac:dyDescent="0.3">
      <c r="A807" t="str">
        <f t="shared" si="12"/>
        <v/>
      </c>
      <c r="I807" s="70"/>
    </row>
    <row r="808" spans="1:20" x14ac:dyDescent="0.3">
      <c r="A808" t="str">
        <f t="shared" si="12"/>
        <v/>
      </c>
      <c r="I808" s="70"/>
    </row>
    <row r="809" spans="1:20" x14ac:dyDescent="0.3">
      <c r="A809" t="str">
        <f t="shared" si="12"/>
        <v/>
      </c>
      <c r="I809" s="70"/>
    </row>
    <row r="810" spans="1:20" x14ac:dyDescent="0.3">
      <c r="A810" t="str">
        <f t="shared" si="12"/>
        <v/>
      </c>
      <c r="I810" s="70"/>
      <c r="P810" t="s">
        <v>257</v>
      </c>
      <c r="Q810" t="s">
        <v>53</v>
      </c>
      <c r="R810" t="s">
        <v>57</v>
      </c>
      <c r="S810" t="e">
        <f t="array" ref="S810">INDEX($B$810:$K$841,MATCH(P810&amp;R810&amp;Q810&amp;T810,$C$810:$C$841&amp;$B$810:$B$841&amp;$H$810:$H$841&amp;$K$810:$K$841,0),5)</f>
        <v>#N/A</v>
      </c>
      <c r="T810" t="s">
        <v>259</v>
      </c>
    </row>
    <row r="811" spans="1:20" x14ac:dyDescent="0.3">
      <c r="A811" t="str">
        <f t="shared" si="12"/>
        <v/>
      </c>
      <c r="I811" s="70"/>
    </row>
    <row r="812" spans="1:20" x14ac:dyDescent="0.3">
      <c r="A812" t="str">
        <f t="shared" si="12"/>
        <v/>
      </c>
      <c r="I812" s="70"/>
    </row>
    <row r="813" spans="1:20" x14ac:dyDescent="0.3">
      <c r="A813" t="str">
        <f t="shared" si="12"/>
        <v/>
      </c>
      <c r="I813" s="70"/>
    </row>
    <row r="814" spans="1:20" x14ac:dyDescent="0.3">
      <c r="A814" t="str">
        <f t="shared" si="12"/>
        <v/>
      </c>
      <c r="I814" s="70"/>
    </row>
    <row r="815" spans="1:20" x14ac:dyDescent="0.3">
      <c r="A815" t="str">
        <f t="shared" si="12"/>
        <v/>
      </c>
      <c r="I815" s="70"/>
    </row>
    <row r="816" spans="1:20" x14ac:dyDescent="0.3">
      <c r="A816" t="str">
        <f t="shared" si="12"/>
        <v/>
      </c>
      <c r="I816" s="70"/>
    </row>
    <row r="817" spans="1:9" x14ac:dyDescent="0.3">
      <c r="A817" t="str">
        <f t="shared" si="12"/>
        <v/>
      </c>
      <c r="I817" s="70"/>
    </row>
    <row r="818" spans="1:9" x14ac:dyDescent="0.3">
      <c r="A818" t="str">
        <f t="shared" si="12"/>
        <v/>
      </c>
      <c r="I818" s="70"/>
    </row>
    <row r="819" spans="1:9" x14ac:dyDescent="0.3">
      <c r="A819" t="str">
        <f t="shared" si="12"/>
        <v/>
      </c>
      <c r="I819" s="70"/>
    </row>
    <row r="820" spans="1:9" x14ac:dyDescent="0.3">
      <c r="A820" t="str">
        <f t="shared" si="12"/>
        <v/>
      </c>
      <c r="I820" s="70"/>
    </row>
    <row r="821" spans="1:9" x14ac:dyDescent="0.3">
      <c r="A821" t="str">
        <f t="shared" si="12"/>
        <v/>
      </c>
      <c r="I821" s="70"/>
    </row>
    <row r="822" spans="1:9" x14ac:dyDescent="0.3">
      <c r="A822" t="str">
        <f t="shared" si="12"/>
        <v/>
      </c>
      <c r="I822" s="70"/>
    </row>
    <row r="823" spans="1:9" x14ac:dyDescent="0.3">
      <c r="A823" t="str">
        <f t="shared" si="12"/>
        <v/>
      </c>
      <c r="I823" s="70"/>
    </row>
    <row r="824" spans="1:9" x14ac:dyDescent="0.3">
      <c r="A824" t="str">
        <f t="shared" si="12"/>
        <v/>
      </c>
      <c r="I824" s="70"/>
    </row>
    <row r="825" spans="1:9" x14ac:dyDescent="0.3">
      <c r="A825" t="str">
        <f t="shared" si="12"/>
        <v/>
      </c>
      <c r="I825" s="70"/>
    </row>
    <row r="826" spans="1:9" x14ac:dyDescent="0.3">
      <c r="A826" t="str">
        <f t="shared" si="12"/>
        <v/>
      </c>
      <c r="I826" s="70"/>
    </row>
    <row r="827" spans="1:9" x14ac:dyDescent="0.3">
      <c r="A827" t="str">
        <f t="shared" si="12"/>
        <v/>
      </c>
      <c r="I827" s="70"/>
    </row>
    <row r="828" spans="1:9" x14ac:dyDescent="0.3">
      <c r="A828" t="str">
        <f t="shared" si="12"/>
        <v/>
      </c>
      <c r="I828" s="70"/>
    </row>
    <row r="829" spans="1:9" x14ac:dyDescent="0.3">
      <c r="A829" t="str">
        <f t="shared" si="12"/>
        <v/>
      </c>
      <c r="I829" s="70"/>
    </row>
    <row r="830" spans="1:9" x14ac:dyDescent="0.3">
      <c r="A830" t="str">
        <f t="shared" si="12"/>
        <v/>
      </c>
      <c r="I830" s="70"/>
    </row>
    <row r="831" spans="1:9" x14ac:dyDescent="0.3">
      <c r="A831" t="str">
        <f t="shared" si="12"/>
        <v/>
      </c>
      <c r="I831" s="70"/>
    </row>
    <row r="832" spans="1:9" x14ac:dyDescent="0.3">
      <c r="A832" t="str">
        <f t="shared" si="12"/>
        <v/>
      </c>
      <c r="I832" s="70"/>
    </row>
    <row r="833" spans="1:9" x14ac:dyDescent="0.3">
      <c r="A833" t="str">
        <f t="shared" si="12"/>
        <v/>
      </c>
      <c r="I833" s="70"/>
    </row>
    <row r="834" spans="1:9" x14ac:dyDescent="0.3">
      <c r="A834" t="str">
        <f t="shared" si="12"/>
        <v/>
      </c>
      <c r="I834" s="70"/>
    </row>
    <row r="835" spans="1:9" x14ac:dyDescent="0.3">
      <c r="A835" t="str">
        <f t="shared" ref="A835:A873" si="13">C835&amp;B835&amp;H835</f>
        <v/>
      </c>
      <c r="I835" s="70"/>
    </row>
    <row r="836" spans="1:9" x14ac:dyDescent="0.3">
      <c r="A836" t="str">
        <f t="shared" si="13"/>
        <v/>
      </c>
      <c r="I836" s="70"/>
    </row>
    <row r="837" spans="1:9" x14ac:dyDescent="0.3">
      <c r="A837" t="str">
        <f t="shared" si="13"/>
        <v/>
      </c>
      <c r="I837" s="70"/>
    </row>
    <row r="838" spans="1:9" x14ac:dyDescent="0.3">
      <c r="A838" t="str">
        <f t="shared" si="13"/>
        <v/>
      </c>
      <c r="I838" s="70"/>
    </row>
    <row r="839" spans="1:9" x14ac:dyDescent="0.3">
      <c r="A839" t="str">
        <f t="shared" si="13"/>
        <v/>
      </c>
      <c r="I839" s="70"/>
    </row>
    <row r="840" spans="1:9" x14ac:dyDescent="0.3">
      <c r="A840" t="str">
        <f t="shared" si="13"/>
        <v/>
      </c>
      <c r="I840" s="70"/>
    </row>
    <row r="841" spans="1:9" x14ac:dyDescent="0.3">
      <c r="A841" t="str">
        <f t="shared" si="13"/>
        <v/>
      </c>
      <c r="I841" s="70"/>
    </row>
    <row r="842" spans="1:9" x14ac:dyDescent="0.3">
      <c r="A842" t="str">
        <f t="shared" si="13"/>
        <v/>
      </c>
      <c r="I842" s="70"/>
    </row>
    <row r="843" spans="1:9" x14ac:dyDescent="0.3">
      <c r="A843" t="str">
        <f t="shared" si="13"/>
        <v/>
      </c>
      <c r="I843" s="70"/>
    </row>
    <row r="844" spans="1:9" x14ac:dyDescent="0.3">
      <c r="A844" t="str">
        <f t="shared" si="13"/>
        <v/>
      </c>
      <c r="I844" s="70"/>
    </row>
    <row r="845" spans="1:9" x14ac:dyDescent="0.3">
      <c r="A845" t="str">
        <f t="shared" si="13"/>
        <v/>
      </c>
      <c r="I845" s="70"/>
    </row>
    <row r="846" spans="1:9" x14ac:dyDescent="0.3">
      <c r="A846" t="str">
        <f t="shared" si="13"/>
        <v/>
      </c>
      <c r="I846" s="70"/>
    </row>
    <row r="847" spans="1:9" x14ac:dyDescent="0.3">
      <c r="A847" t="str">
        <f t="shared" si="13"/>
        <v/>
      </c>
      <c r="I847" s="70"/>
    </row>
    <row r="848" spans="1:9" x14ac:dyDescent="0.3">
      <c r="A848" t="str">
        <f t="shared" si="13"/>
        <v/>
      </c>
      <c r="I848" s="70"/>
    </row>
    <row r="849" spans="1:9" x14ac:dyDescent="0.3">
      <c r="A849" t="str">
        <f t="shared" si="13"/>
        <v/>
      </c>
      <c r="I849" s="70"/>
    </row>
    <row r="850" spans="1:9" x14ac:dyDescent="0.3">
      <c r="A850" t="str">
        <f t="shared" si="13"/>
        <v/>
      </c>
      <c r="I850" s="70"/>
    </row>
    <row r="851" spans="1:9" x14ac:dyDescent="0.3">
      <c r="A851" t="str">
        <f t="shared" si="13"/>
        <v/>
      </c>
      <c r="I851" s="70"/>
    </row>
    <row r="852" spans="1:9" x14ac:dyDescent="0.3">
      <c r="A852" t="str">
        <f t="shared" si="13"/>
        <v/>
      </c>
      <c r="I852" s="70"/>
    </row>
    <row r="853" spans="1:9" x14ac:dyDescent="0.3">
      <c r="A853" t="str">
        <f t="shared" si="13"/>
        <v/>
      </c>
      <c r="I853" s="70"/>
    </row>
    <row r="854" spans="1:9" x14ac:dyDescent="0.3">
      <c r="A854" t="str">
        <f t="shared" si="13"/>
        <v/>
      </c>
      <c r="I854" s="70"/>
    </row>
    <row r="855" spans="1:9" x14ac:dyDescent="0.3">
      <c r="A855" t="str">
        <f t="shared" si="13"/>
        <v/>
      </c>
      <c r="I855" s="70"/>
    </row>
    <row r="856" spans="1:9" x14ac:dyDescent="0.3">
      <c r="A856" t="str">
        <f t="shared" si="13"/>
        <v/>
      </c>
      <c r="I856" s="70"/>
    </row>
    <row r="857" spans="1:9" x14ac:dyDescent="0.3">
      <c r="A857" t="str">
        <f t="shared" si="13"/>
        <v/>
      </c>
      <c r="I857" s="70"/>
    </row>
    <row r="858" spans="1:9" x14ac:dyDescent="0.3">
      <c r="A858" t="str">
        <f t="shared" si="13"/>
        <v/>
      </c>
      <c r="I858" s="70"/>
    </row>
    <row r="859" spans="1:9" x14ac:dyDescent="0.3">
      <c r="A859" t="str">
        <f t="shared" si="13"/>
        <v/>
      </c>
      <c r="I859" s="70"/>
    </row>
    <row r="860" spans="1:9" x14ac:dyDescent="0.3">
      <c r="A860" t="str">
        <f t="shared" si="13"/>
        <v/>
      </c>
      <c r="I860" s="70"/>
    </row>
    <row r="861" spans="1:9" x14ac:dyDescent="0.3">
      <c r="A861" t="str">
        <f t="shared" si="13"/>
        <v/>
      </c>
      <c r="I861" s="70"/>
    </row>
    <row r="862" spans="1:9" x14ac:dyDescent="0.3">
      <c r="A862" t="str">
        <f t="shared" si="13"/>
        <v/>
      </c>
      <c r="I862" s="70"/>
    </row>
    <row r="863" spans="1:9" x14ac:dyDescent="0.3">
      <c r="A863" t="str">
        <f t="shared" si="13"/>
        <v/>
      </c>
      <c r="I863" s="70"/>
    </row>
    <row r="864" spans="1:9" x14ac:dyDescent="0.3">
      <c r="A864" t="str">
        <f t="shared" si="13"/>
        <v/>
      </c>
      <c r="I864" s="70"/>
    </row>
    <row r="865" spans="1:9" x14ac:dyDescent="0.3">
      <c r="A865" t="str">
        <f t="shared" si="13"/>
        <v/>
      </c>
      <c r="I865" s="70"/>
    </row>
    <row r="866" spans="1:9" x14ac:dyDescent="0.3">
      <c r="A866" t="str">
        <f t="shared" si="13"/>
        <v/>
      </c>
      <c r="I866" s="70"/>
    </row>
    <row r="867" spans="1:9" x14ac:dyDescent="0.3">
      <c r="A867" t="str">
        <f t="shared" si="13"/>
        <v/>
      </c>
      <c r="I867" s="70"/>
    </row>
    <row r="868" spans="1:9" x14ac:dyDescent="0.3">
      <c r="A868" t="str">
        <f t="shared" si="13"/>
        <v/>
      </c>
      <c r="I868" s="70"/>
    </row>
    <row r="869" spans="1:9" x14ac:dyDescent="0.3">
      <c r="A869" t="str">
        <f t="shared" si="13"/>
        <v/>
      </c>
      <c r="I869" s="70"/>
    </row>
    <row r="870" spans="1:9" x14ac:dyDescent="0.3">
      <c r="A870" t="str">
        <f t="shared" si="13"/>
        <v/>
      </c>
      <c r="I870" s="70"/>
    </row>
    <row r="871" spans="1:9" x14ac:dyDescent="0.3">
      <c r="A871" t="str">
        <f t="shared" si="13"/>
        <v/>
      </c>
      <c r="I871" s="70"/>
    </row>
    <row r="872" spans="1:9" x14ac:dyDescent="0.3">
      <c r="A872" t="str">
        <f t="shared" si="13"/>
        <v/>
      </c>
      <c r="I872" s="70"/>
    </row>
    <row r="873" spans="1:9" x14ac:dyDescent="0.3">
      <c r="A873" t="str">
        <f t="shared" si="13"/>
        <v/>
      </c>
      <c r="I873" s="70"/>
    </row>
  </sheetData>
  <autoFilter ref="A1:S70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9"/>
  <sheetViews>
    <sheetView topLeftCell="B260" workbookViewId="0">
      <selection activeCell="H302" sqref="H302"/>
    </sheetView>
  </sheetViews>
  <sheetFormatPr defaultRowHeight="14.4" x14ac:dyDescent="0.3"/>
  <cols>
    <col min="1" max="1" width="14.6640625" hidden="1" customWidth="1"/>
    <col min="3" max="3" width="32.33203125" bestFit="1" customWidth="1"/>
  </cols>
  <sheetData>
    <row r="1" spans="1:10" x14ac:dyDescent="0.3">
      <c r="B1" t="s">
        <v>230</v>
      </c>
      <c r="C1" t="s">
        <v>231</v>
      </c>
      <c r="D1" t="s">
        <v>232</v>
      </c>
      <c r="E1" t="s">
        <v>48</v>
      </c>
      <c r="F1" t="s">
        <v>233</v>
      </c>
      <c r="G1" t="s">
        <v>49</v>
      </c>
      <c r="H1" t="s">
        <v>262</v>
      </c>
      <c r="I1" t="s">
        <v>234</v>
      </c>
      <c r="J1" t="s">
        <v>235</v>
      </c>
    </row>
    <row r="2" spans="1:10" x14ac:dyDescent="0.3">
      <c r="A2" t="str">
        <f>C2&amp;B2</f>
        <v>Reference sensitivity levelPORT1</v>
      </c>
      <c r="B2" t="s">
        <v>57</v>
      </c>
      <c r="C2" t="s">
        <v>138</v>
      </c>
      <c r="D2">
        <v>-94.9</v>
      </c>
      <c r="F2">
        <v>-95</v>
      </c>
      <c r="G2">
        <v>-94.9</v>
      </c>
      <c r="H2">
        <v>98.9</v>
      </c>
      <c r="I2" s="70">
        <v>0.41263888888888894</v>
      </c>
      <c r="J2" t="s">
        <v>237</v>
      </c>
    </row>
    <row r="3" spans="1:10" x14ac:dyDescent="0.3">
      <c r="A3" t="str">
        <f t="shared" ref="A3:A66" si="0">C3&amp;B3</f>
        <v>Reference sensitivity levelPORT2</v>
      </c>
      <c r="B3" t="s">
        <v>59</v>
      </c>
      <c r="C3" t="s">
        <v>138</v>
      </c>
      <c r="D3">
        <v>-94.9</v>
      </c>
      <c r="F3">
        <v>-95</v>
      </c>
      <c r="G3">
        <v>-94.9</v>
      </c>
      <c r="H3">
        <v>99.8</v>
      </c>
      <c r="I3" s="70">
        <v>0.41311342592592593</v>
      </c>
      <c r="J3" t="s">
        <v>237</v>
      </c>
    </row>
    <row r="4" spans="1:10" x14ac:dyDescent="0.3">
      <c r="A4" t="str">
        <f t="shared" si="0"/>
        <v>Reference sensitivity levelPORT3</v>
      </c>
      <c r="B4" t="s">
        <v>60</v>
      </c>
      <c r="C4" t="s">
        <v>138</v>
      </c>
      <c r="D4">
        <v>-94.9</v>
      </c>
      <c r="F4">
        <v>-95</v>
      </c>
      <c r="G4">
        <v>-94.9</v>
      </c>
      <c r="H4">
        <v>99.8</v>
      </c>
      <c r="I4" s="70">
        <v>0.41357638888888887</v>
      </c>
      <c r="J4" t="s">
        <v>237</v>
      </c>
    </row>
    <row r="5" spans="1:10" x14ac:dyDescent="0.3">
      <c r="A5" t="str">
        <f t="shared" si="0"/>
        <v>Reference sensitivity levelPORT4</v>
      </c>
      <c r="B5" t="s">
        <v>61</v>
      </c>
      <c r="C5" t="s">
        <v>138</v>
      </c>
      <c r="D5">
        <v>-94.9</v>
      </c>
      <c r="F5">
        <v>-95</v>
      </c>
      <c r="G5">
        <v>-94.9</v>
      </c>
      <c r="H5">
        <v>99.8</v>
      </c>
      <c r="I5" s="70">
        <v>0.41405092592592596</v>
      </c>
      <c r="J5" t="s">
        <v>237</v>
      </c>
    </row>
    <row r="6" spans="1:10" x14ac:dyDescent="0.3">
      <c r="A6" t="str">
        <f t="shared" si="0"/>
        <v>Reference sensitivity levelPORT5</v>
      </c>
      <c r="B6" t="s">
        <v>62</v>
      </c>
      <c r="C6" t="s">
        <v>138</v>
      </c>
      <c r="D6">
        <v>-94.9</v>
      </c>
      <c r="F6">
        <v>-95</v>
      </c>
      <c r="G6">
        <v>-94.9</v>
      </c>
      <c r="H6">
        <v>99.8</v>
      </c>
      <c r="I6" s="70">
        <v>0.41452546296296294</v>
      </c>
      <c r="J6" t="s">
        <v>237</v>
      </c>
    </row>
    <row r="7" spans="1:10" x14ac:dyDescent="0.3">
      <c r="A7" t="str">
        <f t="shared" si="0"/>
        <v>Reference sensitivity levelPORT6</v>
      </c>
      <c r="B7" t="s">
        <v>63</v>
      </c>
      <c r="C7" t="s">
        <v>138</v>
      </c>
      <c r="D7">
        <v>-94.9</v>
      </c>
      <c r="F7">
        <v>-95</v>
      </c>
      <c r="G7">
        <v>-94.9</v>
      </c>
      <c r="H7">
        <v>99.8</v>
      </c>
      <c r="I7" s="70">
        <v>0.41500000000000004</v>
      </c>
      <c r="J7" t="s">
        <v>237</v>
      </c>
    </row>
    <row r="8" spans="1:10" x14ac:dyDescent="0.3">
      <c r="A8" t="str">
        <f t="shared" si="0"/>
        <v>Reference sensitivity levelPORT7</v>
      </c>
      <c r="B8" t="s">
        <v>64</v>
      </c>
      <c r="C8" t="s">
        <v>138</v>
      </c>
      <c r="D8">
        <v>-94.9</v>
      </c>
      <c r="F8">
        <v>-95</v>
      </c>
      <c r="G8">
        <v>-94.9</v>
      </c>
      <c r="H8">
        <v>99.8</v>
      </c>
      <c r="I8" s="70">
        <v>0.41547453703703702</v>
      </c>
      <c r="J8" t="s">
        <v>237</v>
      </c>
    </row>
    <row r="9" spans="1:10" x14ac:dyDescent="0.3">
      <c r="A9" t="str">
        <f t="shared" si="0"/>
        <v>Reference sensitivity levelPORT8</v>
      </c>
      <c r="B9" t="s">
        <v>65</v>
      </c>
      <c r="C9" t="s">
        <v>138</v>
      </c>
      <c r="D9">
        <v>-94.9</v>
      </c>
      <c r="F9">
        <v>-95</v>
      </c>
      <c r="G9">
        <v>-94.9</v>
      </c>
      <c r="H9">
        <v>99.8</v>
      </c>
      <c r="I9" s="70">
        <v>0.41594907407407411</v>
      </c>
      <c r="J9" t="s">
        <v>237</v>
      </c>
    </row>
    <row r="10" spans="1:10" x14ac:dyDescent="0.3">
      <c r="A10" t="str">
        <f t="shared" si="0"/>
        <v>Reference sensitivity levelPORT9</v>
      </c>
      <c r="B10" t="s">
        <v>175</v>
      </c>
      <c r="C10" t="s">
        <v>138</v>
      </c>
      <c r="D10">
        <v>-94.9</v>
      </c>
      <c r="F10">
        <v>-95</v>
      </c>
      <c r="G10">
        <v>-94.9</v>
      </c>
      <c r="H10">
        <v>98.9</v>
      </c>
      <c r="I10" s="70">
        <v>0.41638888888888892</v>
      </c>
      <c r="J10" t="s">
        <v>237</v>
      </c>
    </row>
    <row r="11" spans="1:10" x14ac:dyDescent="0.3">
      <c r="A11" t="str">
        <f t="shared" si="0"/>
        <v>Reference sensitivity levelPORT10</v>
      </c>
      <c r="B11" t="s">
        <v>176</v>
      </c>
      <c r="C11" t="s">
        <v>138</v>
      </c>
      <c r="D11">
        <v>-94.9</v>
      </c>
      <c r="F11">
        <v>-95</v>
      </c>
      <c r="G11">
        <v>-94.9</v>
      </c>
      <c r="H11">
        <v>99.8</v>
      </c>
      <c r="I11" s="70">
        <v>0.4168634259259259</v>
      </c>
      <c r="J11" t="s">
        <v>237</v>
      </c>
    </row>
    <row r="12" spans="1:10" x14ac:dyDescent="0.3">
      <c r="A12" t="str">
        <f t="shared" si="0"/>
        <v>Reference sensitivity levelPORT11</v>
      </c>
      <c r="B12" t="s">
        <v>177</v>
      </c>
      <c r="C12" t="s">
        <v>138</v>
      </c>
      <c r="D12">
        <v>-94.9</v>
      </c>
      <c r="F12">
        <v>-95</v>
      </c>
      <c r="G12">
        <v>-94.9</v>
      </c>
      <c r="H12">
        <v>99.8</v>
      </c>
      <c r="I12" s="70">
        <v>0.41733796296296299</v>
      </c>
      <c r="J12" t="s">
        <v>237</v>
      </c>
    </row>
    <row r="13" spans="1:10" x14ac:dyDescent="0.3">
      <c r="A13" t="str">
        <f t="shared" si="0"/>
        <v>Reference sensitivity levelPORT12</v>
      </c>
      <c r="B13" t="s">
        <v>178</v>
      </c>
      <c r="C13" t="s">
        <v>138</v>
      </c>
      <c r="D13">
        <v>-94.9</v>
      </c>
      <c r="F13">
        <v>-95</v>
      </c>
      <c r="G13">
        <v>-94.9</v>
      </c>
      <c r="H13">
        <v>99.8</v>
      </c>
      <c r="I13" s="70">
        <v>0.41781249999999998</v>
      </c>
      <c r="J13" t="s">
        <v>237</v>
      </c>
    </row>
    <row r="14" spans="1:10" x14ac:dyDescent="0.3">
      <c r="A14" t="str">
        <f t="shared" si="0"/>
        <v>Reference sensitivity levelPORT13</v>
      </c>
      <c r="B14" t="s">
        <v>179</v>
      </c>
      <c r="C14" t="s">
        <v>138</v>
      </c>
      <c r="D14">
        <v>-94.9</v>
      </c>
      <c r="F14">
        <v>-95</v>
      </c>
      <c r="G14">
        <v>-94.9</v>
      </c>
      <c r="H14">
        <v>7.6</v>
      </c>
      <c r="I14" s="70">
        <v>0.41923611111111114</v>
      </c>
      <c r="J14" t="s">
        <v>250</v>
      </c>
    </row>
    <row r="15" spans="1:10" x14ac:dyDescent="0.3">
      <c r="A15" t="str">
        <f t="shared" si="0"/>
        <v>Reference sensitivity levelPORT14</v>
      </c>
      <c r="B15" t="s">
        <v>180</v>
      </c>
      <c r="C15" t="s">
        <v>138</v>
      </c>
      <c r="D15">
        <v>-94.9</v>
      </c>
      <c r="F15">
        <v>-95</v>
      </c>
      <c r="G15">
        <v>-94.9</v>
      </c>
      <c r="H15">
        <v>99.8</v>
      </c>
      <c r="I15" s="70">
        <v>0.41971064814814812</v>
      </c>
      <c r="J15" t="s">
        <v>237</v>
      </c>
    </row>
    <row r="16" spans="1:10" x14ac:dyDescent="0.3">
      <c r="A16" t="str">
        <f t="shared" si="0"/>
        <v>Reference sensitivity levelPORT15</v>
      </c>
      <c r="B16" t="s">
        <v>181</v>
      </c>
      <c r="C16" t="s">
        <v>138</v>
      </c>
      <c r="D16">
        <v>-94.9</v>
      </c>
      <c r="F16">
        <v>-95</v>
      </c>
      <c r="G16">
        <v>-94.9</v>
      </c>
      <c r="H16">
        <v>99.8</v>
      </c>
      <c r="I16" s="70">
        <v>0.42018518518518522</v>
      </c>
      <c r="J16" t="s">
        <v>237</v>
      </c>
    </row>
    <row r="17" spans="1:10" x14ac:dyDescent="0.3">
      <c r="A17" t="str">
        <f t="shared" si="0"/>
        <v>Reference sensitivity levelPORT16</v>
      </c>
      <c r="B17" t="s">
        <v>182</v>
      </c>
      <c r="C17" t="s">
        <v>138</v>
      </c>
      <c r="D17">
        <v>-94.9</v>
      </c>
      <c r="F17">
        <v>-95</v>
      </c>
      <c r="G17">
        <v>-94.9</v>
      </c>
      <c r="H17">
        <v>0</v>
      </c>
      <c r="I17" s="70">
        <v>0.42160879629629627</v>
      </c>
      <c r="J17" t="s">
        <v>250</v>
      </c>
    </row>
    <row r="18" spans="1:10" x14ac:dyDescent="0.3">
      <c r="A18" t="str">
        <f t="shared" si="0"/>
        <v>Reference sensitivity levelPORT17</v>
      </c>
      <c r="B18" t="s">
        <v>183</v>
      </c>
      <c r="C18" t="s">
        <v>138</v>
      </c>
      <c r="D18">
        <v>-94.9</v>
      </c>
      <c r="F18">
        <v>-95</v>
      </c>
      <c r="G18">
        <v>-94.9</v>
      </c>
      <c r="H18">
        <v>98.9</v>
      </c>
      <c r="I18" s="70">
        <v>0.4227893518518519</v>
      </c>
      <c r="J18" t="s">
        <v>237</v>
      </c>
    </row>
    <row r="19" spans="1:10" x14ac:dyDescent="0.3">
      <c r="A19" t="str">
        <f t="shared" si="0"/>
        <v>Reference sensitivity levelPORT18</v>
      </c>
      <c r="B19" t="s">
        <v>184</v>
      </c>
      <c r="C19" t="s">
        <v>138</v>
      </c>
      <c r="D19">
        <v>-94.9</v>
      </c>
      <c r="F19">
        <v>-95</v>
      </c>
      <c r="G19">
        <v>-94.9</v>
      </c>
      <c r="H19">
        <v>99.8</v>
      </c>
      <c r="I19" s="70">
        <v>0.42326388888888888</v>
      </c>
      <c r="J19" t="s">
        <v>237</v>
      </c>
    </row>
    <row r="20" spans="1:10" x14ac:dyDescent="0.3">
      <c r="A20" t="str">
        <f t="shared" si="0"/>
        <v>Reference sensitivity levelPORT19</v>
      </c>
      <c r="B20" t="s">
        <v>185</v>
      </c>
      <c r="C20" t="s">
        <v>138</v>
      </c>
      <c r="D20">
        <v>-94.9</v>
      </c>
      <c r="F20">
        <v>-95</v>
      </c>
      <c r="G20">
        <v>-94.9</v>
      </c>
      <c r="H20">
        <v>99.8</v>
      </c>
      <c r="I20" s="70">
        <v>0.42373842592592598</v>
      </c>
      <c r="J20" t="s">
        <v>237</v>
      </c>
    </row>
    <row r="21" spans="1:10" x14ac:dyDescent="0.3">
      <c r="A21" t="str">
        <f t="shared" si="0"/>
        <v>Reference sensitivity levelPORT20</v>
      </c>
      <c r="B21" t="s">
        <v>186</v>
      </c>
      <c r="C21" t="s">
        <v>138</v>
      </c>
      <c r="D21">
        <v>-94.9</v>
      </c>
      <c r="F21">
        <v>-95</v>
      </c>
      <c r="G21">
        <v>-94.9</v>
      </c>
      <c r="H21">
        <v>99.8</v>
      </c>
      <c r="I21" s="70">
        <v>0.42421296296296296</v>
      </c>
      <c r="J21" t="s">
        <v>237</v>
      </c>
    </row>
    <row r="22" spans="1:10" x14ac:dyDescent="0.3">
      <c r="A22" t="str">
        <f t="shared" si="0"/>
        <v>Reference sensitivity levelPORT21</v>
      </c>
      <c r="B22" t="s">
        <v>187</v>
      </c>
      <c r="C22" t="s">
        <v>138</v>
      </c>
      <c r="D22">
        <v>-94.9</v>
      </c>
      <c r="F22">
        <v>-95</v>
      </c>
      <c r="G22">
        <v>-94.9</v>
      </c>
      <c r="H22">
        <v>99.8</v>
      </c>
      <c r="I22" s="70">
        <v>0.42468750000000005</v>
      </c>
      <c r="J22" t="s">
        <v>237</v>
      </c>
    </row>
    <row r="23" spans="1:10" x14ac:dyDescent="0.3">
      <c r="A23" t="str">
        <f t="shared" si="0"/>
        <v>Reference sensitivity levelPORT22</v>
      </c>
      <c r="B23" t="s">
        <v>188</v>
      </c>
      <c r="C23" t="s">
        <v>138</v>
      </c>
      <c r="D23">
        <v>-94.9</v>
      </c>
      <c r="F23">
        <v>-95</v>
      </c>
      <c r="G23">
        <v>-94.9</v>
      </c>
      <c r="H23">
        <v>99.8</v>
      </c>
      <c r="I23" s="70">
        <v>0.42516203703703703</v>
      </c>
      <c r="J23" t="s">
        <v>237</v>
      </c>
    </row>
    <row r="24" spans="1:10" x14ac:dyDescent="0.3">
      <c r="A24" t="str">
        <f t="shared" si="0"/>
        <v>Reference sensitivity levelPORT23</v>
      </c>
      <c r="B24" t="s">
        <v>189</v>
      </c>
      <c r="C24" t="s">
        <v>138</v>
      </c>
      <c r="D24">
        <v>-94.9</v>
      </c>
      <c r="F24">
        <v>-95</v>
      </c>
      <c r="G24">
        <v>-94.9</v>
      </c>
      <c r="H24">
        <v>99.8</v>
      </c>
      <c r="I24" s="70">
        <v>0.42563657407407413</v>
      </c>
      <c r="J24" t="s">
        <v>237</v>
      </c>
    </row>
    <row r="25" spans="1:10" x14ac:dyDescent="0.3">
      <c r="A25" t="str">
        <f t="shared" si="0"/>
        <v>Reference sensitivity levelPORT24</v>
      </c>
      <c r="B25" t="s">
        <v>190</v>
      </c>
      <c r="C25" t="s">
        <v>138</v>
      </c>
      <c r="D25">
        <v>-94.9</v>
      </c>
      <c r="F25">
        <v>-95</v>
      </c>
      <c r="G25">
        <v>-94.9</v>
      </c>
      <c r="H25">
        <v>99.2</v>
      </c>
      <c r="I25" s="70">
        <v>0.42611111111111111</v>
      </c>
      <c r="J25" t="s">
        <v>237</v>
      </c>
    </row>
    <row r="26" spans="1:10" x14ac:dyDescent="0.3">
      <c r="A26" t="str">
        <f t="shared" si="0"/>
        <v>Reference sensitivity levelPORT25</v>
      </c>
      <c r="B26" t="s">
        <v>191</v>
      </c>
      <c r="C26" t="s">
        <v>138</v>
      </c>
      <c r="D26">
        <v>-94.9</v>
      </c>
      <c r="F26">
        <v>-95</v>
      </c>
      <c r="G26">
        <v>-94.9</v>
      </c>
      <c r="H26">
        <v>98.9</v>
      </c>
      <c r="I26" s="70">
        <v>0.4265856481481482</v>
      </c>
      <c r="J26" t="s">
        <v>237</v>
      </c>
    </row>
    <row r="27" spans="1:10" x14ac:dyDescent="0.3">
      <c r="A27" t="str">
        <f t="shared" si="0"/>
        <v>Reference sensitivity levelPORT26</v>
      </c>
      <c r="B27" t="s">
        <v>192</v>
      </c>
      <c r="C27" t="s">
        <v>138</v>
      </c>
      <c r="D27">
        <v>-94.9</v>
      </c>
      <c r="F27">
        <v>-95</v>
      </c>
      <c r="G27">
        <v>-94.9</v>
      </c>
      <c r="H27">
        <v>99.8</v>
      </c>
      <c r="I27" s="70">
        <v>0.42706018518518518</v>
      </c>
      <c r="J27" t="s">
        <v>237</v>
      </c>
    </row>
    <row r="28" spans="1:10" x14ac:dyDescent="0.3">
      <c r="A28" t="str">
        <f t="shared" si="0"/>
        <v>Reference sensitivity levelPORT27</v>
      </c>
      <c r="B28" t="s">
        <v>193</v>
      </c>
      <c r="C28" t="s">
        <v>138</v>
      </c>
      <c r="D28">
        <v>-94.9</v>
      </c>
      <c r="F28">
        <v>-95</v>
      </c>
      <c r="G28">
        <v>-94.9</v>
      </c>
      <c r="H28">
        <v>99.8</v>
      </c>
      <c r="I28" s="70">
        <v>0.42753472222222227</v>
      </c>
      <c r="J28" t="s">
        <v>237</v>
      </c>
    </row>
    <row r="29" spans="1:10" x14ac:dyDescent="0.3">
      <c r="A29" t="str">
        <f t="shared" si="0"/>
        <v>Reference sensitivity levelPORT28</v>
      </c>
      <c r="B29" t="s">
        <v>194</v>
      </c>
      <c r="C29" t="s">
        <v>138</v>
      </c>
      <c r="D29">
        <v>-94.9</v>
      </c>
      <c r="F29">
        <v>-95</v>
      </c>
      <c r="G29">
        <v>-94.9</v>
      </c>
      <c r="H29">
        <v>99.8</v>
      </c>
      <c r="I29" s="70">
        <v>0.42800925925925926</v>
      </c>
      <c r="J29" t="s">
        <v>237</v>
      </c>
    </row>
    <row r="30" spans="1:10" x14ac:dyDescent="0.3">
      <c r="A30" t="str">
        <f t="shared" si="0"/>
        <v>Reference sensitivity levelPORT29</v>
      </c>
      <c r="B30" t="s">
        <v>195</v>
      </c>
      <c r="C30" t="s">
        <v>138</v>
      </c>
      <c r="D30">
        <v>-94.9</v>
      </c>
      <c r="F30">
        <v>-95</v>
      </c>
      <c r="G30">
        <v>-94.9</v>
      </c>
      <c r="H30">
        <v>99.8</v>
      </c>
      <c r="I30" s="70">
        <v>0.42848379629629635</v>
      </c>
      <c r="J30" t="s">
        <v>237</v>
      </c>
    </row>
    <row r="31" spans="1:10" x14ac:dyDescent="0.3">
      <c r="A31" t="str">
        <f t="shared" si="0"/>
        <v>Reference sensitivity levelPORT30</v>
      </c>
      <c r="B31" t="s">
        <v>196</v>
      </c>
      <c r="C31" t="s">
        <v>138</v>
      </c>
      <c r="D31">
        <v>-94.9</v>
      </c>
      <c r="F31">
        <v>-95</v>
      </c>
      <c r="G31">
        <v>-94.9</v>
      </c>
      <c r="H31">
        <v>99.8</v>
      </c>
      <c r="I31" s="70">
        <v>0.42895833333333333</v>
      </c>
      <c r="J31" t="s">
        <v>237</v>
      </c>
    </row>
    <row r="32" spans="1:10" x14ac:dyDescent="0.3">
      <c r="A32" t="str">
        <f t="shared" si="0"/>
        <v>Reference sensitivity levelPORT31</v>
      </c>
      <c r="B32" t="s">
        <v>197</v>
      </c>
      <c r="C32" t="s">
        <v>138</v>
      </c>
      <c r="D32">
        <v>-94.9</v>
      </c>
      <c r="F32">
        <v>-95</v>
      </c>
      <c r="G32">
        <v>-94.9</v>
      </c>
      <c r="H32">
        <v>99.8</v>
      </c>
      <c r="I32" s="70">
        <v>0.42943287037037042</v>
      </c>
      <c r="J32" t="s">
        <v>237</v>
      </c>
    </row>
    <row r="33" spans="1:10" x14ac:dyDescent="0.3">
      <c r="A33" t="str">
        <f t="shared" si="0"/>
        <v>Reference sensitivity levelPORT32</v>
      </c>
      <c r="B33" t="s">
        <v>198</v>
      </c>
      <c r="C33" t="s">
        <v>138</v>
      </c>
      <c r="D33">
        <v>-94.9</v>
      </c>
      <c r="F33">
        <v>-95</v>
      </c>
      <c r="G33">
        <v>-94.9</v>
      </c>
      <c r="H33">
        <v>99.8</v>
      </c>
      <c r="I33" s="70">
        <v>0.4299074074074074</v>
      </c>
      <c r="J33" t="s">
        <v>237</v>
      </c>
    </row>
    <row r="34" spans="1:10" x14ac:dyDescent="0.3">
      <c r="A34" t="str">
        <f t="shared" si="0"/>
        <v>Dynamic rangePORT1</v>
      </c>
      <c r="B34" t="s">
        <v>57</v>
      </c>
      <c r="C34" t="s">
        <v>266</v>
      </c>
      <c r="D34">
        <v>-69.099999999999994</v>
      </c>
      <c r="F34">
        <v>-67.099999999999994</v>
      </c>
      <c r="H34">
        <v>98.9</v>
      </c>
    </row>
    <row r="35" spans="1:10" x14ac:dyDescent="0.3">
      <c r="A35" t="str">
        <f t="shared" si="0"/>
        <v>Dynamic rangePORT2</v>
      </c>
      <c r="B35" t="s">
        <v>59</v>
      </c>
      <c r="C35" t="s">
        <v>266</v>
      </c>
      <c r="D35">
        <v>-69.099999999999994</v>
      </c>
      <c r="F35">
        <v>-67.099999999999994</v>
      </c>
      <c r="H35">
        <v>99.8</v>
      </c>
    </row>
    <row r="36" spans="1:10" x14ac:dyDescent="0.3">
      <c r="A36" t="str">
        <f t="shared" si="0"/>
        <v>Dynamic rangePORT3</v>
      </c>
      <c r="B36" t="s">
        <v>60</v>
      </c>
      <c r="C36" t="s">
        <v>266</v>
      </c>
      <c r="D36">
        <v>-69.099999999999994</v>
      </c>
      <c r="F36">
        <v>-67.099999999999994</v>
      </c>
      <c r="H36">
        <v>99.8</v>
      </c>
    </row>
    <row r="37" spans="1:10" x14ac:dyDescent="0.3">
      <c r="A37" t="str">
        <f t="shared" si="0"/>
        <v>Dynamic rangePORT4</v>
      </c>
      <c r="B37" t="s">
        <v>61</v>
      </c>
      <c r="C37" t="s">
        <v>266</v>
      </c>
      <c r="D37">
        <v>-69.099999999999994</v>
      </c>
      <c r="F37">
        <v>-67.099999999999994</v>
      </c>
      <c r="H37">
        <v>99.8</v>
      </c>
    </row>
    <row r="38" spans="1:10" x14ac:dyDescent="0.3">
      <c r="A38" t="str">
        <f t="shared" si="0"/>
        <v>Dynamic rangePORT5</v>
      </c>
      <c r="B38" t="s">
        <v>62</v>
      </c>
      <c r="C38" t="s">
        <v>266</v>
      </c>
      <c r="D38">
        <v>-69.099999999999994</v>
      </c>
      <c r="F38">
        <v>-67.099999999999994</v>
      </c>
      <c r="H38">
        <v>99.8</v>
      </c>
    </row>
    <row r="39" spans="1:10" x14ac:dyDescent="0.3">
      <c r="A39" t="str">
        <f t="shared" si="0"/>
        <v>Dynamic rangePORT6</v>
      </c>
      <c r="B39" t="s">
        <v>63</v>
      </c>
      <c r="C39" t="s">
        <v>266</v>
      </c>
      <c r="D39">
        <v>-69.099999999999994</v>
      </c>
      <c r="F39">
        <v>-67.099999999999994</v>
      </c>
      <c r="H39">
        <v>99.8</v>
      </c>
    </row>
    <row r="40" spans="1:10" x14ac:dyDescent="0.3">
      <c r="A40" t="str">
        <f t="shared" si="0"/>
        <v>Dynamic rangePORT7</v>
      </c>
      <c r="B40" t="s">
        <v>64</v>
      </c>
      <c r="C40" t="s">
        <v>266</v>
      </c>
      <c r="D40">
        <v>-69.099999999999994</v>
      </c>
      <c r="F40">
        <v>-67.099999999999994</v>
      </c>
      <c r="H40">
        <v>99.8</v>
      </c>
    </row>
    <row r="41" spans="1:10" x14ac:dyDescent="0.3">
      <c r="A41" t="str">
        <f t="shared" si="0"/>
        <v>Dynamic rangePORT8</v>
      </c>
      <c r="B41" t="s">
        <v>65</v>
      </c>
      <c r="C41" t="s">
        <v>266</v>
      </c>
      <c r="D41">
        <v>-69.099999999999994</v>
      </c>
      <c r="F41">
        <v>-67.099999999999994</v>
      </c>
      <c r="H41">
        <v>99.8</v>
      </c>
    </row>
    <row r="42" spans="1:10" x14ac:dyDescent="0.3">
      <c r="A42" t="str">
        <f t="shared" si="0"/>
        <v>Dynamic rangePORT9</v>
      </c>
      <c r="B42" t="s">
        <v>175</v>
      </c>
      <c r="C42" t="s">
        <v>266</v>
      </c>
      <c r="D42">
        <v>-69.099999999999994</v>
      </c>
      <c r="F42">
        <v>-67.099999999999994</v>
      </c>
      <c r="H42">
        <v>98.9</v>
      </c>
    </row>
    <row r="43" spans="1:10" x14ac:dyDescent="0.3">
      <c r="A43" t="str">
        <f t="shared" si="0"/>
        <v>Dynamic rangePORT10</v>
      </c>
      <c r="B43" t="s">
        <v>176</v>
      </c>
      <c r="C43" t="s">
        <v>266</v>
      </c>
      <c r="D43">
        <v>-69.099999999999994</v>
      </c>
      <c r="F43">
        <v>-67.099999999999994</v>
      </c>
      <c r="H43">
        <v>99.8</v>
      </c>
    </row>
    <row r="44" spans="1:10" x14ac:dyDescent="0.3">
      <c r="A44" t="str">
        <f t="shared" si="0"/>
        <v>Dynamic rangePORT11</v>
      </c>
      <c r="B44" t="s">
        <v>177</v>
      </c>
      <c r="C44" t="s">
        <v>266</v>
      </c>
      <c r="D44">
        <v>-69.099999999999994</v>
      </c>
      <c r="F44">
        <v>-67.099999999999994</v>
      </c>
      <c r="H44">
        <v>99.8</v>
      </c>
    </row>
    <row r="45" spans="1:10" x14ac:dyDescent="0.3">
      <c r="A45" t="str">
        <f t="shared" si="0"/>
        <v>Dynamic rangePORT12</v>
      </c>
      <c r="B45" t="s">
        <v>178</v>
      </c>
      <c r="C45" t="s">
        <v>266</v>
      </c>
      <c r="D45">
        <v>-69.099999999999994</v>
      </c>
      <c r="F45">
        <v>-67.099999999999994</v>
      </c>
      <c r="H45">
        <v>99.8</v>
      </c>
    </row>
    <row r="46" spans="1:10" x14ac:dyDescent="0.3">
      <c r="A46" t="str">
        <f t="shared" si="0"/>
        <v>Dynamic rangePORT13</v>
      </c>
      <c r="B46" t="s">
        <v>179</v>
      </c>
      <c r="C46" t="s">
        <v>266</v>
      </c>
      <c r="D46">
        <v>-69.099999999999994</v>
      </c>
      <c r="F46">
        <v>-67.099999999999994</v>
      </c>
      <c r="H46">
        <v>7.6</v>
      </c>
    </row>
    <row r="47" spans="1:10" x14ac:dyDescent="0.3">
      <c r="A47" t="str">
        <f t="shared" si="0"/>
        <v>Dynamic rangePORT14</v>
      </c>
      <c r="B47" t="s">
        <v>180</v>
      </c>
      <c r="C47" t="s">
        <v>266</v>
      </c>
      <c r="D47">
        <v>-69.099999999999994</v>
      </c>
      <c r="F47">
        <v>-67.099999999999994</v>
      </c>
      <c r="H47">
        <v>99.8</v>
      </c>
    </row>
    <row r="48" spans="1:10" x14ac:dyDescent="0.3">
      <c r="A48" t="str">
        <f t="shared" si="0"/>
        <v>Dynamic rangePORT15</v>
      </c>
      <c r="B48" t="s">
        <v>181</v>
      </c>
      <c r="C48" t="s">
        <v>266</v>
      </c>
      <c r="D48">
        <v>-69.099999999999994</v>
      </c>
      <c r="F48">
        <v>-67.099999999999994</v>
      </c>
      <c r="H48">
        <v>99.8</v>
      </c>
    </row>
    <row r="49" spans="1:8" x14ac:dyDescent="0.3">
      <c r="A49" t="str">
        <f t="shared" si="0"/>
        <v>Dynamic rangePORT16</v>
      </c>
      <c r="B49" t="s">
        <v>182</v>
      </c>
      <c r="C49" t="s">
        <v>266</v>
      </c>
      <c r="D49">
        <v>-69.099999999999994</v>
      </c>
      <c r="F49">
        <v>-67.099999999999994</v>
      </c>
      <c r="H49">
        <v>0</v>
      </c>
    </row>
    <row r="50" spans="1:8" x14ac:dyDescent="0.3">
      <c r="A50" t="str">
        <f t="shared" si="0"/>
        <v>Dynamic rangePORT17</v>
      </c>
      <c r="B50" t="s">
        <v>183</v>
      </c>
      <c r="C50" t="s">
        <v>266</v>
      </c>
      <c r="D50">
        <v>-69.099999999999994</v>
      </c>
      <c r="F50">
        <v>-67.099999999999994</v>
      </c>
      <c r="H50">
        <v>98.9</v>
      </c>
    </row>
    <row r="51" spans="1:8" x14ac:dyDescent="0.3">
      <c r="A51" t="str">
        <f t="shared" si="0"/>
        <v>Dynamic rangePORT18</v>
      </c>
      <c r="B51" t="s">
        <v>184</v>
      </c>
      <c r="C51" t="s">
        <v>266</v>
      </c>
      <c r="D51">
        <v>-69.099999999999994</v>
      </c>
      <c r="F51">
        <v>-67.099999999999994</v>
      </c>
      <c r="H51">
        <v>99.8</v>
      </c>
    </row>
    <row r="52" spans="1:8" x14ac:dyDescent="0.3">
      <c r="A52" t="str">
        <f t="shared" si="0"/>
        <v>Dynamic rangePORT19</v>
      </c>
      <c r="B52" t="s">
        <v>185</v>
      </c>
      <c r="C52" t="s">
        <v>266</v>
      </c>
      <c r="D52">
        <v>-69.099999999999994</v>
      </c>
      <c r="F52">
        <v>-67.099999999999994</v>
      </c>
      <c r="H52">
        <v>99.8</v>
      </c>
    </row>
    <row r="53" spans="1:8" x14ac:dyDescent="0.3">
      <c r="A53" t="str">
        <f t="shared" si="0"/>
        <v>Dynamic rangePORT20</v>
      </c>
      <c r="B53" t="s">
        <v>186</v>
      </c>
      <c r="C53" t="s">
        <v>266</v>
      </c>
      <c r="D53">
        <v>-69.099999999999994</v>
      </c>
      <c r="F53">
        <v>-67.099999999999994</v>
      </c>
      <c r="H53">
        <v>99.8</v>
      </c>
    </row>
    <row r="54" spans="1:8" x14ac:dyDescent="0.3">
      <c r="A54" t="str">
        <f t="shared" si="0"/>
        <v>Dynamic rangePORT21</v>
      </c>
      <c r="B54" t="s">
        <v>187</v>
      </c>
      <c r="C54" t="s">
        <v>266</v>
      </c>
      <c r="D54">
        <v>-69.099999999999994</v>
      </c>
      <c r="F54">
        <v>-67.099999999999994</v>
      </c>
      <c r="H54">
        <v>99.8</v>
      </c>
    </row>
    <row r="55" spans="1:8" x14ac:dyDescent="0.3">
      <c r="A55" t="str">
        <f t="shared" si="0"/>
        <v>Dynamic rangePORT22</v>
      </c>
      <c r="B55" t="s">
        <v>188</v>
      </c>
      <c r="C55" t="s">
        <v>266</v>
      </c>
      <c r="D55">
        <v>-69.099999999999994</v>
      </c>
      <c r="F55">
        <v>-67.099999999999994</v>
      </c>
      <c r="H55">
        <v>99.8</v>
      </c>
    </row>
    <row r="56" spans="1:8" x14ac:dyDescent="0.3">
      <c r="A56" t="str">
        <f t="shared" si="0"/>
        <v>Dynamic rangePORT23</v>
      </c>
      <c r="B56" t="s">
        <v>189</v>
      </c>
      <c r="C56" t="s">
        <v>266</v>
      </c>
      <c r="D56">
        <v>-69.099999999999994</v>
      </c>
      <c r="F56">
        <v>-67.099999999999994</v>
      </c>
      <c r="H56">
        <v>99.8</v>
      </c>
    </row>
    <row r="57" spans="1:8" x14ac:dyDescent="0.3">
      <c r="A57" t="str">
        <f t="shared" si="0"/>
        <v>Dynamic rangePORT24</v>
      </c>
      <c r="B57" t="s">
        <v>190</v>
      </c>
      <c r="C57" t="s">
        <v>266</v>
      </c>
      <c r="D57">
        <v>-69.099999999999994</v>
      </c>
      <c r="F57">
        <v>-67.099999999999994</v>
      </c>
      <c r="H57">
        <v>99.2</v>
      </c>
    </row>
    <row r="58" spans="1:8" x14ac:dyDescent="0.3">
      <c r="A58" t="str">
        <f t="shared" si="0"/>
        <v>Dynamic rangePORT25</v>
      </c>
      <c r="B58" t="s">
        <v>191</v>
      </c>
      <c r="C58" t="s">
        <v>266</v>
      </c>
      <c r="D58">
        <v>-69.099999999999994</v>
      </c>
      <c r="F58">
        <v>-67.099999999999994</v>
      </c>
      <c r="H58">
        <v>98.9</v>
      </c>
    </row>
    <row r="59" spans="1:8" x14ac:dyDescent="0.3">
      <c r="A59" t="str">
        <f t="shared" si="0"/>
        <v>Dynamic rangePORT26</v>
      </c>
      <c r="B59" t="s">
        <v>192</v>
      </c>
      <c r="C59" t="s">
        <v>266</v>
      </c>
      <c r="D59">
        <v>-69.099999999999994</v>
      </c>
      <c r="F59">
        <v>-67.099999999999994</v>
      </c>
      <c r="H59">
        <v>99.8</v>
      </c>
    </row>
    <row r="60" spans="1:8" x14ac:dyDescent="0.3">
      <c r="A60" t="str">
        <f t="shared" si="0"/>
        <v>Dynamic rangePORT27</v>
      </c>
      <c r="B60" t="s">
        <v>193</v>
      </c>
      <c r="C60" t="s">
        <v>266</v>
      </c>
      <c r="D60">
        <v>-69.099999999999994</v>
      </c>
      <c r="F60">
        <v>-67.099999999999994</v>
      </c>
      <c r="H60">
        <v>99.8</v>
      </c>
    </row>
    <row r="61" spans="1:8" x14ac:dyDescent="0.3">
      <c r="A61" t="str">
        <f t="shared" si="0"/>
        <v>Dynamic rangePORT28</v>
      </c>
      <c r="B61" t="s">
        <v>194</v>
      </c>
      <c r="C61" t="s">
        <v>266</v>
      </c>
      <c r="D61">
        <v>-69.099999999999994</v>
      </c>
      <c r="F61">
        <v>-67.099999999999994</v>
      </c>
      <c r="H61">
        <v>99.8</v>
      </c>
    </row>
    <row r="62" spans="1:8" x14ac:dyDescent="0.3">
      <c r="A62" t="str">
        <f t="shared" si="0"/>
        <v>Dynamic rangePORT29</v>
      </c>
      <c r="B62" t="s">
        <v>195</v>
      </c>
      <c r="C62" t="s">
        <v>266</v>
      </c>
      <c r="D62">
        <v>-69.099999999999994</v>
      </c>
      <c r="F62">
        <v>-67.099999999999994</v>
      </c>
      <c r="H62">
        <v>99.8</v>
      </c>
    </row>
    <row r="63" spans="1:8" x14ac:dyDescent="0.3">
      <c r="A63" t="str">
        <f t="shared" si="0"/>
        <v>Dynamic rangePORT30</v>
      </c>
      <c r="B63" t="s">
        <v>196</v>
      </c>
      <c r="C63" t="s">
        <v>266</v>
      </c>
      <c r="D63">
        <v>-69.099999999999994</v>
      </c>
      <c r="F63">
        <v>-67.099999999999994</v>
      </c>
      <c r="H63">
        <v>99.8</v>
      </c>
    </row>
    <row r="64" spans="1:8" x14ac:dyDescent="0.3">
      <c r="A64" t="str">
        <f t="shared" si="0"/>
        <v>Dynamic rangePORT31</v>
      </c>
      <c r="B64" t="s">
        <v>197</v>
      </c>
      <c r="C64" t="s">
        <v>266</v>
      </c>
      <c r="D64">
        <v>-69.099999999999994</v>
      </c>
      <c r="F64">
        <v>-67.099999999999994</v>
      </c>
      <c r="H64">
        <v>99.8</v>
      </c>
    </row>
    <row r="65" spans="1:8" x14ac:dyDescent="0.3">
      <c r="A65" t="str">
        <f t="shared" si="0"/>
        <v>Dynamic rangePORT32</v>
      </c>
      <c r="B65" t="s">
        <v>198</v>
      </c>
      <c r="C65" t="s">
        <v>266</v>
      </c>
      <c r="D65">
        <v>-69.099999999999994</v>
      </c>
      <c r="F65">
        <v>-67.099999999999994</v>
      </c>
      <c r="H65">
        <v>99.8</v>
      </c>
    </row>
    <row r="66" spans="1:8" x14ac:dyDescent="0.3">
      <c r="A66" t="str">
        <f t="shared" si="0"/>
        <v>Adjacent chanel selectivityPORT1</v>
      </c>
      <c r="B66" t="s">
        <v>57</v>
      </c>
      <c r="C66" t="s">
        <v>267</v>
      </c>
      <c r="D66">
        <v>-52</v>
      </c>
      <c r="F66">
        <v>-47</v>
      </c>
      <c r="H66">
        <v>98.9</v>
      </c>
    </row>
    <row r="67" spans="1:8" x14ac:dyDescent="0.3">
      <c r="A67" t="str">
        <f t="shared" ref="A67:A130" si="1">C67&amp;B67</f>
        <v>Adjacent chanel selectivityPORT2</v>
      </c>
      <c r="B67" t="s">
        <v>59</v>
      </c>
      <c r="C67" t="s">
        <v>267</v>
      </c>
      <c r="D67">
        <v>-52</v>
      </c>
      <c r="F67">
        <v>-47</v>
      </c>
      <c r="H67">
        <v>99.8</v>
      </c>
    </row>
    <row r="68" spans="1:8" x14ac:dyDescent="0.3">
      <c r="A68" t="str">
        <f t="shared" si="1"/>
        <v>Adjacent chanel selectivityPORT3</v>
      </c>
      <c r="B68" t="s">
        <v>60</v>
      </c>
      <c r="C68" t="s">
        <v>267</v>
      </c>
      <c r="D68">
        <v>-52</v>
      </c>
      <c r="F68">
        <v>-47</v>
      </c>
      <c r="H68">
        <v>99.8</v>
      </c>
    </row>
    <row r="69" spans="1:8" x14ac:dyDescent="0.3">
      <c r="A69" t="str">
        <f t="shared" si="1"/>
        <v>Adjacent chanel selectivityPORT4</v>
      </c>
      <c r="B69" t="s">
        <v>61</v>
      </c>
      <c r="C69" t="s">
        <v>267</v>
      </c>
      <c r="D69">
        <v>-52</v>
      </c>
      <c r="F69">
        <v>-47</v>
      </c>
      <c r="H69">
        <v>99.8</v>
      </c>
    </row>
    <row r="70" spans="1:8" x14ac:dyDescent="0.3">
      <c r="A70" t="str">
        <f t="shared" si="1"/>
        <v>Adjacent chanel selectivityPORT5</v>
      </c>
      <c r="B70" t="s">
        <v>62</v>
      </c>
      <c r="C70" t="s">
        <v>267</v>
      </c>
      <c r="D70">
        <v>-52</v>
      </c>
      <c r="F70">
        <v>-47</v>
      </c>
      <c r="H70">
        <v>99.8</v>
      </c>
    </row>
    <row r="71" spans="1:8" x14ac:dyDescent="0.3">
      <c r="A71" t="str">
        <f t="shared" si="1"/>
        <v>Adjacent chanel selectivityPORT6</v>
      </c>
      <c r="B71" t="s">
        <v>63</v>
      </c>
      <c r="C71" t="s">
        <v>267</v>
      </c>
      <c r="D71">
        <v>-52</v>
      </c>
      <c r="F71">
        <v>-47</v>
      </c>
      <c r="H71">
        <v>99.8</v>
      </c>
    </row>
    <row r="72" spans="1:8" x14ac:dyDescent="0.3">
      <c r="A72" t="str">
        <f t="shared" si="1"/>
        <v>Adjacent chanel selectivityPORT7</v>
      </c>
      <c r="B72" t="s">
        <v>64</v>
      </c>
      <c r="C72" t="s">
        <v>267</v>
      </c>
      <c r="D72">
        <v>-52</v>
      </c>
      <c r="F72">
        <v>-47</v>
      </c>
      <c r="H72">
        <v>99.8</v>
      </c>
    </row>
    <row r="73" spans="1:8" x14ac:dyDescent="0.3">
      <c r="A73" t="str">
        <f t="shared" si="1"/>
        <v>Adjacent chanel selectivityPORT8</v>
      </c>
      <c r="B73" t="s">
        <v>65</v>
      </c>
      <c r="C73" t="s">
        <v>267</v>
      </c>
      <c r="D73">
        <v>-52</v>
      </c>
      <c r="F73">
        <v>-47</v>
      </c>
      <c r="H73">
        <v>99.8</v>
      </c>
    </row>
    <row r="74" spans="1:8" x14ac:dyDescent="0.3">
      <c r="A74" t="str">
        <f t="shared" si="1"/>
        <v>Adjacent chanel selectivityPORT9</v>
      </c>
      <c r="B74" t="s">
        <v>175</v>
      </c>
      <c r="C74" t="s">
        <v>267</v>
      </c>
      <c r="D74">
        <v>-52</v>
      </c>
      <c r="F74">
        <v>-47</v>
      </c>
      <c r="H74">
        <v>98.9</v>
      </c>
    </row>
    <row r="75" spans="1:8" x14ac:dyDescent="0.3">
      <c r="A75" t="str">
        <f t="shared" si="1"/>
        <v>Adjacent chanel selectivityPORT10</v>
      </c>
      <c r="B75" t="s">
        <v>176</v>
      </c>
      <c r="C75" t="s">
        <v>267</v>
      </c>
      <c r="D75">
        <v>-52</v>
      </c>
      <c r="F75">
        <v>-47</v>
      </c>
      <c r="H75">
        <v>99.8</v>
      </c>
    </row>
    <row r="76" spans="1:8" x14ac:dyDescent="0.3">
      <c r="A76" t="str">
        <f t="shared" si="1"/>
        <v>Adjacent chanel selectivityPORT11</v>
      </c>
      <c r="B76" t="s">
        <v>177</v>
      </c>
      <c r="C76" t="s">
        <v>267</v>
      </c>
      <c r="D76">
        <v>-52</v>
      </c>
      <c r="F76">
        <v>-47</v>
      </c>
      <c r="H76">
        <v>99.8</v>
      </c>
    </row>
    <row r="77" spans="1:8" x14ac:dyDescent="0.3">
      <c r="A77" t="str">
        <f t="shared" si="1"/>
        <v>Adjacent chanel selectivityPORT12</v>
      </c>
      <c r="B77" t="s">
        <v>178</v>
      </c>
      <c r="C77" t="s">
        <v>267</v>
      </c>
      <c r="D77">
        <v>-52</v>
      </c>
      <c r="F77">
        <v>-47</v>
      </c>
      <c r="H77">
        <v>99.8</v>
      </c>
    </row>
    <row r="78" spans="1:8" x14ac:dyDescent="0.3">
      <c r="A78" t="str">
        <f t="shared" si="1"/>
        <v>Adjacent chanel selectivityPORT13</v>
      </c>
      <c r="B78" t="s">
        <v>179</v>
      </c>
      <c r="C78" t="s">
        <v>267</v>
      </c>
      <c r="D78">
        <v>-52</v>
      </c>
      <c r="F78">
        <v>-47</v>
      </c>
      <c r="H78">
        <v>7.6</v>
      </c>
    </row>
    <row r="79" spans="1:8" x14ac:dyDescent="0.3">
      <c r="A79" t="str">
        <f t="shared" si="1"/>
        <v>Adjacent chanel selectivityPORT14</v>
      </c>
      <c r="B79" t="s">
        <v>180</v>
      </c>
      <c r="C79" t="s">
        <v>267</v>
      </c>
      <c r="D79">
        <v>-52</v>
      </c>
      <c r="F79">
        <v>-47</v>
      </c>
      <c r="H79">
        <v>99.8</v>
      </c>
    </row>
    <row r="80" spans="1:8" x14ac:dyDescent="0.3">
      <c r="A80" t="str">
        <f t="shared" si="1"/>
        <v>Adjacent chanel selectivityPORT15</v>
      </c>
      <c r="B80" t="s">
        <v>181</v>
      </c>
      <c r="C80" t="s">
        <v>267</v>
      </c>
      <c r="D80">
        <v>-52</v>
      </c>
      <c r="F80">
        <v>-47</v>
      </c>
      <c r="H80">
        <v>99.8</v>
      </c>
    </row>
    <row r="81" spans="1:8" x14ac:dyDescent="0.3">
      <c r="A81" t="str">
        <f t="shared" si="1"/>
        <v>Adjacent chanel selectivityPORT16</v>
      </c>
      <c r="B81" t="s">
        <v>182</v>
      </c>
      <c r="C81" t="s">
        <v>267</v>
      </c>
      <c r="D81">
        <v>-52</v>
      </c>
      <c r="F81">
        <v>-47</v>
      </c>
      <c r="H81">
        <v>0</v>
      </c>
    </row>
    <row r="82" spans="1:8" x14ac:dyDescent="0.3">
      <c r="A82" t="str">
        <f t="shared" si="1"/>
        <v>Adjacent chanel selectivityPORT17</v>
      </c>
      <c r="B82" t="s">
        <v>183</v>
      </c>
      <c r="C82" t="s">
        <v>267</v>
      </c>
      <c r="D82">
        <v>-52</v>
      </c>
      <c r="F82">
        <v>-47</v>
      </c>
      <c r="H82">
        <v>98.9</v>
      </c>
    </row>
    <row r="83" spans="1:8" x14ac:dyDescent="0.3">
      <c r="A83" t="str">
        <f t="shared" si="1"/>
        <v>Adjacent chanel selectivityPORT18</v>
      </c>
      <c r="B83" t="s">
        <v>184</v>
      </c>
      <c r="C83" t="s">
        <v>267</v>
      </c>
      <c r="D83">
        <v>-52</v>
      </c>
      <c r="F83">
        <v>-47</v>
      </c>
      <c r="H83">
        <v>99.8</v>
      </c>
    </row>
    <row r="84" spans="1:8" x14ac:dyDescent="0.3">
      <c r="A84" t="str">
        <f t="shared" si="1"/>
        <v>Adjacent chanel selectivityPORT19</v>
      </c>
      <c r="B84" t="s">
        <v>185</v>
      </c>
      <c r="C84" t="s">
        <v>267</v>
      </c>
      <c r="D84">
        <v>-52</v>
      </c>
      <c r="F84">
        <v>-47</v>
      </c>
      <c r="H84">
        <v>99.8</v>
      </c>
    </row>
    <row r="85" spans="1:8" x14ac:dyDescent="0.3">
      <c r="A85" t="str">
        <f t="shared" si="1"/>
        <v>Adjacent chanel selectivityPORT20</v>
      </c>
      <c r="B85" t="s">
        <v>186</v>
      </c>
      <c r="C85" t="s">
        <v>267</v>
      </c>
      <c r="D85">
        <v>-52</v>
      </c>
      <c r="F85">
        <v>-47</v>
      </c>
      <c r="H85">
        <v>99.8</v>
      </c>
    </row>
    <row r="86" spans="1:8" x14ac:dyDescent="0.3">
      <c r="A86" t="str">
        <f t="shared" si="1"/>
        <v>Adjacent chanel selectivityPORT21</v>
      </c>
      <c r="B86" t="s">
        <v>187</v>
      </c>
      <c r="C86" t="s">
        <v>267</v>
      </c>
      <c r="D86">
        <v>-52</v>
      </c>
      <c r="F86">
        <v>-47</v>
      </c>
      <c r="H86">
        <v>99.8</v>
      </c>
    </row>
    <row r="87" spans="1:8" x14ac:dyDescent="0.3">
      <c r="A87" t="str">
        <f t="shared" si="1"/>
        <v>Adjacent chanel selectivityPORT22</v>
      </c>
      <c r="B87" t="s">
        <v>188</v>
      </c>
      <c r="C87" t="s">
        <v>267</v>
      </c>
      <c r="D87">
        <v>-52</v>
      </c>
      <c r="F87">
        <v>-47</v>
      </c>
      <c r="H87">
        <v>99.8</v>
      </c>
    </row>
    <row r="88" spans="1:8" x14ac:dyDescent="0.3">
      <c r="A88" t="str">
        <f t="shared" si="1"/>
        <v>Adjacent chanel selectivityPORT23</v>
      </c>
      <c r="B88" t="s">
        <v>189</v>
      </c>
      <c r="C88" t="s">
        <v>267</v>
      </c>
      <c r="D88">
        <v>-52</v>
      </c>
      <c r="F88">
        <v>-47</v>
      </c>
      <c r="H88">
        <v>99.8</v>
      </c>
    </row>
    <row r="89" spans="1:8" x14ac:dyDescent="0.3">
      <c r="A89" t="str">
        <f t="shared" si="1"/>
        <v>Adjacent chanel selectivityPORT24</v>
      </c>
      <c r="B89" t="s">
        <v>190</v>
      </c>
      <c r="C89" t="s">
        <v>267</v>
      </c>
      <c r="D89">
        <v>-52</v>
      </c>
      <c r="F89">
        <v>-47</v>
      </c>
      <c r="H89">
        <v>99.2</v>
      </c>
    </row>
    <row r="90" spans="1:8" x14ac:dyDescent="0.3">
      <c r="A90" t="str">
        <f t="shared" si="1"/>
        <v>Adjacent chanel selectivityPORT25</v>
      </c>
      <c r="B90" t="s">
        <v>191</v>
      </c>
      <c r="C90" t="s">
        <v>267</v>
      </c>
      <c r="D90">
        <v>-52</v>
      </c>
      <c r="F90">
        <v>-47</v>
      </c>
      <c r="H90">
        <v>98.9</v>
      </c>
    </row>
    <row r="91" spans="1:8" x14ac:dyDescent="0.3">
      <c r="A91" t="str">
        <f t="shared" si="1"/>
        <v>Adjacent chanel selectivityPORT26</v>
      </c>
      <c r="B91" t="s">
        <v>192</v>
      </c>
      <c r="C91" t="s">
        <v>267</v>
      </c>
      <c r="D91">
        <v>-52</v>
      </c>
      <c r="F91">
        <v>-47</v>
      </c>
      <c r="H91">
        <v>99.8</v>
      </c>
    </row>
    <row r="92" spans="1:8" x14ac:dyDescent="0.3">
      <c r="A92" t="str">
        <f t="shared" si="1"/>
        <v>Adjacent chanel selectivityPORT27</v>
      </c>
      <c r="B92" t="s">
        <v>193</v>
      </c>
      <c r="C92" t="s">
        <v>267</v>
      </c>
      <c r="D92">
        <v>-52</v>
      </c>
      <c r="F92">
        <v>-47</v>
      </c>
      <c r="H92">
        <v>99.8</v>
      </c>
    </row>
    <row r="93" spans="1:8" x14ac:dyDescent="0.3">
      <c r="A93" t="str">
        <f t="shared" si="1"/>
        <v>Adjacent chanel selectivityPORT28</v>
      </c>
      <c r="B93" t="s">
        <v>194</v>
      </c>
      <c r="C93" t="s">
        <v>267</v>
      </c>
      <c r="D93">
        <v>-52</v>
      </c>
      <c r="F93">
        <v>-47</v>
      </c>
      <c r="H93">
        <v>99.8</v>
      </c>
    </row>
    <row r="94" spans="1:8" x14ac:dyDescent="0.3">
      <c r="A94" t="str">
        <f t="shared" si="1"/>
        <v>Adjacent chanel selectivityPORT29</v>
      </c>
      <c r="B94" t="s">
        <v>195</v>
      </c>
      <c r="C94" t="s">
        <v>267</v>
      </c>
      <c r="D94">
        <v>-52</v>
      </c>
      <c r="F94">
        <v>-47</v>
      </c>
      <c r="H94">
        <v>99.8</v>
      </c>
    </row>
    <row r="95" spans="1:8" x14ac:dyDescent="0.3">
      <c r="A95" t="str">
        <f t="shared" si="1"/>
        <v>Adjacent chanel selectivityPORT30</v>
      </c>
      <c r="B95" t="s">
        <v>196</v>
      </c>
      <c r="C95" t="s">
        <v>267</v>
      </c>
      <c r="D95">
        <v>-52</v>
      </c>
      <c r="F95">
        <v>-47</v>
      </c>
      <c r="H95">
        <v>99.8</v>
      </c>
    </row>
    <row r="96" spans="1:8" x14ac:dyDescent="0.3">
      <c r="A96" t="str">
        <f t="shared" si="1"/>
        <v>Adjacent chanel selectivityPORT31</v>
      </c>
      <c r="B96" t="s">
        <v>197</v>
      </c>
      <c r="C96" t="s">
        <v>267</v>
      </c>
      <c r="D96">
        <v>-52</v>
      </c>
      <c r="F96">
        <v>-47</v>
      </c>
      <c r="H96">
        <v>99.8</v>
      </c>
    </row>
    <row r="97" spans="1:8" x14ac:dyDescent="0.3">
      <c r="A97" t="str">
        <f t="shared" si="1"/>
        <v>Adjacent chanel selectivityPORT32</v>
      </c>
      <c r="B97" t="s">
        <v>198</v>
      </c>
      <c r="C97" t="s">
        <v>267</v>
      </c>
      <c r="D97">
        <v>-52</v>
      </c>
      <c r="F97">
        <v>-47</v>
      </c>
      <c r="H97">
        <v>99.8</v>
      </c>
    </row>
    <row r="98" spans="1:8" x14ac:dyDescent="0.3">
      <c r="A98" t="str">
        <f t="shared" si="1"/>
        <v>In-band blockingPORT1</v>
      </c>
      <c r="B98" t="s">
        <v>57</v>
      </c>
      <c r="C98" t="s">
        <v>148</v>
      </c>
      <c r="D98">
        <v>-43</v>
      </c>
      <c r="F98">
        <v>-38</v>
      </c>
      <c r="H98">
        <v>98.9</v>
      </c>
    </row>
    <row r="99" spans="1:8" x14ac:dyDescent="0.3">
      <c r="A99" t="str">
        <f t="shared" si="1"/>
        <v>In-band blockingPORT2</v>
      </c>
      <c r="B99" t="s">
        <v>59</v>
      </c>
      <c r="C99" t="s">
        <v>148</v>
      </c>
      <c r="D99">
        <v>-43</v>
      </c>
      <c r="F99">
        <v>-38</v>
      </c>
      <c r="H99">
        <v>99.8</v>
      </c>
    </row>
    <row r="100" spans="1:8" x14ac:dyDescent="0.3">
      <c r="A100" t="str">
        <f t="shared" si="1"/>
        <v>In-band blockingPORT3</v>
      </c>
      <c r="B100" t="s">
        <v>60</v>
      </c>
      <c r="C100" t="s">
        <v>148</v>
      </c>
      <c r="D100">
        <v>-43</v>
      </c>
      <c r="F100">
        <v>-38</v>
      </c>
      <c r="H100">
        <v>99.8</v>
      </c>
    </row>
    <row r="101" spans="1:8" x14ac:dyDescent="0.3">
      <c r="A101" t="str">
        <f t="shared" si="1"/>
        <v>In-band blockingPORT4</v>
      </c>
      <c r="B101" t="s">
        <v>61</v>
      </c>
      <c r="C101" t="s">
        <v>148</v>
      </c>
      <c r="D101">
        <v>-43</v>
      </c>
      <c r="F101">
        <v>-38</v>
      </c>
      <c r="H101">
        <v>99.8</v>
      </c>
    </row>
    <row r="102" spans="1:8" x14ac:dyDescent="0.3">
      <c r="A102" t="str">
        <f t="shared" si="1"/>
        <v>In-band blockingPORT5</v>
      </c>
      <c r="B102" t="s">
        <v>62</v>
      </c>
      <c r="C102" t="s">
        <v>148</v>
      </c>
      <c r="D102">
        <v>-43</v>
      </c>
      <c r="F102">
        <v>-38</v>
      </c>
      <c r="H102">
        <v>99.8</v>
      </c>
    </row>
    <row r="103" spans="1:8" x14ac:dyDescent="0.3">
      <c r="A103" t="str">
        <f t="shared" si="1"/>
        <v>In-band blockingPORT6</v>
      </c>
      <c r="B103" t="s">
        <v>63</v>
      </c>
      <c r="C103" t="s">
        <v>148</v>
      </c>
      <c r="D103">
        <v>-43</v>
      </c>
      <c r="F103">
        <v>-38</v>
      </c>
      <c r="H103">
        <v>99.8</v>
      </c>
    </row>
    <row r="104" spans="1:8" x14ac:dyDescent="0.3">
      <c r="A104" t="str">
        <f t="shared" si="1"/>
        <v>In-band blockingPORT7</v>
      </c>
      <c r="B104" t="s">
        <v>64</v>
      </c>
      <c r="C104" t="s">
        <v>148</v>
      </c>
      <c r="D104">
        <v>-43</v>
      </c>
      <c r="F104">
        <v>-38</v>
      </c>
      <c r="H104">
        <v>99.8</v>
      </c>
    </row>
    <row r="105" spans="1:8" x14ac:dyDescent="0.3">
      <c r="A105" t="str">
        <f t="shared" si="1"/>
        <v>In-band blockingPORT8</v>
      </c>
      <c r="B105" t="s">
        <v>65</v>
      </c>
      <c r="C105" t="s">
        <v>148</v>
      </c>
      <c r="D105">
        <v>-43</v>
      </c>
      <c r="F105">
        <v>-38</v>
      </c>
      <c r="H105">
        <v>99.8</v>
      </c>
    </row>
    <row r="106" spans="1:8" x14ac:dyDescent="0.3">
      <c r="A106" t="str">
        <f t="shared" si="1"/>
        <v>In-band blockingPORT9</v>
      </c>
      <c r="B106" t="s">
        <v>175</v>
      </c>
      <c r="C106" t="s">
        <v>148</v>
      </c>
      <c r="D106">
        <v>-43</v>
      </c>
      <c r="F106">
        <v>-38</v>
      </c>
      <c r="H106">
        <v>98.9</v>
      </c>
    </row>
    <row r="107" spans="1:8" x14ac:dyDescent="0.3">
      <c r="A107" t="str">
        <f t="shared" si="1"/>
        <v>In-band blockingPORT10</v>
      </c>
      <c r="B107" t="s">
        <v>176</v>
      </c>
      <c r="C107" t="s">
        <v>148</v>
      </c>
      <c r="D107">
        <v>-43</v>
      </c>
      <c r="F107">
        <v>-38</v>
      </c>
      <c r="H107">
        <v>99.8</v>
      </c>
    </row>
    <row r="108" spans="1:8" x14ac:dyDescent="0.3">
      <c r="A108" t="str">
        <f t="shared" si="1"/>
        <v>In-band blockingPORT11</v>
      </c>
      <c r="B108" t="s">
        <v>177</v>
      </c>
      <c r="C108" t="s">
        <v>148</v>
      </c>
      <c r="D108">
        <v>-43</v>
      </c>
      <c r="F108">
        <v>-38</v>
      </c>
      <c r="H108">
        <v>99.8</v>
      </c>
    </row>
    <row r="109" spans="1:8" x14ac:dyDescent="0.3">
      <c r="A109" t="str">
        <f t="shared" si="1"/>
        <v>In-band blockingPORT12</v>
      </c>
      <c r="B109" t="s">
        <v>178</v>
      </c>
      <c r="C109" t="s">
        <v>148</v>
      </c>
      <c r="D109">
        <v>-43</v>
      </c>
      <c r="F109">
        <v>-38</v>
      </c>
      <c r="H109">
        <v>99.8</v>
      </c>
    </row>
    <row r="110" spans="1:8" x14ac:dyDescent="0.3">
      <c r="A110" t="str">
        <f t="shared" si="1"/>
        <v>In-band blockingPORT13</v>
      </c>
      <c r="B110" t="s">
        <v>179</v>
      </c>
      <c r="C110" t="s">
        <v>148</v>
      </c>
      <c r="D110">
        <v>-43</v>
      </c>
      <c r="F110">
        <v>-38</v>
      </c>
      <c r="H110">
        <v>7.6</v>
      </c>
    </row>
    <row r="111" spans="1:8" x14ac:dyDescent="0.3">
      <c r="A111" t="str">
        <f t="shared" si="1"/>
        <v>In-band blockingPORT14</v>
      </c>
      <c r="B111" t="s">
        <v>180</v>
      </c>
      <c r="C111" t="s">
        <v>148</v>
      </c>
      <c r="D111">
        <v>-43</v>
      </c>
      <c r="F111">
        <v>-38</v>
      </c>
      <c r="H111">
        <v>99.8</v>
      </c>
    </row>
    <row r="112" spans="1:8" x14ac:dyDescent="0.3">
      <c r="A112" t="str">
        <f t="shared" si="1"/>
        <v>In-band blockingPORT15</v>
      </c>
      <c r="B112" t="s">
        <v>181</v>
      </c>
      <c r="C112" t="s">
        <v>148</v>
      </c>
      <c r="D112">
        <v>-43</v>
      </c>
      <c r="F112">
        <v>-38</v>
      </c>
      <c r="H112">
        <v>99.8</v>
      </c>
    </row>
    <row r="113" spans="1:8" x14ac:dyDescent="0.3">
      <c r="A113" t="str">
        <f t="shared" si="1"/>
        <v>In-band blockingPORT16</v>
      </c>
      <c r="B113" t="s">
        <v>182</v>
      </c>
      <c r="C113" t="s">
        <v>148</v>
      </c>
      <c r="D113">
        <v>-43</v>
      </c>
      <c r="F113">
        <v>-38</v>
      </c>
      <c r="H113">
        <v>0</v>
      </c>
    </row>
    <row r="114" spans="1:8" x14ac:dyDescent="0.3">
      <c r="A114" t="str">
        <f t="shared" si="1"/>
        <v>In-band blockingPORT17</v>
      </c>
      <c r="B114" t="s">
        <v>183</v>
      </c>
      <c r="C114" t="s">
        <v>148</v>
      </c>
      <c r="D114">
        <v>-43</v>
      </c>
      <c r="F114">
        <v>-38</v>
      </c>
      <c r="H114">
        <v>98.9</v>
      </c>
    </row>
    <row r="115" spans="1:8" x14ac:dyDescent="0.3">
      <c r="A115" t="str">
        <f t="shared" si="1"/>
        <v>In-band blockingPORT18</v>
      </c>
      <c r="B115" t="s">
        <v>184</v>
      </c>
      <c r="C115" t="s">
        <v>148</v>
      </c>
      <c r="D115">
        <v>-43</v>
      </c>
      <c r="F115">
        <v>-38</v>
      </c>
      <c r="H115">
        <v>99.8</v>
      </c>
    </row>
    <row r="116" spans="1:8" x14ac:dyDescent="0.3">
      <c r="A116" t="str">
        <f t="shared" si="1"/>
        <v>In-band blockingPORT19</v>
      </c>
      <c r="B116" t="s">
        <v>185</v>
      </c>
      <c r="C116" t="s">
        <v>148</v>
      </c>
      <c r="D116">
        <v>-43</v>
      </c>
      <c r="F116">
        <v>-38</v>
      </c>
      <c r="H116">
        <v>99.8</v>
      </c>
    </row>
    <row r="117" spans="1:8" x14ac:dyDescent="0.3">
      <c r="A117" t="str">
        <f t="shared" si="1"/>
        <v>In-band blockingPORT20</v>
      </c>
      <c r="B117" t="s">
        <v>186</v>
      </c>
      <c r="C117" t="s">
        <v>148</v>
      </c>
      <c r="D117">
        <v>-43</v>
      </c>
      <c r="F117">
        <v>-38</v>
      </c>
      <c r="H117">
        <v>99.8</v>
      </c>
    </row>
    <row r="118" spans="1:8" x14ac:dyDescent="0.3">
      <c r="A118" t="str">
        <f t="shared" si="1"/>
        <v>In-band blockingPORT21</v>
      </c>
      <c r="B118" t="s">
        <v>187</v>
      </c>
      <c r="C118" t="s">
        <v>148</v>
      </c>
      <c r="D118">
        <v>-43</v>
      </c>
      <c r="F118">
        <v>-38</v>
      </c>
      <c r="H118">
        <v>99.8</v>
      </c>
    </row>
    <row r="119" spans="1:8" x14ac:dyDescent="0.3">
      <c r="A119" t="str">
        <f t="shared" si="1"/>
        <v>In-band blockingPORT22</v>
      </c>
      <c r="B119" t="s">
        <v>188</v>
      </c>
      <c r="C119" t="s">
        <v>148</v>
      </c>
      <c r="D119">
        <v>-43</v>
      </c>
      <c r="F119">
        <v>-38</v>
      </c>
      <c r="H119">
        <v>99.8</v>
      </c>
    </row>
    <row r="120" spans="1:8" x14ac:dyDescent="0.3">
      <c r="A120" t="str">
        <f t="shared" si="1"/>
        <v>In-band blockingPORT23</v>
      </c>
      <c r="B120" t="s">
        <v>189</v>
      </c>
      <c r="C120" t="s">
        <v>148</v>
      </c>
      <c r="D120">
        <v>-43</v>
      </c>
      <c r="F120">
        <v>-38</v>
      </c>
      <c r="H120">
        <v>99.8</v>
      </c>
    </row>
    <row r="121" spans="1:8" x14ac:dyDescent="0.3">
      <c r="A121" t="str">
        <f t="shared" si="1"/>
        <v>In-band blockingPORT24</v>
      </c>
      <c r="B121" t="s">
        <v>190</v>
      </c>
      <c r="C121" t="s">
        <v>148</v>
      </c>
      <c r="D121">
        <v>-43</v>
      </c>
      <c r="F121">
        <v>-38</v>
      </c>
      <c r="H121">
        <v>99.2</v>
      </c>
    </row>
    <row r="122" spans="1:8" x14ac:dyDescent="0.3">
      <c r="A122" t="str">
        <f t="shared" si="1"/>
        <v>In-band blockingPORT25</v>
      </c>
      <c r="B122" t="s">
        <v>191</v>
      </c>
      <c r="C122" t="s">
        <v>148</v>
      </c>
      <c r="D122">
        <v>-43</v>
      </c>
      <c r="F122">
        <v>-38</v>
      </c>
      <c r="H122">
        <v>98.9</v>
      </c>
    </row>
    <row r="123" spans="1:8" x14ac:dyDescent="0.3">
      <c r="A123" t="str">
        <f t="shared" si="1"/>
        <v>In-band blockingPORT26</v>
      </c>
      <c r="B123" t="s">
        <v>192</v>
      </c>
      <c r="C123" t="s">
        <v>148</v>
      </c>
      <c r="D123">
        <v>-43</v>
      </c>
      <c r="F123">
        <v>-38</v>
      </c>
      <c r="H123">
        <v>99.8</v>
      </c>
    </row>
    <row r="124" spans="1:8" x14ac:dyDescent="0.3">
      <c r="A124" t="str">
        <f t="shared" si="1"/>
        <v>In-band blockingPORT27</v>
      </c>
      <c r="B124" t="s">
        <v>193</v>
      </c>
      <c r="C124" t="s">
        <v>148</v>
      </c>
      <c r="D124">
        <v>-43</v>
      </c>
      <c r="F124">
        <v>-38</v>
      </c>
      <c r="H124">
        <v>99.8</v>
      </c>
    </row>
    <row r="125" spans="1:8" x14ac:dyDescent="0.3">
      <c r="A125" t="str">
        <f t="shared" si="1"/>
        <v>In-band blockingPORT28</v>
      </c>
      <c r="B125" t="s">
        <v>194</v>
      </c>
      <c r="C125" t="s">
        <v>148</v>
      </c>
      <c r="D125">
        <v>-43</v>
      </c>
      <c r="F125">
        <v>-38</v>
      </c>
      <c r="H125">
        <v>99.8</v>
      </c>
    </row>
    <row r="126" spans="1:8" x14ac:dyDescent="0.3">
      <c r="A126" t="str">
        <f t="shared" si="1"/>
        <v>In-band blockingPORT29</v>
      </c>
      <c r="B126" t="s">
        <v>195</v>
      </c>
      <c r="C126" t="s">
        <v>148</v>
      </c>
      <c r="D126">
        <v>-43</v>
      </c>
      <c r="F126">
        <v>-38</v>
      </c>
      <c r="H126">
        <v>99.8</v>
      </c>
    </row>
    <row r="127" spans="1:8" x14ac:dyDescent="0.3">
      <c r="A127" t="str">
        <f t="shared" si="1"/>
        <v>In-band blockingPORT30</v>
      </c>
      <c r="B127" t="s">
        <v>196</v>
      </c>
      <c r="C127" t="s">
        <v>148</v>
      </c>
      <c r="D127">
        <v>-43</v>
      </c>
      <c r="F127">
        <v>-38</v>
      </c>
      <c r="H127">
        <v>99.8</v>
      </c>
    </row>
    <row r="128" spans="1:8" x14ac:dyDescent="0.3">
      <c r="A128" t="str">
        <f t="shared" si="1"/>
        <v>In-band blockingPORT31</v>
      </c>
      <c r="B128" t="s">
        <v>197</v>
      </c>
      <c r="C128" t="s">
        <v>148</v>
      </c>
      <c r="D128">
        <v>-43</v>
      </c>
      <c r="F128">
        <v>-38</v>
      </c>
      <c r="H128">
        <v>99.8</v>
      </c>
    </row>
    <row r="129" spans="1:8" x14ac:dyDescent="0.3">
      <c r="A129" t="str">
        <f t="shared" si="1"/>
        <v>In-band blockingPORT32</v>
      </c>
      <c r="B129" t="s">
        <v>198</v>
      </c>
      <c r="C129" t="s">
        <v>148</v>
      </c>
      <c r="D129">
        <v>-43</v>
      </c>
      <c r="F129">
        <v>-38</v>
      </c>
      <c r="H129">
        <v>99.8</v>
      </c>
    </row>
    <row r="130" spans="1:8" x14ac:dyDescent="0.3">
      <c r="A130" t="str">
        <f t="shared" si="1"/>
        <v>Narrow-band blockingPORT1</v>
      </c>
      <c r="B130" t="s">
        <v>57</v>
      </c>
      <c r="C130" t="s">
        <v>152</v>
      </c>
      <c r="D130">
        <v>-49</v>
      </c>
      <c r="F130">
        <v>-44</v>
      </c>
      <c r="H130">
        <v>98.9</v>
      </c>
    </row>
    <row r="131" spans="1:8" x14ac:dyDescent="0.3">
      <c r="A131" t="str">
        <f t="shared" ref="A131:A194" si="2">C131&amp;B131</f>
        <v>Narrow-band blockingPORT2</v>
      </c>
      <c r="B131" t="s">
        <v>59</v>
      </c>
      <c r="C131" t="s">
        <v>152</v>
      </c>
      <c r="D131">
        <v>-49</v>
      </c>
      <c r="F131">
        <v>-44</v>
      </c>
      <c r="H131">
        <v>99.8</v>
      </c>
    </row>
    <row r="132" spans="1:8" x14ac:dyDescent="0.3">
      <c r="A132" t="str">
        <f t="shared" si="2"/>
        <v>Narrow-band blockingPORT3</v>
      </c>
      <c r="B132" t="s">
        <v>60</v>
      </c>
      <c r="C132" t="s">
        <v>152</v>
      </c>
      <c r="D132">
        <v>-49</v>
      </c>
      <c r="F132">
        <v>-44</v>
      </c>
      <c r="H132">
        <v>99.8</v>
      </c>
    </row>
    <row r="133" spans="1:8" x14ac:dyDescent="0.3">
      <c r="A133" t="str">
        <f t="shared" si="2"/>
        <v>Narrow-band blockingPORT4</v>
      </c>
      <c r="B133" t="s">
        <v>61</v>
      </c>
      <c r="C133" t="s">
        <v>152</v>
      </c>
      <c r="D133">
        <v>-49</v>
      </c>
      <c r="F133">
        <v>-44</v>
      </c>
      <c r="H133">
        <v>99.8</v>
      </c>
    </row>
    <row r="134" spans="1:8" x14ac:dyDescent="0.3">
      <c r="A134" t="str">
        <f t="shared" si="2"/>
        <v>Narrow-band blockingPORT5</v>
      </c>
      <c r="B134" t="s">
        <v>62</v>
      </c>
      <c r="C134" t="s">
        <v>152</v>
      </c>
      <c r="D134">
        <v>-49</v>
      </c>
      <c r="F134">
        <v>-44</v>
      </c>
      <c r="H134">
        <v>99.8</v>
      </c>
    </row>
    <row r="135" spans="1:8" x14ac:dyDescent="0.3">
      <c r="A135" t="str">
        <f t="shared" si="2"/>
        <v>Narrow-band blockingPORT6</v>
      </c>
      <c r="B135" t="s">
        <v>63</v>
      </c>
      <c r="C135" t="s">
        <v>152</v>
      </c>
      <c r="D135">
        <v>-49</v>
      </c>
      <c r="F135">
        <v>-44</v>
      </c>
      <c r="H135">
        <v>99.8</v>
      </c>
    </row>
    <row r="136" spans="1:8" x14ac:dyDescent="0.3">
      <c r="A136" t="str">
        <f t="shared" si="2"/>
        <v>Narrow-band blockingPORT7</v>
      </c>
      <c r="B136" t="s">
        <v>64</v>
      </c>
      <c r="C136" t="s">
        <v>152</v>
      </c>
      <c r="D136">
        <v>-49</v>
      </c>
      <c r="F136">
        <v>-44</v>
      </c>
      <c r="H136">
        <v>99.8</v>
      </c>
    </row>
    <row r="137" spans="1:8" x14ac:dyDescent="0.3">
      <c r="A137" t="str">
        <f t="shared" si="2"/>
        <v>Narrow-band blockingPORT8</v>
      </c>
      <c r="B137" t="s">
        <v>65</v>
      </c>
      <c r="C137" t="s">
        <v>152</v>
      </c>
      <c r="D137">
        <v>-49</v>
      </c>
      <c r="F137">
        <v>-44</v>
      </c>
      <c r="H137">
        <v>99.8</v>
      </c>
    </row>
    <row r="138" spans="1:8" x14ac:dyDescent="0.3">
      <c r="A138" t="str">
        <f t="shared" si="2"/>
        <v>Narrow-band blockingPORT9</v>
      </c>
      <c r="B138" t="s">
        <v>175</v>
      </c>
      <c r="C138" t="s">
        <v>152</v>
      </c>
      <c r="D138">
        <v>-49</v>
      </c>
      <c r="F138">
        <v>-44</v>
      </c>
      <c r="H138">
        <v>98.9</v>
      </c>
    </row>
    <row r="139" spans="1:8" x14ac:dyDescent="0.3">
      <c r="A139" t="str">
        <f t="shared" si="2"/>
        <v>Narrow-band blockingPORT10</v>
      </c>
      <c r="B139" t="s">
        <v>176</v>
      </c>
      <c r="C139" t="s">
        <v>152</v>
      </c>
      <c r="D139">
        <v>-49</v>
      </c>
      <c r="F139">
        <v>-44</v>
      </c>
      <c r="H139">
        <v>99.8</v>
      </c>
    </row>
    <row r="140" spans="1:8" x14ac:dyDescent="0.3">
      <c r="A140" t="str">
        <f t="shared" si="2"/>
        <v>Narrow-band blockingPORT11</v>
      </c>
      <c r="B140" t="s">
        <v>177</v>
      </c>
      <c r="C140" t="s">
        <v>152</v>
      </c>
      <c r="D140">
        <v>-49</v>
      </c>
      <c r="F140">
        <v>-44</v>
      </c>
      <c r="H140">
        <v>99.8</v>
      </c>
    </row>
    <row r="141" spans="1:8" x14ac:dyDescent="0.3">
      <c r="A141" t="str">
        <f t="shared" si="2"/>
        <v>Narrow-band blockingPORT12</v>
      </c>
      <c r="B141" t="s">
        <v>178</v>
      </c>
      <c r="C141" t="s">
        <v>152</v>
      </c>
      <c r="D141">
        <v>-49</v>
      </c>
      <c r="F141">
        <v>-44</v>
      </c>
      <c r="H141">
        <v>99.8</v>
      </c>
    </row>
    <row r="142" spans="1:8" x14ac:dyDescent="0.3">
      <c r="A142" t="str">
        <f t="shared" si="2"/>
        <v>Narrow-band blockingPORT13</v>
      </c>
      <c r="B142" t="s">
        <v>179</v>
      </c>
      <c r="C142" t="s">
        <v>152</v>
      </c>
      <c r="D142">
        <v>-49</v>
      </c>
      <c r="F142">
        <v>-44</v>
      </c>
      <c r="H142">
        <v>7.6</v>
      </c>
    </row>
    <row r="143" spans="1:8" x14ac:dyDescent="0.3">
      <c r="A143" t="str">
        <f t="shared" si="2"/>
        <v>Narrow-band blockingPORT14</v>
      </c>
      <c r="B143" t="s">
        <v>180</v>
      </c>
      <c r="C143" t="s">
        <v>152</v>
      </c>
      <c r="D143">
        <v>-49</v>
      </c>
      <c r="F143">
        <v>-44</v>
      </c>
      <c r="H143">
        <v>99.8</v>
      </c>
    </row>
    <row r="144" spans="1:8" x14ac:dyDescent="0.3">
      <c r="A144" t="str">
        <f t="shared" si="2"/>
        <v>Narrow-band blockingPORT15</v>
      </c>
      <c r="B144" t="s">
        <v>181</v>
      </c>
      <c r="C144" t="s">
        <v>152</v>
      </c>
      <c r="D144">
        <v>-49</v>
      </c>
      <c r="F144">
        <v>-44</v>
      </c>
      <c r="H144">
        <v>99.8</v>
      </c>
    </row>
    <row r="145" spans="1:8" x14ac:dyDescent="0.3">
      <c r="A145" t="str">
        <f t="shared" si="2"/>
        <v>Narrow-band blockingPORT16</v>
      </c>
      <c r="B145" t="s">
        <v>182</v>
      </c>
      <c r="C145" t="s">
        <v>152</v>
      </c>
      <c r="D145">
        <v>-49</v>
      </c>
      <c r="F145">
        <v>-44</v>
      </c>
      <c r="H145">
        <v>0</v>
      </c>
    </row>
    <row r="146" spans="1:8" x14ac:dyDescent="0.3">
      <c r="A146" t="str">
        <f t="shared" si="2"/>
        <v>Narrow-band blockingPORT17</v>
      </c>
      <c r="B146" t="s">
        <v>183</v>
      </c>
      <c r="C146" t="s">
        <v>152</v>
      </c>
      <c r="D146">
        <v>-49</v>
      </c>
      <c r="F146">
        <v>-44</v>
      </c>
      <c r="H146">
        <v>98.9</v>
      </c>
    </row>
    <row r="147" spans="1:8" x14ac:dyDescent="0.3">
      <c r="A147" t="str">
        <f t="shared" si="2"/>
        <v>Narrow-band blockingPORT18</v>
      </c>
      <c r="B147" t="s">
        <v>184</v>
      </c>
      <c r="C147" t="s">
        <v>152</v>
      </c>
      <c r="D147">
        <v>-49</v>
      </c>
      <c r="F147">
        <v>-44</v>
      </c>
      <c r="H147">
        <v>99.8</v>
      </c>
    </row>
    <row r="148" spans="1:8" x14ac:dyDescent="0.3">
      <c r="A148" t="str">
        <f t="shared" si="2"/>
        <v>Narrow-band blockingPORT19</v>
      </c>
      <c r="B148" t="s">
        <v>185</v>
      </c>
      <c r="C148" t="s">
        <v>152</v>
      </c>
      <c r="D148">
        <v>-49</v>
      </c>
      <c r="F148">
        <v>-44</v>
      </c>
      <c r="H148">
        <v>99.8</v>
      </c>
    </row>
    <row r="149" spans="1:8" x14ac:dyDescent="0.3">
      <c r="A149" t="str">
        <f t="shared" si="2"/>
        <v>Narrow-band blockingPORT20</v>
      </c>
      <c r="B149" t="s">
        <v>186</v>
      </c>
      <c r="C149" t="s">
        <v>152</v>
      </c>
      <c r="D149">
        <v>-49</v>
      </c>
      <c r="F149">
        <v>-44</v>
      </c>
      <c r="H149">
        <v>99.8</v>
      </c>
    </row>
    <row r="150" spans="1:8" x14ac:dyDescent="0.3">
      <c r="A150" t="str">
        <f t="shared" si="2"/>
        <v>Narrow-band blockingPORT21</v>
      </c>
      <c r="B150" t="s">
        <v>187</v>
      </c>
      <c r="C150" t="s">
        <v>152</v>
      </c>
      <c r="D150">
        <v>-49</v>
      </c>
      <c r="F150">
        <v>-44</v>
      </c>
      <c r="H150">
        <v>99.8</v>
      </c>
    </row>
    <row r="151" spans="1:8" x14ac:dyDescent="0.3">
      <c r="A151" t="str">
        <f t="shared" si="2"/>
        <v>Narrow-band blockingPORT22</v>
      </c>
      <c r="B151" t="s">
        <v>188</v>
      </c>
      <c r="C151" t="s">
        <v>152</v>
      </c>
      <c r="D151">
        <v>-49</v>
      </c>
      <c r="F151">
        <v>-44</v>
      </c>
      <c r="H151">
        <v>99.8</v>
      </c>
    </row>
    <row r="152" spans="1:8" x14ac:dyDescent="0.3">
      <c r="A152" t="str">
        <f t="shared" si="2"/>
        <v>Narrow-band blockingPORT23</v>
      </c>
      <c r="B152" t="s">
        <v>189</v>
      </c>
      <c r="C152" t="s">
        <v>152</v>
      </c>
      <c r="D152">
        <v>-49</v>
      </c>
      <c r="F152">
        <v>-44</v>
      </c>
      <c r="H152">
        <v>99.8</v>
      </c>
    </row>
    <row r="153" spans="1:8" x14ac:dyDescent="0.3">
      <c r="A153" t="str">
        <f t="shared" si="2"/>
        <v>Narrow-band blockingPORT24</v>
      </c>
      <c r="B153" t="s">
        <v>190</v>
      </c>
      <c r="C153" t="s">
        <v>152</v>
      </c>
      <c r="D153">
        <v>-49</v>
      </c>
      <c r="F153">
        <v>-44</v>
      </c>
      <c r="H153">
        <v>99.2</v>
      </c>
    </row>
    <row r="154" spans="1:8" x14ac:dyDescent="0.3">
      <c r="A154" t="str">
        <f t="shared" si="2"/>
        <v>Narrow-band blockingPORT25</v>
      </c>
      <c r="B154" t="s">
        <v>191</v>
      </c>
      <c r="C154" t="s">
        <v>152</v>
      </c>
      <c r="D154">
        <v>-49</v>
      </c>
      <c r="F154">
        <v>-44</v>
      </c>
      <c r="H154">
        <v>98.9</v>
      </c>
    </row>
    <row r="155" spans="1:8" x14ac:dyDescent="0.3">
      <c r="A155" t="str">
        <f t="shared" si="2"/>
        <v>Narrow-band blockingPORT26</v>
      </c>
      <c r="B155" t="s">
        <v>192</v>
      </c>
      <c r="C155" t="s">
        <v>152</v>
      </c>
      <c r="D155">
        <v>-49</v>
      </c>
      <c r="F155">
        <v>-44</v>
      </c>
      <c r="H155">
        <v>99.8</v>
      </c>
    </row>
    <row r="156" spans="1:8" x14ac:dyDescent="0.3">
      <c r="A156" t="str">
        <f t="shared" si="2"/>
        <v>Narrow-band blockingPORT27</v>
      </c>
      <c r="B156" t="s">
        <v>193</v>
      </c>
      <c r="C156" t="s">
        <v>152</v>
      </c>
      <c r="D156">
        <v>-49</v>
      </c>
      <c r="F156">
        <v>-44</v>
      </c>
      <c r="H156">
        <v>99.8</v>
      </c>
    </row>
    <row r="157" spans="1:8" x14ac:dyDescent="0.3">
      <c r="A157" t="str">
        <f t="shared" si="2"/>
        <v>Narrow-band blockingPORT28</v>
      </c>
      <c r="B157" t="s">
        <v>194</v>
      </c>
      <c r="C157" t="s">
        <v>152</v>
      </c>
      <c r="D157">
        <v>-49</v>
      </c>
      <c r="F157">
        <v>-44</v>
      </c>
      <c r="H157">
        <v>99.8</v>
      </c>
    </row>
    <row r="158" spans="1:8" x14ac:dyDescent="0.3">
      <c r="A158" t="str">
        <f t="shared" si="2"/>
        <v>Narrow-band blockingPORT29</v>
      </c>
      <c r="B158" t="s">
        <v>195</v>
      </c>
      <c r="C158" t="s">
        <v>152</v>
      </c>
      <c r="D158">
        <v>-49</v>
      </c>
      <c r="F158">
        <v>-44</v>
      </c>
      <c r="H158">
        <v>99.8</v>
      </c>
    </row>
    <row r="159" spans="1:8" x14ac:dyDescent="0.3">
      <c r="A159" t="str">
        <f t="shared" si="2"/>
        <v>Narrow-band blockingPORT30</v>
      </c>
      <c r="B159" t="s">
        <v>196</v>
      </c>
      <c r="C159" t="s">
        <v>152</v>
      </c>
      <c r="D159">
        <v>-49</v>
      </c>
      <c r="F159">
        <v>-44</v>
      </c>
      <c r="H159">
        <v>99.8</v>
      </c>
    </row>
    <row r="160" spans="1:8" x14ac:dyDescent="0.3">
      <c r="A160" t="str">
        <f t="shared" si="2"/>
        <v>Narrow-band blockingPORT31</v>
      </c>
      <c r="B160" t="s">
        <v>197</v>
      </c>
      <c r="C160" t="s">
        <v>152</v>
      </c>
      <c r="D160">
        <v>-49</v>
      </c>
      <c r="F160">
        <v>-44</v>
      </c>
      <c r="H160">
        <v>99.8</v>
      </c>
    </row>
    <row r="161" spans="1:8" x14ac:dyDescent="0.3">
      <c r="A161" t="str">
        <f t="shared" si="2"/>
        <v>Narrow-band blockingPORT32</v>
      </c>
      <c r="B161" t="s">
        <v>198</v>
      </c>
      <c r="C161" t="s">
        <v>152</v>
      </c>
      <c r="D161">
        <v>-49</v>
      </c>
      <c r="F161">
        <v>-44</v>
      </c>
      <c r="H161">
        <v>99.8</v>
      </c>
    </row>
    <row r="162" spans="1:8" x14ac:dyDescent="0.3">
      <c r="A162" t="str">
        <f t="shared" si="2"/>
        <v>Out-of-band blockingPORT1</v>
      </c>
      <c r="B162" t="s">
        <v>57</v>
      </c>
      <c r="C162" t="s">
        <v>156</v>
      </c>
      <c r="D162">
        <v>-15</v>
      </c>
      <c r="F162">
        <v>-10</v>
      </c>
      <c r="H162">
        <v>98.9</v>
      </c>
    </row>
    <row r="163" spans="1:8" x14ac:dyDescent="0.3">
      <c r="A163" t="str">
        <f t="shared" si="2"/>
        <v>Out-of-band blockingPORT2</v>
      </c>
      <c r="B163" t="s">
        <v>59</v>
      </c>
      <c r="C163" t="s">
        <v>156</v>
      </c>
      <c r="D163">
        <v>-15</v>
      </c>
      <c r="F163">
        <v>-10</v>
      </c>
      <c r="H163">
        <v>99.8</v>
      </c>
    </row>
    <row r="164" spans="1:8" x14ac:dyDescent="0.3">
      <c r="A164" t="str">
        <f t="shared" si="2"/>
        <v>Out-of-band blockingPORT3</v>
      </c>
      <c r="B164" t="s">
        <v>60</v>
      </c>
      <c r="C164" t="s">
        <v>156</v>
      </c>
      <c r="D164">
        <v>-15</v>
      </c>
      <c r="F164">
        <v>-10</v>
      </c>
      <c r="H164">
        <v>99.8</v>
      </c>
    </row>
    <row r="165" spans="1:8" x14ac:dyDescent="0.3">
      <c r="A165" t="str">
        <f t="shared" si="2"/>
        <v>Out-of-band blockingPORT4</v>
      </c>
      <c r="B165" t="s">
        <v>61</v>
      </c>
      <c r="C165" t="s">
        <v>156</v>
      </c>
      <c r="D165">
        <v>-15</v>
      </c>
      <c r="F165">
        <v>-10</v>
      </c>
      <c r="H165">
        <v>99.8</v>
      </c>
    </row>
    <row r="166" spans="1:8" x14ac:dyDescent="0.3">
      <c r="A166" t="str">
        <f t="shared" si="2"/>
        <v>Out-of-band blockingPORT5</v>
      </c>
      <c r="B166" t="s">
        <v>62</v>
      </c>
      <c r="C166" t="s">
        <v>156</v>
      </c>
      <c r="D166">
        <v>-15</v>
      </c>
      <c r="F166">
        <v>-10</v>
      </c>
      <c r="H166">
        <v>99.8</v>
      </c>
    </row>
    <row r="167" spans="1:8" x14ac:dyDescent="0.3">
      <c r="A167" t="str">
        <f t="shared" si="2"/>
        <v>Out-of-band blockingPORT6</v>
      </c>
      <c r="B167" t="s">
        <v>63</v>
      </c>
      <c r="C167" t="s">
        <v>156</v>
      </c>
      <c r="D167">
        <v>-15</v>
      </c>
      <c r="F167">
        <v>-10</v>
      </c>
      <c r="H167">
        <v>99.8</v>
      </c>
    </row>
    <row r="168" spans="1:8" x14ac:dyDescent="0.3">
      <c r="A168" t="str">
        <f t="shared" si="2"/>
        <v>Out-of-band blockingPORT7</v>
      </c>
      <c r="B168" t="s">
        <v>64</v>
      </c>
      <c r="C168" t="s">
        <v>156</v>
      </c>
      <c r="D168">
        <v>-15</v>
      </c>
      <c r="F168">
        <v>-10</v>
      </c>
      <c r="H168">
        <v>99.8</v>
      </c>
    </row>
    <row r="169" spans="1:8" x14ac:dyDescent="0.3">
      <c r="A169" t="str">
        <f t="shared" si="2"/>
        <v>Out-of-band blockingPORT8</v>
      </c>
      <c r="B169" t="s">
        <v>65</v>
      </c>
      <c r="C169" t="s">
        <v>156</v>
      </c>
      <c r="D169">
        <v>-15</v>
      </c>
      <c r="F169">
        <v>-10</v>
      </c>
      <c r="H169">
        <v>99.8</v>
      </c>
    </row>
    <row r="170" spans="1:8" x14ac:dyDescent="0.3">
      <c r="A170" t="str">
        <f t="shared" si="2"/>
        <v>Out-of-band blockingPORT9</v>
      </c>
      <c r="B170" t="s">
        <v>175</v>
      </c>
      <c r="C170" t="s">
        <v>156</v>
      </c>
      <c r="D170">
        <v>-15</v>
      </c>
      <c r="F170">
        <v>-10</v>
      </c>
      <c r="H170">
        <v>98.9</v>
      </c>
    </row>
    <row r="171" spans="1:8" x14ac:dyDescent="0.3">
      <c r="A171" t="str">
        <f t="shared" si="2"/>
        <v>Out-of-band blockingPORT10</v>
      </c>
      <c r="B171" t="s">
        <v>176</v>
      </c>
      <c r="C171" t="s">
        <v>156</v>
      </c>
      <c r="D171">
        <v>-15</v>
      </c>
      <c r="F171">
        <v>-10</v>
      </c>
      <c r="H171">
        <v>99.8</v>
      </c>
    </row>
    <row r="172" spans="1:8" x14ac:dyDescent="0.3">
      <c r="A172" t="str">
        <f t="shared" si="2"/>
        <v>Out-of-band blockingPORT11</v>
      </c>
      <c r="B172" t="s">
        <v>177</v>
      </c>
      <c r="C172" t="s">
        <v>156</v>
      </c>
      <c r="D172">
        <v>-15</v>
      </c>
      <c r="F172">
        <v>-10</v>
      </c>
      <c r="H172">
        <v>99.8</v>
      </c>
    </row>
    <row r="173" spans="1:8" x14ac:dyDescent="0.3">
      <c r="A173" t="str">
        <f t="shared" si="2"/>
        <v>Out-of-band blockingPORT12</v>
      </c>
      <c r="B173" t="s">
        <v>178</v>
      </c>
      <c r="C173" t="s">
        <v>156</v>
      </c>
      <c r="D173">
        <v>-15</v>
      </c>
      <c r="F173">
        <v>-10</v>
      </c>
      <c r="H173">
        <v>99.8</v>
      </c>
    </row>
    <row r="174" spans="1:8" x14ac:dyDescent="0.3">
      <c r="A174" t="str">
        <f t="shared" si="2"/>
        <v>Out-of-band blockingPORT13</v>
      </c>
      <c r="B174" t="s">
        <v>179</v>
      </c>
      <c r="C174" t="s">
        <v>156</v>
      </c>
      <c r="D174">
        <v>-15</v>
      </c>
      <c r="F174">
        <v>-10</v>
      </c>
      <c r="H174">
        <v>7.6</v>
      </c>
    </row>
    <row r="175" spans="1:8" x14ac:dyDescent="0.3">
      <c r="A175" t="str">
        <f t="shared" si="2"/>
        <v>Out-of-band blockingPORT14</v>
      </c>
      <c r="B175" t="s">
        <v>180</v>
      </c>
      <c r="C175" t="s">
        <v>156</v>
      </c>
      <c r="D175">
        <v>-15</v>
      </c>
      <c r="F175">
        <v>-10</v>
      </c>
      <c r="H175">
        <v>99.8</v>
      </c>
    </row>
    <row r="176" spans="1:8" x14ac:dyDescent="0.3">
      <c r="A176" t="str">
        <f t="shared" si="2"/>
        <v>Out-of-band blockingPORT15</v>
      </c>
      <c r="B176" t="s">
        <v>181</v>
      </c>
      <c r="C176" t="s">
        <v>156</v>
      </c>
      <c r="D176">
        <v>-15</v>
      </c>
      <c r="F176">
        <v>-10</v>
      </c>
      <c r="H176">
        <v>99.8</v>
      </c>
    </row>
    <row r="177" spans="1:8" x14ac:dyDescent="0.3">
      <c r="A177" t="str">
        <f t="shared" si="2"/>
        <v>Out-of-band blockingPORT16</v>
      </c>
      <c r="B177" t="s">
        <v>182</v>
      </c>
      <c r="C177" t="s">
        <v>156</v>
      </c>
      <c r="D177">
        <v>-15</v>
      </c>
      <c r="F177">
        <v>-10</v>
      </c>
      <c r="H177">
        <v>0</v>
      </c>
    </row>
    <row r="178" spans="1:8" x14ac:dyDescent="0.3">
      <c r="A178" t="str">
        <f t="shared" si="2"/>
        <v>Out-of-band blockingPORT17</v>
      </c>
      <c r="B178" t="s">
        <v>183</v>
      </c>
      <c r="C178" t="s">
        <v>156</v>
      </c>
      <c r="D178">
        <v>-15</v>
      </c>
      <c r="F178">
        <v>-10</v>
      </c>
      <c r="H178">
        <v>98.9</v>
      </c>
    </row>
    <row r="179" spans="1:8" x14ac:dyDescent="0.3">
      <c r="A179" t="str">
        <f t="shared" si="2"/>
        <v>Out-of-band blockingPORT18</v>
      </c>
      <c r="B179" t="s">
        <v>184</v>
      </c>
      <c r="C179" t="s">
        <v>156</v>
      </c>
      <c r="D179">
        <v>-15</v>
      </c>
      <c r="F179">
        <v>-10</v>
      </c>
      <c r="H179">
        <v>99.8</v>
      </c>
    </row>
    <row r="180" spans="1:8" x14ac:dyDescent="0.3">
      <c r="A180" t="str">
        <f t="shared" si="2"/>
        <v>Out-of-band blockingPORT19</v>
      </c>
      <c r="B180" t="s">
        <v>185</v>
      </c>
      <c r="C180" t="s">
        <v>156</v>
      </c>
      <c r="D180">
        <v>-15</v>
      </c>
      <c r="F180">
        <v>-10</v>
      </c>
      <c r="H180">
        <v>99.8</v>
      </c>
    </row>
    <row r="181" spans="1:8" x14ac:dyDescent="0.3">
      <c r="A181" t="str">
        <f t="shared" si="2"/>
        <v>Out-of-band blockingPORT20</v>
      </c>
      <c r="B181" t="s">
        <v>186</v>
      </c>
      <c r="C181" t="s">
        <v>156</v>
      </c>
      <c r="D181">
        <v>-15</v>
      </c>
      <c r="F181">
        <v>-10</v>
      </c>
      <c r="H181">
        <v>99.8</v>
      </c>
    </row>
    <row r="182" spans="1:8" x14ac:dyDescent="0.3">
      <c r="A182" t="str">
        <f t="shared" si="2"/>
        <v>Out-of-band blockingPORT21</v>
      </c>
      <c r="B182" t="s">
        <v>187</v>
      </c>
      <c r="C182" t="s">
        <v>156</v>
      </c>
      <c r="D182">
        <v>-15</v>
      </c>
      <c r="F182">
        <v>-10</v>
      </c>
      <c r="H182">
        <v>99.8</v>
      </c>
    </row>
    <row r="183" spans="1:8" x14ac:dyDescent="0.3">
      <c r="A183" t="str">
        <f t="shared" si="2"/>
        <v>Out-of-band blockingPORT22</v>
      </c>
      <c r="B183" t="s">
        <v>188</v>
      </c>
      <c r="C183" t="s">
        <v>156</v>
      </c>
      <c r="D183">
        <v>-15</v>
      </c>
      <c r="F183">
        <v>-10</v>
      </c>
      <c r="H183">
        <v>99.8</v>
      </c>
    </row>
    <row r="184" spans="1:8" x14ac:dyDescent="0.3">
      <c r="A184" t="str">
        <f t="shared" si="2"/>
        <v>Out-of-band blockingPORT23</v>
      </c>
      <c r="B184" t="s">
        <v>189</v>
      </c>
      <c r="C184" t="s">
        <v>156</v>
      </c>
      <c r="D184">
        <v>-15</v>
      </c>
      <c r="F184">
        <v>-10</v>
      </c>
      <c r="H184">
        <v>99.8</v>
      </c>
    </row>
    <row r="185" spans="1:8" x14ac:dyDescent="0.3">
      <c r="A185" t="str">
        <f t="shared" si="2"/>
        <v>Out-of-band blockingPORT24</v>
      </c>
      <c r="B185" t="s">
        <v>190</v>
      </c>
      <c r="C185" t="s">
        <v>156</v>
      </c>
      <c r="D185">
        <v>-15</v>
      </c>
      <c r="F185">
        <v>-10</v>
      </c>
      <c r="H185">
        <v>99.2</v>
      </c>
    </row>
    <row r="186" spans="1:8" x14ac:dyDescent="0.3">
      <c r="A186" t="str">
        <f t="shared" si="2"/>
        <v>Out-of-band blockingPORT25</v>
      </c>
      <c r="B186" t="s">
        <v>191</v>
      </c>
      <c r="C186" t="s">
        <v>156</v>
      </c>
      <c r="D186">
        <v>-15</v>
      </c>
      <c r="F186">
        <v>-10</v>
      </c>
      <c r="H186">
        <v>98.9</v>
      </c>
    </row>
    <row r="187" spans="1:8" x14ac:dyDescent="0.3">
      <c r="A187" t="str">
        <f t="shared" si="2"/>
        <v>Out-of-band blockingPORT26</v>
      </c>
      <c r="B187" t="s">
        <v>192</v>
      </c>
      <c r="C187" t="s">
        <v>156</v>
      </c>
      <c r="D187">
        <v>-15</v>
      </c>
      <c r="F187">
        <v>-10</v>
      </c>
      <c r="H187">
        <v>99.8</v>
      </c>
    </row>
    <row r="188" spans="1:8" x14ac:dyDescent="0.3">
      <c r="A188" t="str">
        <f t="shared" si="2"/>
        <v>Out-of-band blockingPORT27</v>
      </c>
      <c r="B188" t="s">
        <v>193</v>
      </c>
      <c r="C188" t="s">
        <v>156</v>
      </c>
      <c r="D188">
        <v>-15</v>
      </c>
      <c r="F188">
        <v>-10</v>
      </c>
      <c r="H188">
        <v>99.8</v>
      </c>
    </row>
    <row r="189" spans="1:8" x14ac:dyDescent="0.3">
      <c r="A189" t="str">
        <f t="shared" si="2"/>
        <v>Out-of-band blockingPORT28</v>
      </c>
      <c r="B189" t="s">
        <v>194</v>
      </c>
      <c r="C189" t="s">
        <v>156</v>
      </c>
      <c r="D189">
        <v>-15</v>
      </c>
      <c r="F189">
        <v>-10</v>
      </c>
      <c r="H189">
        <v>99.8</v>
      </c>
    </row>
    <row r="190" spans="1:8" x14ac:dyDescent="0.3">
      <c r="A190" t="str">
        <f t="shared" si="2"/>
        <v>Out-of-band blockingPORT29</v>
      </c>
      <c r="B190" t="s">
        <v>195</v>
      </c>
      <c r="C190" t="s">
        <v>156</v>
      </c>
      <c r="D190">
        <v>-15</v>
      </c>
      <c r="F190">
        <v>-10</v>
      </c>
      <c r="H190">
        <v>99.8</v>
      </c>
    </row>
    <row r="191" spans="1:8" x14ac:dyDescent="0.3">
      <c r="A191" t="str">
        <f t="shared" si="2"/>
        <v>Out-of-band blockingPORT30</v>
      </c>
      <c r="B191" t="s">
        <v>196</v>
      </c>
      <c r="C191" t="s">
        <v>156</v>
      </c>
      <c r="D191">
        <v>-15</v>
      </c>
      <c r="F191">
        <v>-10</v>
      </c>
      <c r="H191">
        <v>99.8</v>
      </c>
    </row>
    <row r="192" spans="1:8" x14ac:dyDescent="0.3">
      <c r="A192" t="str">
        <f t="shared" si="2"/>
        <v>Out-of-band blockingPORT31</v>
      </c>
      <c r="B192" t="s">
        <v>197</v>
      </c>
      <c r="C192" t="s">
        <v>156</v>
      </c>
      <c r="D192">
        <v>-15</v>
      </c>
      <c r="F192">
        <v>-10</v>
      </c>
      <c r="H192">
        <v>99.8</v>
      </c>
    </row>
    <row r="193" spans="1:8" x14ac:dyDescent="0.3">
      <c r="A193" t="str">
        <f t="shared" si="2"/>
        <v>Out-of-band blockingPORT32</v>
      </c>
      <c r="B193" t="s">
        <v>198</v>
      </c>
      <c r="C193" t="s">
        <v>156</v>
      </c>
      <c r="D193">
        <v>-15</v>
      </c>
      <c r="F193">
        <v>-10</v>
      </c>
      <c r="H193">
        <v>99.8</v>
      </c>
    </row>
    <row r="194" spans="1:8" x14ac:dyDescent="0.3">
      <c r="A194" t="str">
        <f t="shared" si="2"/>
        <v>General receiver intermodulationPORT1</v>
      </c>
      <c r="B194" t="s">
        <v>57</v>
      </c>
      <c r="C194" t="s">
        <v>163</v>
      </c>
      <c r="D194">
        <v>-52</v>
      </c>
      <c r="F194">
        <v>-47</v>
      </c>
      <c r="H194">
        <v>98.9</v>
      </c>
    </row>
    <row r="195" spans="1:8" x14ac:dyDescent="0.3">
      <c r="A195" t="str">
        <f t="shared" ref="A195:A258" si="3">C195&amp;B195</f>
        <v>General receiver intermodulationPORT2</v>
      </c>
      <c r="B195" t="s">
        <v>59</v>
      </c>
      <c r="C195" t="s">
        <v>163</v>
      </c>
      <c r="D195">
        <v>-52</v>
      </c>
      <c r="F195">
        <v>-47</v>
      </c>
      <c r="H195">
        <v>99.8</v>
      </c>
    </row>
    <row r="196" spans="1:8" x14ac:dyDescent="0.3">
      <c r="A196" t="str">
        <f t="shared" si="3"/>
        <v>General receiver intermodulationPORT3</v>
      </c>
      <c r="B196" t="s">
        <v>60</v>
      </c>
      <c r="C196" t="s">
        <v>163</v>
      </c>
      <c r="D196">
        <v>-52</v>
      </c>
      <c r="F196">
        <v>-47</v>
      </c>
      <c r="H196">
        <v>99.8</v>
      </c>
    </row>
    <row r="197" spans="1:8" x14ac:dyDescent="0.3">
      <c r="A197" t="str">
        <f t="shared" si="3"/>
        <v>General receiver intermodulationPORT4</v>
      </c>
      <c r="B197" t="s">
        <v>61</v>
      </c>
      <c r="C197" t="s">
        <v>163</v>
      </c>
      <c r="D197">
        <v>-52</v>
      </c>
      <c r="F197">
        <v>-47</v>
      </c>
      <c r="H197">
        <v>99.8</v>
      </c>
    </row>
    <row r="198" spans="1:8" x14ac:dyDescent="0.3">
      <c r="A198" t="str">
        <f t="shared" si="3"/>
        <v>General receiver intermodulationPORT5</v>
      </c>
      <c r="B198" t="s">
        <v>62</v>
      </c>
      <c r="C198" t="s">
        <v>163</v>
      </c>
      <c r="D198">
        <v>-52</v>
      </c>
      <c r="F198">
        <v>-47</v>
      </c>
      <c r="H198">
        <v>99.8</v>
      </c>
    </row>
    <row r="199" spans="1:8" x14ac:dyDescent="0.3">
      <c r="A199" t="str">
        <f t="shared" si="3"/>
        <v>General receiver intermodulationPORT6</v>
      </c>
      <c r="B199" t="s">
        <v>63</v>
      </c>
      <c r="C199" t="s">
        <v>163</v>
      </c>
      <c r="D199">
        <v>-52</v>
      </c>
      <c r="F199">
        <v>-47</v>
      </c>
      <c r="H199">
        <v>99.8</v>
      </c>
    </row>
    <row r="200" spans="1:8" x14ac:dyDescent="0.3">
      <c r="A200" t="str">
        <f t="shared" si="3"/>
        <v>General receiver intermodulationPORT7</v>
      </c>
      <c r="B200" t="s">
        <v>64</v>
      </c>
      <c r="C200" t="s">
        <v>163</v>
      </c>
      <c r="D200">
        <v>-52</v>
      </c>
      <c r="F200">
        <v>-47</v>
      </c>
      <c r="H200">
        <v>99.8</v>
      </c>
    </row>
    <row r="201" spans="1:8" x14ac:dyDescent="0.3">
      <c r="A201" t="str">
        <f t="shared" si="3"/>
        <v>General receiver intermodulationPORT8</v>
      </c>
      <c r="B201" t="s">
        <v>65</v>
      </c>
      <c r="C201" t="s">
        <v>163</v>
      </c>
      <c r="D201">
        <v>-52</v>
      </c>
      <c r="F201">
        <v>-47</v>
      </c>
      <c r="H201">
        <v>99.8</v>
      </c>
    </row>
    <row r="202" spans="1:8" x14ac:dyDescent="0.3">
      <c r="A202" t="str">
        <f t="shared" si="3"/>
        <v>General receiver intermodulationPORT9</v>
      </c>
      <c r="B202" t="s">
        <v>175</v>
      </c>
      <c r="C202" t="s">
        <v>163</v>
      </c>
      <c r="D202">
        <v>-52</v>
      </c>
      <c r="F202">
        <v>-47</v>
      </c>
      <c r="H202">
        <v>98.9</v>
      </c>
    </row>
    <row r="203" spans="1:8" x14ac:dyDescent="0.3">
      <c r="A203" t="str">
        <f t="shared" si="3"/>
        <v>General receiver intermodulationPORT10</v>
      </c>
      <c r="B203" t="s">
        <v>176</v>
      </c>
      <c r="C203" t="s">
        <v>163</v>
      </c>
      <c r="D203">
        <v>-52</v>
      </c>
      <c r="F203">
        <v>-47</v>
      </c>
      <c r="H203">
        <v>99.8</v>
      </c>
    </row>
    <row r="204" spans="1:8" x14ac:dyDescent="0.3">
      <c r="A204" t="str">
        <f t="shared" si="3"/>
        <v>General receiver intermodulationPORT11</v>
      </c>
      <c r="B204" t="s">
        <v>177</v>
      </c>
      <c r="C204" t="s">
        <v>163</v>
      </c>
      <c r="D204">
        <v>-52</v>
      </c>
      <c r="F204">
        <v>-47</v>
      </c>
      <c r="H204">
        <v>99.8</v>
      </c>
    </row>
    <row r="205" spans="1:8" x14ac:dyDescent="0.3">
      <c r="A205" t="str">
        <f t="shared" si="3"/>
        <v>General receiver intermodulationPORT12</v>
      </c>
      <c r="B205" t="s">
        <v>178</v>
      </c>
      <c r="C205" t="s">
        <v>163</v>
      </c>
      <c r="D205">
        <v>-52</v>
      </c>
      <c r="F205">
        <v>-47</v>
      </c>
      <c r="H205">
        <v>99.8</v>
      </c>
    </row>
    <row r="206" spans="1:8" x14ac:dyDescent="0.3">
      <c r="A206" t="str">
        <f t="shared" si="3"/>
        <v>General receiver intermodulationPORT13</v>
      </c>
      <c r="B206" t="s">
        <v>179</v>
      </c>
      <c r="C206" t="s">
        <v>163</v>
      </c>
      <c r="D206">
        <v>-52</v>
      </c>
      <c r="F206">
        <v>-47</v>
      </c>
      <c r="H206">
        <v>7.6</v>
      </c>
    </row>
    <row r="207" spans="1:8" x14ac:dyDescent="0.3">
      <c r="A207" t="str">
        <f t="shared" si="3"/>
        <v>General receiver intermodulationPORT14</v>
      </c>
      <c r="B207" t="s">
        <v>180</v>
      </c>
      <c r="C207" t="s">
        <v>163</v>
      </c>
      <c r="D207">
        <v>-52</v>
      </c>
      <c r="F207">
        <v>-47</v>
      </c>
      <c r="H207">
        <v>99.8</v>
      </c>
    </row>
    <row r="208" spans="1:8" x14ac:dyDescent="0.3">
      <c r="A208" t="str">
        <f t="shared" si="3"/>
        <v>General receiver intermodulationPORT15</v>
      </c>
      <c r="B208" t="s">
        <v>181</v>
      </c>
      <c r="C208" t="s">
        <v>163</v>
      </c>
      <c r="D208">
        <v>-52</v>
      </c>
      <c r="F208">
        <v>-47</v>
      </c>
      <c r="H208">
        <v>99.8</v>
      </c>
    </row>
    <row r="209" spans="1:8" x14ac:dyDescent="0.3">
      <c r="A209" t="str">
        <f t="shared" si="3"/>
        <v>General receiver intermodulationPORT16</v>
      </c>
      <c r="B209" t="s">
        <v>182</v>
      </c>
      <c r="C209" t="s">
        <v>163</v>
      </c>
      <c r="D209">
        <v>-52</v>
      </c>
      <c r="F209">
        <v>-47</v>
      </c>
      <c r="H209">
        <v>0</v>
      </c>
    </row>
    <row r="210" spans="1:8" x14ac:dyDescent="0.3">
      <c r="A210" t="str">
        <f t="shared" si="3"/>
        <v>General receiver intermodulationPORT17</v>
      </c>
      <c r="B210" t="s">
        <v>183</v>
      </c>
      <c r="C210" t="s">
        <v>163</v>
      </c>
      <c r="D210">
        <v>-52</v>
      </c>
      <c r="F210">
        <v>-47</v>
      </c>
      <c r="H210">
        <v>98.9</v>
      </c>
    </row>
    <row r="211" spans="1:8" x14ac:dyDescent="0.3">
      <c r="A211" t="str">
        <f t="shared" si="3"/>
        <v>General receiver intermodulationPORT18</v>
      </c>
      <c r="B211" t="s">
        <v>184</v>
      </c>
      <c r="C211" t="s">
        <v>163</v>
      </c>
      <c r="D211">
        <v>-52</v>
      </c>
      <c r="F211">
        <v>-47</v>
      </c>
      <c r="H211">
        <v>99.8</v>
      </c>
    </row>
    <row r="212" spans="1:8" x14ac:dyDescent="0.3">
      <c r="A212" t="str">
        <f t="shared" si="3"/>
        <v>General receiver intermodulationPORT19</v>
      </c>
      <c r="B212" t="s">
        <v>185</v>
      </c>
      <c r="C212" t="s">
        <v>163</v>
      </c>
      <c r="D212">
        <v>-52</v>
      </c>
      <c r="F212">
        <v>-47</v>
      </c>
      <c r="H212">
        <v>99.8</v>
      </c>
    </row>
    <row r="213" spans="1:8" x14ac:dyDescent="0.3">
      <c r="A213" t="str">
        <f t="shared" si="3"/>
        <v>General receiver intermodulationPORT20</v>
      </c>
      <c r="B213" t="s">
        <v>186</v>
      </c>
      <c r="C213" t="s">
        <v>163</v>
      </c>
      <c r="D213">
        <v>-52</v>
      </c>
      <c r="F213">
        <v>-47</v>
      </c>
      <c r="H213">
        <v>99.8</v>
      </c>
    </row>
    <row r="214" spans="1:8" x14ac:dyDescent="0.3">
      <c r="A214" t="str">
        <f t="shared" si="3"/>
        <v>General receiver intermodulationPORT21</v>
      </c>
      <c r="B214" t="s">
        <v>187</v>
      </c>
      <c r="C214" t="s">
        <v>163</v>
      </c>
      <c r="D214">
        <v>-52</v>
      </c>
      <c r="F214">
        <v>-47</v>
      </c>
      <c r="H214">
        <v>99.8</v>
      </c>
    </row>
    <row r="215" spans="1:8" x14ac:dyDescent="0.3">
      <c r="A215" t="str">
        <f t="shared" si="3"/>
        <v>General receiver intermodulationPORT22</v>
      </c>
      <c r="B215" t="s">
        <v>188</v>
      </c>
      <c r="C215" t="s">
        <v>163</v>
      </c>
      <c r="D215">
        <v>-52</v>
      </c>
      <c r="F215">
        <v>-47</v>
      </c>
      <c r="H215">
        <v>99.8</v>
      </c>
    </row>
    <row r="216" spans="1:8" x14ac:dyDescent="0.3">
      <c r="A216" t="str">
        <f t="shared" si="3"/>
        <v>General receiver intermodulationPORT23</v>
      </c>
      <c r="B216" t="s">
        <v>189</v>
      </c>
      <c r="C216" t="s">
        <v>163</v>
      </c>
      <c r="D216">
        <v>-52</v>
      </c>
      <c r="F216">
        <v>-47</v>
      </c>
      <c r="H216">
        <v>99.8</v>
      </c>
    </row>
    <row r="217" spans="1:8" x14ac:dyDescent="0.3">
      <c r="A217" t="str">
        <f t="shared" si="3"/>
        <v>General receiver intermodulationPORT24</v>
      </c>
      <c r="B217" t="s">
        <v>190</v>
      </c>
      <c r="C217" t="s">
        <v>163</v>
      </c>
      <c r="D217">
        <v>-52</v>
      </c>
      <c r="F217">
        <v>-47</v>
      </c>
      <c r="H217">
        <v>99.2</v>
      </c>
    </row>
    <row r="218" spans="1:8" x14ac:dyDescent="0.3">
      <c r="A218" t="str">
        <f t="shared" si="3"/>
        <v>General receiver intermodulationPORT25</v>
      </c>
      <c r="B218" t="s">
        <v>191</v>
      </c>
      <c r="C218" t="s">
        <v>163</v>
      </c>
      <c r="D218">
        <v>-52</v>
      </c>
      <c r="F218">
        <v>-47</v>
      </c>
      <c r="H218">
        <v>98.9</v>
      </c>
    </row>
    <row r="219" spans="1:8" x14ac:dyDescent="0.3">
      <c r="A219" t="str">
        <f t="shared" si="3"/>
        <v>General receiver intermodulationPORT26</v>
      </c>
      <c r="B219" t="s">
        <v>192</v>
      </c>
      <c r="C219" t="s">
        <v>163</v>
      </c>
      <c r="D219">
        <v>-52</v>
      </c>
      <c r="F219">
        <v>-47</v>
      </c>
      <c r="H219">
        <v>99.8</v>
      </c>
    </row>
    <row r="220" spans="1:8" x14ac:dyDescent="0.3">
      <c r="A220" t="str">
        <f t="shared" si="3"/>
        <v>General receiver intermodulationPORT27</v>
      </c>
      <c r="B220" t="s">
        <v>193</v>
      </c>
      <c r="C220" t="s">
        <v>163</v>
      </c>
      <c r="D220">
        <v>-52</v>
      </c>
      <c r="F220">
        <v>-47</v>
      </c>
      <c r="H220">
        <v>99.8</v>
      </c>
    </row>
    <row r="221" spans="1:8" x14ac:dyDescent="0.3">
      <c r="A221" t="str">
        <f t="shared" si="3"/>
        <v>General receiver intermodulationPORT28</v>
      </c>
      <c r="B221" t="s">
        <v>194</v>
      </c>
      <c r="C221" t="s">
        <v>163</v>
      </c>
      <c r="D221">
        <v>-52</v>
      </c>
      <c r="F221">
        <v>-47</v>
      </c>
      <c r="H221">
        <v>99.8</v>
      </c>
    </row>
    <row r="222" spans="1:8" x14ac:dyDescent="0.3">
      <c r="A222" t="str">
        <f t="shared" si="3"/>
        <v>General receiver intermodulationPORT29</v>
      </c>
      <c r="B222" t="s">
        <v>195</v>
      </c>
      <c r="C222" t="s">
        <v>163</v>
      </c>
      <c r="D222">
        <v>-52</v>
      </c>
      <c r="F222">
        <v>-47</v>
      </c>
      <c r="H222">
        <v>99.8</v>
      </c>
    </row>
    <row r="223" spans="1:8" x14ac:dyDescent="0.3">
      <c r="A223" t="str">
        <f t="shared" si="3"/>
        <v>General receiver intermodulationPORT30</v>
      </c>
      <c r="B223" t="s">
        <v>196</v>
      </c>
      <c r="C223" t="s">
        <v>163</v>
      </c>
      <c r="D223">
        <v>-52</v>
      </c>
      <c r="F223">
        <v>-47</v>
      </c>
      <c r="H223">
        <v>99.8</v>
      </c>
    </row>
    <row r="224" spans="1:8" x14ac:dyDescent="0.3">
      <c r="A224" t="str">
        <f t="shared" si="3"/>
        <v>General receiver intermodulationPORT31</v>
      </c>
      <c r="B224" t="s">
        <v>197</v>
      </c>
      <c r="C224" t="s">
        <v>163</v>
      </c>
      <c r="D224">
        <v>-52</v>
      </c>
      <c r="F224">
        <v>-47</v>
      </c>
      <c r="H224">
        <v>99.8</v>
      </c>
    </row>
    <row r="225" spans="1:8" x14ac:dyDescent="0.3">
      <c r="A225" t="str">
        <f t="shared" si="3"/>
        <v>General receiver intermodulationPORT32</v>
      </c>
      <c r="B225" t="s">
        <v>198</v>
      </c>
      <c r="C225" t="s">
        <v>163</v>
      </c>
      <c r="D225">
        <v>-52</v>
      </c>
      <c r="F225">
        <v>-47</v>
      </c>
      <c r="H225">
        <v>99.8</v>
      </c>
    </row>
    <row r="226" spans="1:8" x14ac:dyDescent="0.3">
      <c r="A226" t="str">
        <f t="shared" si="3"/>
        <v>Narrowband receiver intermodulationPORT1</v>
      </c>
      <c r="B226" t="s">
        <v>57</v>
      </c>
      <c r="C226" t="s">
        <v>166</v>
      </c>
      <c r="D226">
        <v>-52</v>
      </c>
      <c r="F226">
        <v>-47</v>
      </c>
      <c r="H226">
        <v>98.9</v>
      </c>
    </row>
    <row r="227" spans="1:8" x14ac:dyDescent="0.3">
      <c r="A227" t="str">
        <f t="shared" si="3"/>
        <v>Narrowband receiver intermodulationPORT2</v>
      </c>
      <c r="B227" t="s">
        <v>59</v>
      </c>
      <c r="C227" t="s">
        <v>166</v>
      </c>
      <c r="D227">
        <v>-52</v>
      </c>
      <c r="F227">
        <v>-47</v>
      </c>
      <c r="H227">
        <v>99.8</v>
      </c>
    </row>
    <row r="228" spans="1:8" x14ac:dyDescent="0.3">
      <c r="A228" t="str">
        <f t="shared" si="3"/>
        <v>Narrowband receiver intermodulationPORT3</v>
      </c>
      <c r="B228" t="s">
        <v>60</v>
      </c>
      <c r="C228" t="s">
        <v>166</v>
      </c>
      <c r="D228">
        <v>-52</v>
      </c>
      <c r="F228">
        <v>-47</v>
      </c>
      <c r="H228">
        <v>99.8</v>
      </c>
    </row>
    <row r="229" spans="1:8" x14ac:dyDescent="0.3">
      <c r="A229" t="str">
        <f t="shared" si="3"/>
        <v>Narrowband receiver intermodulationPORT4</v>
      </c>
      <c r="B229" t="s">
        <v>61</v>
      </c>
      <c r="C229" t="s">
        <v>166</v>
      </c>
      <c r="D229">
        <v>-52</v>
      </c>
      <c r="F229">
        <v>-47</v>
      </c>
      <c r="H229">
        <v>99.8</v>
      </c>
    </row>
    <row r="230" spans="1:8" x14ac:dyDescent="0.3">
      <c r="A230" t="str">
        <f t="shared" si="3"/>
        <v>Narrowband receiver intermodulationPORT5</v>
      </c>
      <c r="B230" t="s">
        <v>62</v>
      </c>
      <c r="C230" t="s">
        <v>166</v>
      </c>
      <c r="D230">
        <v>-52</v>
      </c>
      <c r="F230">
        <v>-47</v>
      </c>
      <c r="H230">
        <v>99.8</v>
      </c>
    </row>
    <row r="231" spans="1:8" x14ac:dyDescent="0.3">
      <c r="A231" t="str">
        <f t="shared" si="3"/>
        <v>Narrowband receiver intermodulationPORT6</v>
      </c>
      <c r="B231" t="s">
        <v>63</v>
      </c>
      <c r="C231" t="s">
        <v>166</v>
      </c>
      <c r="D231">
        <v>-52</v>
      </c>
      <c r="F231">
        <v>-47</v>
      </c>
      <c r="H231">
        <v>99.8</v>
      </c>
    </row>
    <row r="232" spans="1:8" x14ac:dyDescent="0.3">
      <c r="A232" t="str">
        <f t="shared" si="3"/>
        <v>Narrowband receiver intermodulationPORT7</v>
      </c>
      <c r="B232" t="s">
        <v>64</v>
      </c>
      <c r="C232" t="s">
        <v>166</v>
      </c>
      <c r="D232">
        <v>-52</v>
      </c>
      <c r="F232">
        <v>-47</v>
      </c>
      <c r="H232">
        <v>99.8</v>
      </c>
    </row>
    <row r="233" spans="1:8" x14ac:dyDescent="0.3">
      <c r="A233" t="str">
        <f t="shared" si="3"/>
        <v>Narrowband receiver intermodulationPORT8</v>
      </c>
      <c r="B233" t="s">
        <v>65</v>
      </c>
      <c r="C233" t="s">
        <v>166</v>
      </c>
      <c r="D233">
        <v>-52</v>
      </c>
      <c r="F233">
        <v>-47</v>
      </c>
      <c r="H233">
        <v>99.8</v>
      </c>
    </row>
    <row r="234" spans="1:8" x14ac:dyDescent="0.3">
      <c r="A234" t="str">
        <f t="shared" si="3"/>
        <v>Narrowband receiver intermodulationPORT9</v>
      </c>
      <c r="B234" t="s">
        <v>175</v>
      </c>
      <c r="C234" t="s">
        <v>166</v>
      </c>
      <c r="D234">
        <v>-52</v>
      </c>
      <c r="F234">
        <v>-47</v>
      </c>
      <c r="H234">
        <v>98.9</v>
      </c>
    </row>
    <row r="235" spans="1:8" x14ac:dyDescent="0.3">
      <c r="A235" t="str">
        <f t="shared" si="3"/>
        <v>Narrowband receiver intermodulationPORT10</v>
      </c>
      <c r="B235" t="s">
        <v>176</v>
      </c>
      <c r="C235" t="s">
        <v>166</v>
      </c>
      <c r="D235">
        <v>-52</v>
      </c>
      <c r="F235">
        <v>-47</v>
      </c>
      <c r="H235">
        <v>99.8</v>
      </c>
    </row>
    <row r="236" spans="1:8" x14ac:dyDescent="0.3">
      <c r="A236" t="str">
        <f t="shared" si="3"/>
        <v>Narrowband receiver intermodulationPORT11</v>
      </c>
      <c r="B236" t="s">
        <v>177</v>
      </c>
      <c r="C236" t="s">
        <v>166</v>
      </c>
      <c r="D236">
        <v>-52</v>
      </c>
      <c r="F236">
        <v>-47</v>
      </c>
      <c r="H236">
        <v>99.8</v>
      </c>
    </row>
    <row r="237" spans="1:8" x14ac:dyDescent="0.3">
      <c r="A237" t="str">
        <f t="shared" si="3"/>
        <v>Narrowband receiver intermodulationPORT12</v>
      </c>
      <c r="B237" t="s">
        <v>178</v>
      </c>
      <c r="C237" t="s">
        <v>166</v>
      </c>
      <c r="D237">
        <v>-52</v>
      </c>
      <c r="F237">
        <v>-47</v>
      </c>
      <c r="H237">
        <v>99.8</v>
      </c>
    </row>
    <row r="238" spans="1:8" x14ac:dyDescent="0.3">
      <c r="A238" t="str">
        <f t="shared" si="3"/>
        <v>Narrowband receiver intermodulationPORT13</v>
      </c>
      <c r="B238" t="s">
        <v>179</v>
      </c>
      <c r="C238" t="s">
        <v>166</v>
      </c>
      <c r="D238">
        <v>-52</v>
      </c>
      <c r="F238">
        <v>-47</v>
      </c>
      <c r="H238">
        <v>7.6</v>
      </c>
    </row>
    <row r="239" spans="1:8" x14ac:dyDescent="0.3">
      <c r="A239" t="str">
        <f t="shared" si="3"/>
        <v>Narrowband receiver intermodulationPORT14</v>
      </c>
      <c r="B239" t="s">
        <v>180</v>
      </c>
      <c r="C239" t="s">
        <v>166</v>
      </c>
      <c r="D239">
        <v>-52</v>
      </c>
      <c r="F239">
        <v>-47</v>
      </c>
      <c r="H239">
        <v>99.8</v>
      </c>
    </row>
    <row r="240" spans="1:8" x14ac:dyDescent="0.3">
      <c r="A240" t="str">
        <f t="shared" si="3"/>
        <v>Narrowband receiver intermodulationPORT15</v>
      </c>
      <c r="B240" t="s">
        <v>181</v>
      </c>
      <c r="C240" t="s">
        <v>166</v>
      </c>
      <c r="D240">
        <v>-52</v>
      </c>
      <c r="F240">
        <v>-47</v>
      </c>
      <c r="H240">
        <v>99.8</v>
      </c>
    </row>
    <row r="241" spans="1:8" x14ac:dyDescent="0.3">
      <c r="A241" t="str">
        <f t="shared" si="3"/>
        <v>Narrowband receiver intermodulationPORT16</v>
      </c>
      <c r="B241" t="s">
        <v>182</v>
      </c>
      <c r="C241" t="s">
        <v>166</v>
      </c>
      <c r="D241">
        <v>-52</v>
      </c>
      <c r="F241">
        <v>-47</v>
      </c>
      <c r="H241">
        <v>0</v>
      </c>
    </row>
    <row r="242" spans="1:8" x14ac:dyDescent="0.3">
      <c r="A242" t="str">
        <f t="shared" si="3"/>
        <v>Narrowband receiver intermodulationPORT17</v>
      </c>
      <c r="B242" t="s">
        <v>183</v>
      </c>
      <c r="C242" t="s">
        <v>166</v>
      </c>
      <c r="D242">
        <v>-52</v>
      </c>
      <c r="F242">
        <v>-47</v>
      </c>
      <c r="H242">
        <v>98.9</v>
      </c>
    </row>
    <row r="243" spans="1:8" x14ac:dyDescent="0.3">
      <c r="A243" t="str">
        <f t="shared" si="3"/>
        <v>Narrowband receiver intermodulationPORT18</v>
      </c>
      <c r="B243" t="s">
        <v>184</v>
      </c>
      <c r="C243" t="s">
        <v>166</v>
      </c>
      <c r="D243">
        <v>-52</v>
      </c>
      <c r="F243">
        <v>-47</v>
      </c>
      <c r="H243">
        <v>99.8</v>
      </c>
    </row>
    <row r="244" spans="1:8" x14ac:dyDescent="0.3">
      <c r="A244" t="str">
        <f t="shared" si="3"/>
        <v>Narrowband receiver intermodulationPORT19</v>
      </c>
      <c r="B244" t="s">
        <v>185</v>
      </c>
      <c r="C244" t="s">
        <v>166</v>
      </c>
      <c r="D244">
        <v>-52</v>
      </c>
      <c r="F244">
        <v>-47</v>
      </c>
      <c r="H244">
        <v>99.8</v>
      </c>
    </row>
    <row r="245" spans="1:8" x14ac:dyDescent="0.3">
      <c r="A245" t="str">
        <f t="shared" si="3"/>
        <v>Narrowband receiver intermodulationPORT20</v>
      </c>
      <c r="B245" t="s">
        <v>186</v>
      </c>
      <c r="C245" t="s">
        <v>166</v>
      </c>
      <c r="D245">
        <v>-52</v>
      </c>
      <c r="F245">
        <v>-47</v>
      </c>
      <c r="H245">
        <v>99.8</v>
      </c>
    </row>
    <row r="246" spans="1:8" x14ac:dyDescent="0.3">
      <c r="A246" t="str">
        <f t="shared" si="3"/>
        <v>Narrowband receiver intermodulationPORT21</v>
      </c>
      <c r="B246" t="s">
        <v>187</v>
      </c>
      <c r="C246" t="s">
        <v>166</v>
      </c>
      <c r="D246">
        <v>-52</v>
      </c>
      <c r="F246">
        <v>-47</v>
      </c>
      <c r="H246">
        <v>99.8</v>
      </c>
    </row>
    <row r="247" spans="1:8" x14ac:dyDescent="0.3">
      <c r="A247" t="str">
        <f t="shared" si="3"/>
        <v>Narrowband receiver intermodulationPORT22</v>
      </c>
      <c r="B247" t="s">
        <v>188</v>
      </c>
      <c r="C247" t="s">
        <v>166</v>
      </c>
      <c r="D247">
        <v>-52</v>
      </c>
      <c r="F247">
        <v>-47</v>
      </c>
      <c r="H247">
        <v>99.8</v>
      </c>
    </row>
    <row r="248" spans="1:8" x14ac:dyDescent="0.3">
      <c r="A248" t="str">
        <f t="shared" si="3"/>
        <v>Narrowband receiver intermodulationPORT23</v>
      </c>
      <c r="B248" t="s">
        <v>189</v>
      </c>
      <c r="C248" t="s">
        <v>166</v>
      </c>
      <c r="D248">
        <v>-52</v>
      </c>
      <c r="F248">
        <v>-47</v>
      </c>
      <c r="H248">
        <v>99.8</v>
      </c>
    </row>
    <row r="249" spans="1:8" x14ac:dyDescent="0.3">
      <c r="A249" t="str">
        <f t="shared" si="3"/>
        <v>Narrowband receiver intermodulationPORT24</v>
      </c>
      <c r="B249" t="s">
        <v>190</v>
      </c>
      <c r="C249" t="s">
        <v>166</v>
      </c>
      <c r="D249">
        <v>-52</v>
      </c>
      <c r="F249">
        <v>-47</v>
      </c>
      <c r="H249">
        <v>99.2</v>
      </c>
    </row>
    <row r="250" spans="1:8" x14ac:dyDescent="0.3">
      <c r="A250" t="str">
        <f t="shared" si="3"/>
        <v>Narrowband receiver intermodulationPORT25</v>
      </c>
      <c r="B250" t="s">
        <v>191</v>
      </c>
      <c r="C250" t="s">
        <v>166</v>
      </c>
      <c r="D250">
        <v>-52</v>
      </c>
      <c r="F250">
        <v>-47</v>
      </c>
      <c r="H250">
        <v>98.9</v>
      </c>
    </row>
    <row r="251" spans="1:8" x14ac:dyDescent="0.3">
      <c r="A251" t="str">
        <f t="shared" si="3"/>
        <v>Narrowband receiver intermodulationPORT26</v>
      </c>
      <c r="B251" t="s">
        <v>192</v>
      </c>
      <c r="C251" t="s">
        <v>166</v>
      </c>
      <c r="D251">
        <v>-52</v>
      </c>
      <c r="F251">
        <v>-47</v>
      </c>
      <c r="H251">
        <v>99.8</v>
      </c>
    </row>
    <row r="252" spans="1:8" x14ac:dyDescent="0.3">
      <c r="A252" t="str">
        <f t="shared" si="3"/>
        <v>Narrowband receiver intermodulationPORT27</v>
      </c>
      <c r="B252" t="s">
        <v>193</v>
      </c>
      <c r="C252" t="s">
        <v>166</v>
      </c>
      <c r="D252">
        <v>-52</v>
      </c>
      <c r="F252">
        <v>-47</v>
      </c>
      <c r="H252">
        <v>99.8</v>
      </c>
    </row>
    <row r="253" spans="1:8" x14ac:dyDescent="0.3">
      <c r="A253" t="str">
        <f t="shared" si="3"/>
        <v>Narrowband receiver intermodulationPORT28</v>
      </c>
      <c r="B253" t="s">
        <v>194</v>
      </c>
      <c r="C253" t="s">
        <v>166</v>
      </c>
      <c r="D253">
        <v>-52</v>
      </c>
      <c r="F253">
        <v>-47</v>
      </c>
      <c r="H253">
        <v>99.8</v>
      </c>
    </row>
    <row r="254" spans="1:8" x14ac:dyDescent="0.3">
      <c r="A254" t="str">
        <f t="shared" si="3"/>
        <v>Narrowband receiver intermodulationPORT29</v>
      </c>
      <c r="B254" t="s">
        <v>195</v>
      </c>
      <c r="C254" t="s">
        <v>166</v>
      </c>
      <c r="D254">
        <v>-52</v>
      </c>
      <c r="F254">
        <v>-47</v>
      </c>
      <c r="H254">
        <v>99.8</v>
      </c>
    </row>
    <row r="255" spans="1:8" x14ac:dyDescent="0.3">
      <c r="A255" t="str">
        <f t="shared" si="3"/>
        <v>Narrowband receiver intermodulationPORT30</v>
      </c>
      <c r="B255" t="s">
        <v>196</v>
      </c>
      <c r="C255" t="s">
        <v>166</v>
      </c>
      <c r="D255">
        <v>-52</v>
      </c>
      <c r="F255">
        <v>-47</v>
      </c>
      <c r="H255">
        <v>99.8</v>
      </c>
    </row>
    <row r="256" spans="1:8" x14ac:dyDescent="0.3">
      <c r="A256" t="str">
        <f t="shared" si="3"/>
        <v>Narrowband receiver intermodulationPORT31</v>
      </c>
      <c r="B256" t="s">
        <v>197</v>
      </c>
      <c r="C256" t="s">
        <v>166</v>
      </c>
      <c r="D256">
        <v>-52</v>
      </c>
      <c r="F256">
        <v>-47</v>
      </c>
      <c r="H256">
        <v>99.8</v>
      </c>
    </row>
    <row r="257" spans="1:8" x14ac:dyDescent="0.3">
      <c r="A257" t="str">
        <f t="shared" si="3"/>
        <v>Narrowband receiver intermodulationPORT32</v>
      </c>
      <c r="B257" t="s">
        <v>198</v>
      </c>
      <c r="C257" t="s">
        <v>166</v>
      </c>
      <c r="D257">
        <v>-52</v>
      </c>
      <c r="F257">
        <v>-47</v>
      </c>
      <c r="H257">
        <v>99.8</v>
      </c>
    </row>
    <row r="258" spans="1:8" x14ac:dyDescent="0.3">
      <c r="A258" t="str">
        <f t="shared" si="3"/>
        <v>In-channel selectivityPORT1</v>
      </c>
      <c r="B258" t="s">
        <v>57</v>
      </c>
      <c r="C258" t="s">
        <v>169</v>
      </c>
      <c r="D258">
        <v>-71.400000000000006</v>
      </c>
      <c r="F258">
        <v>-55.4</v>
      </c>
      <c r="H258">
        <v>98.9</v>
      </c>
    </row>
    <row r="259" spans="1:8" x14ac:dyDescent="0.3">
      <c r="A259" t="str">
        <f t="shared" ref="A259:A289" si="4">C259&amp;B259</f>
        <v>In-channel selectivityPORT2</v>
      </c>
      <c r="B259" t="s">
        <v>59</v>
      </c>
      <c r="C259" t="s">
        <v>169</v>
      </c>
      <c r="D259">
        <v>-71.400000000000006</v>
      </c>
      <c r="F259">
        <v>-55.4</v>
      </c>
      <c r="H259">
        <v>99.8</v>
      </c>
    </row>
    <row r="260" spans="1:8" x14ac:dyDescent="0.3">
      <c r="A260" t="str">
        <f t="shared" si="4"/>
        <v>In-channel selectivityPORT3</v>
      </c>
      <c r="B260" t="s">
        <v>60</v>
      </c>
      <c r="C260" t="s">
        <v>169</v>
      </c>
      <c r="D260">
        <v>-71.400000000000006</v>
      </c>
      <c r="F260">
        <v>-55.4</v>
      </c>
      <c r="H260">
        <v>99.8</v>
      </c>
    </row>
    <row r="261" spans="1:8" x14ac:dyDescent="0.3">
      <c r="A261" t="str">
        <f t="shared" si="4"/>
        <v>In-channel selectivityPORT4</v>
      </c>
      <c r="B261" t="s">
        <v>61</v>
      </c>
      <c r="C261" t="s">
        <v>169</v>
      </c>
      <c r="D261">
        <v>-71.400000000000006</v>
      </c>
      <c r="F261">
        <v>-55.4</v>
      </c>
      <c r="H261">
        <v>99.8</v>
      </c>
    </row>
    <row r="262" spans="1:8" x14ac:dyDescent="0.3">
      <c r="A262" t="str">
        <f t="shared" si="4"/>
        <v>In-channel selectivityPORT5</v>
      </c>
      <c r="B262" t="s">
        <v>62</v>
      </c>
      <c r="C262" t="s">
        <v>169</v>
      </c>
      <c r="D262">
        <v>-71.400000000000006</v>
      </c>
      <c r="F262">
        <v>-55.4</v>
      </c>
      <c r="H262">
        <v>99.8</v>
      </c>
    </row>
    <row r="263" spans="1:8" x14ac:dyDescent="0.3">
      <c r="A263" t="str">
        <f t="shared" si="4"/>
        <v>In-channel selectivityPORT6</v>
      </c>
      <c r="B263" t="s">
        <v>63</v>
      </c>
      <c r="C263" t="s">
        <v>169</v>
      </c>
      <c r="D263">
        <v>-71.400000000000006</v>
      </c>
      <c r="F263">
        <v>-55.4</v>
      </c>
      <c r="H263">
        <v>99.8</v>
      </c>
    </row>
    <row r="264" spans="1:8" x14ac:dyDescent="0.3">
      <c r="A264" t="str">
        <f t="shared" si="4"/>
        <v>In-channel selectivityPORT7</v>
      </c>
      <c r="B264" t="s">
        <v>64</v>
      </c>
      <c r="C264" t="s">
        <v>169</v>
      </c>
      <c r="D264">
        <v>-71.400000000000006</v>
      </c>
      <c r="F264">
        <v>-55.4</v>
      </c>
      <c r="H264">
        <v>99.8</v>
      </c>
    </row>
    <row r="265" spans="1:8" x14ac:dyDescent="0.3">
      <c r="A265" t="str">
        <f t="shared" si="4"/>
        <v>In-channel selectivityPORT8</v>
      </c>
      <c r="B265" t="s">
        <v>65</v>
      </c>
      <c r="C265" t="s">
        <v>169</v>
      </c>
      <c r="D265">
        <v>-71.400000000000006</v>
      </c>
      <c r="F265">
        <v>-55.4</v>
      </c>
      <c r="H265">
        <v>99.8</v>
      </c>
    </row>
    <row r="266" spans="1:8" x14ac:dyDescent="0.3">
      <c r="A266" t="str">
        <f t="shared" si="4"/>
        <v>In-channel selectivityPORT9</v>
      </c>
      <c r="B266" t="s">
        <v>175</v>
      </c>
      <c r="C266" t="s">
        <v>169</v>
      </c>
      <c r="D266">
        <v>-71.400000000000006</v>
      </c>
      <c r="F266">
        <v>-55.4</v>
      </c>
      <c r="H266">
        <v>98.9</v>
      </c>
    </row>
    <row r="267" spans="1:8" x14ac:dyDescent="0.3">
      <c r="A267" t="str">
        <f t="shared" si="4"/>
        <v>In-channel selectivityPORT10</v>
      </c>
      <c r="B267" t="s">
        <v>176</v>
      </c>
      <c r="C267" t="s">
        <v>169</v>
      </c>
      <c r="D267">
        <v>-71.400000000000006</v>
      </c>
      <c r="F267">
        <v>-55.4</v>
      </c>
      <c r="H267">
        <v>99.8</v>
      </c>
    </row>
    <row r="268" spans="1:8" x14ac:dyDescent="0.3">
      <c r="A268" t="str">
        <f t="shared" si="4"/>
        <v>In-channel selectivityPORT11</v>
      </c>
      <c r="B268" t="s">
        <v>177</v>
      </c>
      <c r="C268" t="s">
        <v>169</v>
      </c>
      <c r="D268">
        <v>-71.400000000000006</v>
      </c>
      <c r="F268">
        <v>-55.4</v>
      </c>
      <c r="H268">
        <v>99.8</v>
      </c>
    </row>
    <row r="269" spans="1:8" x14ac:dyDescent="0.3">
      <c r="A269" t="str">
        <f t="shared" si="4"/>
        <v>In-channel selectivityPORT12</v>
      </c>
      <c r="B269" t="s">
        <v>178</v>
      </c>
      <c r="C269" t="s">
        <v>169</v>
      </c>
      <c r="D269">
        <v>-71.400000000000006</v>
      </c>
      <c r="F269">
        <v>-55.4</v>
      </c>
      <c r="H269">
        <v>99.8</v>
      </c>
    </row>
    <row r="270" spans="1:8" x14ac:dyDescent="0.3">
      <c r="A270" t="str">
        <f t="shared" si="4"/>
        <v>In-channel selectivityPORT13</v>
      </c>
      <c r="B270" t="s">
        <v>179</v>
      </c>
      <c r="C270" t="s">
        <v>169</v>
      </c>
      <c r="D270">
        <v>-71.400000000000006</v>
      </c>
      <c r="F270">
        <v>-55.4</v>
      </c>
      <c r="H270">
        <v>7.6</v>
      </c>
    </row>
    <row r="271" spans="1:8" x14ac:dyDescent="0.3">
      <c r="A271" t="str">
        <f t="shared" si="4"/>
        <v>In-channel selectivityPORT14</v>
      </c>
      <c r="B271" t="s">
        <v>180</v>
      </c>
      <c r="C271" t="s">
        <v>169</v>
      </c>
      <c r="D271">
        <v>-71.400000000000006</v>
      </c>
      <c r="F271">
        <v>-55.4</v>
      </c>
      <c r="H271">
        <v>99.8</v>
      </c>
    </row>
    <row r="272" spans="1:8" x14ac:dyDescent="0.3">
      <c r="A272" t="str">
        <f t="shared" si="4"/>
        <v>In-channel selectivityPORT15</v>
      </c>
      <c r="B272" t="s">
        <v>181</v>
      </c>
      <c r="C272" t="s">
        <v>169</v>
      </c>
      <c r="D272">
        <v>-71.400000000000006</v>
      </c>
      <c r="F272">
        <v>-55.4</v>
      </c>
      <c r="H272">
        <v>99.8</v>
      </c>
    </row>
    <row r="273" spans="1:8" x14ac:dyDescent="0.3">
      <c r="A273" t="str">
        <f t="shared" si="4"/>
        <v>In-channel selectivityPORT16</v>
      </c>
      <c r="B273" t="s">
        <v>182</v>
      </c>
      <c r="C273" t="s">
        <v>169</v>
      </c>
      <c r="D273">
        <v>-71.400000000000006</v>
      </c>
      <c r="F273">
        <v>-55.4</v>
      </c>
      <c r="H273">
        <v>0</v>
      </c>
    </row>
    <row r="274" spans="1:8" x14ac:dyDescent="0.3">
      <c r="A274" t="str">
        <f t="shared" si="4"/>
        <v>In-channel selectivityPORT17</v>
      </c>
      <c r="B274" t="s">
        <v>183</v>
      </c>
      <c r="C274" t="s">
        <v>169</v>
      </c>
      <c r="D274">
        <v>-71.400000000000006</v>
      </c>
      <c r="F274">
        <v>-55.4</v>
      </c>
      <c r="H274">
        <v>98.9</v>
      </c>
    </row>
    <row r="275" spans="1:8" x14ac:dyDescent="0.3">
      <c r="A275" t="str">
        <f t="shared" si="4"/>
        <v>In-channel selectivityPORT18</v>
      </c>
      <c r="B275" t="s">
        <v>184</v>
      </c>
      <c r="C275" t="s">
        <v>169</v>
      </c>
      <c r="D275">
        <v>-71.400000000000006</v>
      </c>
      <c r="F275">
        <v>-55.4</v>
      </c>
      <c r="H275">
        <v>99.8</v>
      </c>
    </row>
    <row r="276" spans="1:8" x14ac:dyDescent="0.3">
      <c r="A276" t="str">
        <f t="shared" si="4"/>
        <v>In-channel selectivityPORT19</v>
      </c>
      <c r="B276" t="s">
        <v>185</v>
      </c>
      <c r="C276" t="s">
        <v>169</v>
      </c>
      <c r="D276">
        <v>-71.400000000000006</v>
      </c>
      <c r="F276">
        <v>-55.4</v>
      </c>
      <c r="H276">
        <v>99.8</v>
      </c>
    </row>
    <row r="277" spans="1:8" x14ac:dyDescent="0.3">
      <c r="A277" t="str">
        <f t="shared" si="4"/>
        <v>In-channel selectivityPORT20</v>
      </c>
      <c r="B277" t="s">
        <v>186</v>
      </c>
      <c r="C277" t="s">
        <v>169</v>
      </c>
      <c r="D277">
        <v>-71.400000000000006</v>
      </c>
      <c r="F277">
        <v>-55.4</v>
      </c>
      <c r="H277">
        <v>99.8</v>
      </c>
    </row>
    <row r="278" spans="1:8" x14ac:dyDescent="0.3">
      <c r="A278" t="str">
        <f t="shared" si="4"/>
        <v>In-channel selectivityPORT21</v>
      </c>
      <c r="B278" t="s">
        <v>187</v>
      </c>
      <c r="C278" t="s">
        <v>169</v>
      </c>
      <c r="D278">
        <v>-71.400000000000006</v>
      </c>
      <c r="F278">
        <v>-55.4</v>
      </c>
      <c r="H278">
        <v>99.8</v>
      </c>
    </row>
    <row r="279" spans="1:8" x14ac:dyDescent="0.3">
      <c r="A279" t="str">
        <f t="shared" si="4"/>
        <v>In-channel selectivityPORT22</v>
      </c>
      <c r="B279" t="s">
        <v>188</v>
      </c>
      <c r="C279" t="s">
        <v>169</v>
      </c>
      <c r="D279">
        <v>-71.400000000000006</v>
      </c>
      <c r="F279">
        <v>-55.4</v>
      </c>
      <c r="H279">
        <v>99.8</v>
      </c>
    </row>
    <row r="280" spans="1:8" x14ac:dyDescent="0.3">
      <c r="A280" t="str">
        <f t="shared" si="4"/>
        <v>In-channel selectivityPORT23</v>
      </c>
      <c r="B280" t="s">
        <v>189</v>
      </c>
      <c r="C280" t="s">
        <v>169</v>
      </c>
      <c r="D280">
        <v>-71.400000000000006</v>
      </c>
      <c r="F280">
        <v>-55.4</v>
      </c>
      <c r="H280">
        <v>99.8</v>
      </c>
    </row>
    <row r="281" spans="1:8" x14ac:dyDescent="0.3">
      <c r="A281" t="str">
        <f t="shared" si="4"/>
        <v>In-channel selectivityPORT24</v>
      </c>
      <c r="B281" t="s">
        <v>190</v>
      </c>
      <c r="C281" t="s">
        <v>169</v>
      </c>
      <c r="D281">
        <v>-71.400000000000006</v>
      </c>
      <c r="F281">
        <v>-55.4</v>
      </c>
      <c r="H281">
        <v>99.2</v>
      </c>
    </row>
    <row r="282" spans="1:8" x14ac:dyDescent="0.3">
      <c r="A282" t="str">
        <f t="shared" si="4"/>
        <v>In-channel selectivityPORT25</v>
      </c>
      <c r="B282" t="s">
        <v>191</v>
      </c>
      <c r="C282" t="s">
        <v>169</v>
      </c>
      <c r="D282">
        <v>-71.400000000000006</v>
      </c>
      <c r="F282">
        <v>-55.4</v>
      </c>
      <c r="H282">
        <v>98.9</v>
      </c>
    </row>
    <row r="283" spans="1:8" x14ac:dyDescent="0.3">
      <c r="A283" t="str">
        <f t="shared" si="4"/>
        <v>In-channel selectivityPORT26</v>
      </c>
      <c r="B283" t="s">
        <v>192</v>
      </c>
      <c r="C283" t="s">
        <v>169</v>
      </c>
      <c r="D283">
        <v>-71.400000000000006</v>
      </c>
      <c r="F283">
        <v>-55.4</v>
      </c>
      <c r="H283">
        <v>99.8</v>
      </c>
    </row>
    <row r="284" spans="1:8" x14ac:dyDescent="0.3">
      <c r="A284" t="str">
        <f t="shared" si="4"/>
        <v>In-channel selectivityPORT27</v>
      </c>
      <c r="B284" t="s">
        <v>193</v>
      </c>
      <c r="C284" t="s">
        <v>169</v>
      </c>
      <c r="D284">
        <v>-71.400000000000006</v>
      </c>
      <c r="F284">
        <v>-55.4</v>
      </c>
      <c r="H284">
        <v>99.8</v>
      </c>
    </row>
    <row r="285" spans="1:8" x14ac:dyDescent="0.3">
      <c r="A285" t="str">
        <f t="shared" si="4"/>
        <v>In-channel selectivityPORT28</v>
      </c>
      <c r="B285" t="s">
        <v>194</v>
      </c>
      <c r="C285" t="s">
        <v>169</v>
      </c>
      <c r="D285">
        <v>-71.400000000000006</v>
      </c>
      <c r="F285">
        <v>-55.4</v>
      </c>
      <c r="H285">
        <v>99.8</v>
      </c>
    </row>
    <row r="286" spans="1:8" x14ac:dyDescent="0.3">
      <c r="A286" t="str">
        <f t="shared" si="4"/>
        <v>In-channel selectivityPORT29</v>
      </c>
      <c r="B286" t="s">
        <v>195</v>
      </c>
      <c r="C286" t="s">
        <v>169</v>
      </c>
      <c r="D286">
        <v>-71.400000000000006</v>
      </c>
      <c r="F286">
        <v>-55.4</v>
      </c>
      <c r="H286">
        <v>99.8</v>
      </c>
    </row>
    <row r="287" spans="1:8" x14ac:dyDescent="0.3">
      <c r="A287" t="str">
        <f t="shared" si="4"/>
        <v>In-channel selectivityPORT30</v>
      </c>
      <c r="B287" t="s">
        <v>196</v>
      </c>
      <c r="C287" t="s">
        <v>169</v>
      </c>
      <c r="D287">
        <v>-71.400000000000006</v>
      </c>
      <c r="F287">
        <v>-55.4</v>
      </c>
      <c r="H287">
        <v>99.8</v>
      </c>
    </row>
    <row r="288" spans="1:8" x14ac:dyDescent="0.3">
      <c r="A288" t="str">
        <f t="shared" si="4"/>
        <v>In-channel selectivityPORT31</v>
      </c>
      <c r="B288" t="s">
        <v>197</v>
      </c>
      <c r="C288" t="s">
        <v>169</v>
      </c>
      <c r="D288">
        <v>-71.400000000000006</v>
      </c>
      <c r="F288">
        <v>-55.4</v>
      </c>
      <c r="H288">
        <v>99.8</v>
      </c>
    </row>
    <row r="289" spans="1:8" x14ac:dyDescent="0.3">
      <c r="A289" t="str">
        <f t="shared" si="4"/>
        <v>In-channel selectivityPORT32</v>
      </c>
      <c r="B289" t="s">
        <v>198</v>
      </c>
      <c r="C289" t="s">
        <v>169</v>
      </c>
      <c r="D289">
        <v>-71.400000000000006</v>
      </c>
      <c r="F289">
        <v>-55.4</v>
      </c>
      <c r="H289">
        <v>99.8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opLeftCell="A13" workbookViewId="0">
      <selection activeCell="F26" sqref="F26"/>
    </sheetView>
  </sheetViews>
  <sheetFormatPr defaultRowHeight="14.4" x14ac:dyDescent="0.3"/>
  <cols>
    <col min="1" max="1" width="15.5546875" customWidth="1"/>
    <col min="2" max="2" width="33.44140625" customWidth="1"/>
    <col min="3" max="3" width="10.88671875" bestFit="1" customWidth="1"/>
    <col min="4" max="4" width="5" bestFit="1" customWidth="1"/>
    <col min="5" max="5" width="10.44140625" bestFit="1" customWidth="1"/>
    <col min="6" max="8" width="30.33203125" customWidth="1"/>
  </cols>
  <sheetData>
    <row r="1" spans="1:12" x14ac:dyDescent="0.3">
      <c r="A1" s="103"/>
      <c r="B1" s="103"/>
    </row>
    <row r="2" spans="1:12" ht="28.8" x14ac:dyDescent="0.3">
      <c r="A2" s="234" t="s">
        <v>316</v>
      </c>
      <c r="B2" s="234"/>
      <c r="C2" s="102" t="s">
        <v>315</v>
      </c>
      <c r="D2" s="102" t="s">
        <v>314</v>
      </c>
      <c r="E2" s="102" t="s">
        <v>47</v>
      </c>
      <c r="F2" s="101" t="s">
        <v>313</v>
      </c>
      <c r="G2" s="101" t="s">
        <v>312</v>
      </c>
      <c r="H2" s="101" t="s">
        <v>311</v>
      </c>
      <c r="I2" s="101" t="s">
        <v>48</v>
      </c>
      <c r="J2" s="101" t="s">
        <v>49</v>
      </c>
      <c r="K2" s="101" t="s">
        <v>310</v>
      </c>
      <c r="L2" s="101" t="s">
        <v>258</v>
      </c>
    </row>
    <row r="3" spans="1:12" x14ac:dyDescent="0.3">
      <c r="A3" s="238" t="s">
        <v>309</v>
      </c>
      <c r="B3" s="239"/>
      <c r="C3" s="102"/>
      <c r="D3" s="102"/>
      <c r="E3" s="102" t="s">
        <v>308</v>
      </c>
      <c r="F3" s="101"/>
      <c r="G3" s="101"/>
      <c r="H3" s="101"/>
      <c r="I3" s="101"/>
      <c r="J3" s="101"/>
      <c r="K3" s="101"/>
      <c r="L3" s="101"/>
    </row>
    <row r="4" spans="1:12" x14ac:dyDescent="0.3">
      <c r="A4" s="238" t="s">
        <v>307</v>
      </c>
      <c r="B4" s="239"/>
      <c r="C4" s="102"/>
      <c r="D4" s="102"/>
      <c r="E4" s="102" t="s">
        <v>306</v>
      </c>
      <c r="F4" s="101"/>
      <c r="G4" s="101"/>
      <c r="H4" s="101"/>
      <c r="I4" s="101"/>
      <c r="J4" s="101"/>
      <c r="K4" s="101"/>
      <c r="L4" s="101"/>
    </row>
    <row r="5" spans="1:12" x14ac:dyDescent="0.3">
      <c r="A5" s="238" t="s">
        <v>305</v>
      </c>
      <c r="B5" s="239"/>
      <c r="C5" s="102"/>
      <c r="D5" s="102" t="s">
        <v>110</v>
      </c>
      <c r="E5" s="102">
        <v>2550</v>
      </c>
      <c r="F5" s="101"/>
      <c r="G5" s="101"/>
      <c r="H5" s="101"/>
      <c r="I5" s="101"/>
      <c r="J5" s="101"/>
      <c r="K5" s="101"/>
      <c r="L5" s="101"/>
    </row>
    <row r="6" spans="1:12" x14ac:dyDescent="0.3">
      <c r="A6" s="238" t="s">
        <v>304</v>
      </c>
      <c r="B6" s="239"/>
      <c r="C6" s="102"/>
      <c r="D6" s="102" t="s">
        <v>110</v>
      </c>
      <c r="E6" s="102">
        <v>100</v>
      </c>
      <c r="F6" s="101"/>
      <c r="G6" s="101"/>
      <c r="H6" s="101"/>
      <c r="I6" s="101"/>
      <c r="J6" s="101"/>
      <c r="K6" s="101"/>
      <c r="L6" s="101"/>
    </row>
    <row r="7" spans="1:12" s="98" customFormat="1" ht="187.2" x14ac:dyDescent="0.3">
      <c r="A7" s="241" t="s">
        <v>227</v>
      </c>
      <c r="B7" s="241"/>
      <c r="C7" s="99" t="s">
        <v>53</v>
      </c>
      <c r="D7" s="99" t="s">
        <v>52</v>
      </c>
      <c r="E7" s="99">
        <v>40</v>
      </c>
      <c r="F7" s="100" t="s">
        <v>303</v>
      </c>
      <c r="G7" s="100" t="s">
        <v>302</v>
      </c>
      <c r="H7" s="99"/>
      <c r="I7" s="99">
        <f>MIN('[2]CH1-CH8'!K16:K23,'[2]CH9-CH16'!K16:K23,'[2]CH17-CH24'!K16:K23,'[2]CH25-CH32'!K16:K23)</f>
        <v>39.6</v>
      </c>
      <c r="J7" s="99">
        <f>MAX('[2]CH1-CH8'!K16:K23,'[2]CH9-CH16'!K16:K23,'[2]CH17-CH24'!K16:K23,'[2]CH25-CH32'!K16:K23)</f>
        <v>41.1</v>
      </c>
      <c r="K7" s="99"/>
      <c r="L7" s="99"/>
    </row>
    <row r="8" spans="1:12" ht="72" x14ac:dyDescent="0.3">
      <c r="A8" s="241" t="s">
        <v>228</v>
      </c>
      <c r="B8" s="241"/>
      <c r="C8" s="90" t="s">
        <v>269</v>
      </c>
      <c r="D8" s="86" t="s">
        <v>68</v>
      </c>
      <c r="E8" s="86">
        <v>23.9</v>
      </c>
      <c r="F8" s="90" t="s">
        <v>301</v>
      </c>
      <c r="G8" s="90" t="s">
        <v>300</v>
      </c>
      <c r="H8" s="86"/>
      <c r="I8" s="86"/>
      <c r="J8" s="86"/>
      <c r="K8" s="86"/>
      <c r="L8" s="86"/>
    </row>
    <row r="9" spans="1:12" x14ac:dyDescent="0.3">
      <c r="A9" s="241" t="s">
        <v>253</v>
      </c>
      <c r="B9" s="241"/>
      <c r="C9" s="86" t="s">
        <v>53</v>
      </c>
      <c r="D9" s="86" t="s">
        <v>52</v>
      </c>
      <c r="E9" s="86">
        <v>-82.5</v>
      </c>
      <c r="F9" s="86"/>
      <c r="G9" s="86"/>
      <c r="H9" s="86"/>
      <c r="I9" s="86"/>
      <c r="J9" s="86"/>
      <c r="K9" s="86"/>
      <c r="L9" s="86"/>
    </row>
    <row r="10" spans="1:12" x14ac:dyDescent="0.3">
      <c r="A10" s="241" t="s">
        <v>77</v>
      </c>
      <c r="B10" s="241"/>
      <c r="C10" s="86" t="s">
        <v>53</v>
      </c>
      <c r="D10" s="86" t="s">
        <v>78</v>
      </c>
      <c r="E10" s="86">
        <v>10</v>
      </c>
      <c r="F10" s="86"/>
      <c r="G10" s="86"/>
      <c r="H10" s="86"/>
      <c r="I10" s="86"/>
      <c r="J10" s="86"/>
      <c r="K10" s="86"/>
      <c r="L10" s="86"/>
    </row>
    <row r="11" spans="1:12" ht="57.6" x14ac:dyDescent="0.3">
      <c r="A11" s="241" t="s">
        <v>84</v>
      </c>
      <c r="B11" s="241"/>
      <c r="C11" s="90" t="s">
        <v>299</v>
      </c>
      <c r="D11" s="86" t="s">
        <v>85</v>
      </c>
      <c r="E11" s="86">
        <v>139.5</v>
      </c>
      <c r="F11" s="97" t="s">
        <v>297</v>
      </c>
      <c r="G11" s="96" t="s">
        <v>298</v>
      </c>
      <c r="H11" s="86" t="s">
        <v>297</v>
      </c>
      <c r="I11" s="86"/>
      <c r="J11" s="86"/>
      <c r="K11" s="86"/>
      <c r="L11" s="86"/>
    </row>
    <row r="12" spans="1:12" x14ac:dyDescent="0.3">
      <c r="A12" s="240" t="s">
        <v>229</v>
      </c>
      <c r="B12" s="88" t="s">
        <v>296</v>
      </c>
      <c r="C12" s="86" t="s">
        <v>91</v>
      </c>
      <c r="D12" s="86" t="s">
        <v>90</v>
      </c>
      <c r="E12" s="94">
        <v>18.5</v>
      </c>
      <c r="F12" s="93">
        <v>0.17499999999999999</v>
      </c>
      <c r="G12" s="93">
        <v>0.185</v>
      </c>
      <c r="H12" s="93">
        <v>0.17499999999999999</v>
      </c>
      <c r="I12" s="86"/>
      <c r="J12" s="86"/>
      <c r="K12" s="86"/>
      <c r="L12" s="86"/>
    </row>
    <row r="13" spans="1:12" x14ac:dyDescent="0.3">
      <c r="A13" s="240"/>
      <c r="B13" s="88" t="s">
        <v>295</v>
      </c>
      <c r="C13" s="86" t="s">
        <v>95</v>
      </c>
      <c r="D13" s="86" t="s">
        <v>90</v>
      </c>
      <c r="E13" s="94">
        <v>13.5</v>
      </c>
      <c r="F13" s="93">
        <v>0.125</v>
      </c>
      <c r="G13" s="93">
        <v>0.13500000000000001</v>
      </c>
      <c r="H13" s="93">
        <v>0.125</v>
      </c>
      <c r="I13" s="86"/>
      <c r="J13" s="86"/>
      <c r="K13" s="86"/>
      <c r="L13" s="86"/>
    </row>
    <row r="14" spans="1:12" x14ac:dyDescent="0.3">
      <c r="A14" s="240"/>
      <c r="B14" s="88" t="s">
        <v>294</v>
      </c>
      <c r="C14" s="86" t="s">
        <v>100</v>
      </c>
      <c r="D14" s="86" t="s">
        <v>90</v>
      </c>
      <c r="E14" s="94">
        <v>9</v>
      </c>
      <c r="F14" s="95">
        <v>0.08</v>
      </c>
      <c r="G14" s="95">
        <v>0.09</v>
      </c>
      <c r="H14" s="95">
        <v>0.08</v>
      </c>
      <c r="I14" s="86"/>
      <c r="J14" s="86"/>
      <c r="K14" s="86"/>
      <c r="L14" s="86"/>
    </row>
    <row r="15" spans="1:12" x14ac:dyDescent="0.3">
      <c r="A15" s="240"/>
      <c r="B15" s="88" t="s">
        <v>293</v>
      </c>
      <c r="C15" s="86" t="s">
        <v>246</v>
      </c>
      <c r="D15" s="86" t="s">
        <v>90</v>
      </c>
      <c r="E15" s="94">
        <v>4.5</v>
      </c>
      <c r="F15" s="93">
        <v>3.5000000000000003E-2</v>
      </c>
      <c r="G15" s="93">
        <v>4.4999999999999998E-2</v>
      </c>
      <c r="H15" s="93">
        <v>3.5000000000000003E-2</v>
      </c>
      <c r="I15" s="86"/>
      <c r="J15" s="86"/>
      <c r="K15" s="86"/>
      <c r="L15" s="86"/>
    </row>
    <row r="16" spans="1:12" ht="40.200000000000003" x14ac:dyDescent="0.3">
      <c r="A16" s="241" t="s">
        <v>254</v>
      </c>
      <c r="B16" s="241"/>
      <c r="C16" s="86" t="s">
        <v>53</v>
      </c>
      <c r="D16" s="86" t="s">
        <v>105</v>
      </c>
      <c r="E16" s="86">
        <v>90</v>
      </c>
      <c r="F16" s="91" t="s">
        <v>291</v>
      </c>
      <c r="G16" s="92" t="s">
        <v>292</v>
      </c>
      <c r="H16" s="91" t="s">
        <v>291</v>
      </c>
      <c r="I16" s="86"/>
      <c r="J16" s="86"/>
      <c r="K16" s="86"/>
      <c r="L16" s="86"/>
    </row>
    <row r="17" spans="1:12" x14ac:dyDescent="0.3">
      <c r="A17" s="241" t="s">
        <v>242</v>
      </c>
      <c r="B17" s="241"/>
      <c r="C17" s="86" t="s">
        <v>53</v>
      </c>
      <c r="D17" s="86" t="s">
        <v>110</v>
      </c>
      <c r="E17" s="86">
        <v>98.28</v>
      </c>
      <c r="F17" s="86"/>
      <c r="G17" s="86"/>
      <c r="H17" s="86"/>
      <c r="I17" s="86"/>
      <c r="J17" s="86"/>
      <c r="K17" s="86"/>
      <c r="L17" s="86"/>
    </row>
    <row r="18" spans="1:12" ht="28.8" x14ac:dyDescent="0.3">
      <c r="A18" s="241" t="s">
        <v>243</v>
      </c>
      <c r="B18" s="241"/>
      <c r="C18" s="90" t="s">
        <v>290</v>
      </c>
      <c r="D18" s="86" t="s">
        <v>116</v>
      </c>
      <c r="E18" s="86">
        <v>43.8</v>
      </c>
      <c r="F18" s="86"/>
      <c r="G18" s="86"/>
      <c r="H18" s="86"/>
      <c r="I18" s="86"/>
      <c r="J18" s="86"/>
      <c r="K18" s="86"/>
      <c r="L18" s="86"/>
    </row>
    <row r="19" spans="1:12" ht="64.5" customHeight="1" x14ac:dyDescent="0.3">
      <c r="A19" s="242" t="s">
        <v>245</v>
      </c>
      <c r="B19" s="243"/>
      <c r="C19" s="90" t="s">
        <v>290</v>
      </c>
      <c r="D19" s="86" t="s">
        <v>52</v>
      </c>
      <c r="E19" s="86"/>
      <c r="F19" s="89" t="s">
        <v>121</v>
      </c>
      <c r="G19" s="89" t="s">
        <v>121</v>
      </c>
      <c r="H19" s="89" t="s">
        <v>121</v>
      </c>
      <c r="I19" s="86"/>
      <c r="J19" s="86"/>
      <c r="K19" s="86"/>
      <c r="L19" s="86"/>
    </row>
    <row r="20" spans="1:12" ht="59.25" customHeight="1" x14ac:dyDescent="0.3">
      <c r="A20" s="244"/>
      <c r="B20" s="245"/>
      <c r="C20" s="90" t="s">
        <v>290</v>
      </c>
      <c r="D20" s="86" t="s">
        <v>52</v>
      </c>
      <c r="E20" s="86"/>
      <c r="F20" s="89" t="s">
        <v>288</v>
      </c>
      <c r="G20" s="89" t="s">
        <v>287</v>
      </c>
      <c r="H20" s="89" t="s">
        <v>286</v>
      </c>
      <c r="I20" s="86"/>
      <c r="J20" s="86"/>
      <c r="K20" s="86"/>
      <c r="L20" s="86"/>
    </row>
    <row r="21" spans="1:12" ht="60.75" customHeight="1" x14ac:dyDescent="0.3">
      <c r="A21" s="246"/>
      <c r="B21" s="247"/>
      <c r="C21" s="90" t="s">
        <v>290</v>
      </c>
      <c r="D21" s="86" t="s">
        <v>52</v>
      </c>
      <c r="E21" s="86"/>
      <c r="F21" s="89" t="s">
        <v>124</v>
      </c>
      <c r="G21" s="89" t="s">
        <v>285</v>
      </c>
      <c r="H21" s="89" t="s">
        <v>284</v>
      </c>
      <c r="I21" s="86"/>
      <c r="J21" s="86"/>
      <c r="K21" s="86"/>
      <c r="L21" s="86"/>
    </row>
    <row r="22" spans="1:12" ht="15" customHeight="1" x14ac:dyDescent="0.3">
      <c r="A22" s="240" t="s">
        <v>133</v>
      </c>
      <c r="B22" s="88" t="s">
        <v>243</v>
      </c>
      <c r="C22" s="86" t="s">
        <v>53</v>
      </c>
      <c r="D22" s="86" t="s">
        <v>116</v>
      </c>
      <c r="E22" s="86">
        <v>43.8</v>
      </c>
      <c r="F22" s="87"/>
      <c r="G22" s="87"/>
      <c r="H22" s="87"/>
      <c r="I22" s="86"/>
      <c r="J22" s="86"/>
      <c r="K22" s="86"/>
      <c r="L22" s="86"/>
    </row>
    <row r="23" spans="1:12" ht="62.25" customHeight="1" x14ac:dyDescent="0.3">
      <c r="A23" s="240"/>
      <c r="B23" s="235" t="s">
        <v>245</v>
      </c>
      <c r="C23" s="86" t="s">
        <v>53</v>
      </c>
      <c r="D23" s="86" t="s">
        <v>52</v>
      </c>
      <c r="E23" s="86"/>
      <c r="F23" s="89" t="s">
        <v>289</v>
      </c>
      <c r="G23" s="89" t="s">
        <v>121</v>
      </c>
      <c r="H23" s="89" t="s">
        <v>121</v>
      </c>
      <c r="I23" s="86"/>
      <c r="J23" s="86"/>
      <c r="K23" s="86"/>
      <c r="L23" s="86"/>
    </row>
    <row r="24" spans="1:12" ht="43.2" x14ac:dyDescent="0.3">
      <c r="A24" s="240"/>
      <c r="B24" s="236"/>
      <c r="C24" s="86" t="s">
        <v>53</v>
      </c>
      <c r="D24" s="86" t="s">
        <v>52</v>
      </c>
      <c r="E24" s="86"/>
      <c r="F24" s="89" t="s">
        <v>288</v>
      </c>
      <c r="G24" s="89" t="s">
        <v>287</v>
      </c>
      <c r="H24" s="89" t="s">
        <v>286</v>
      </c>
      <c r="I24" s="86"/>
      <c r="J24" s="86"/>
      <c r="K24" s="86"/>
      <c r="L24" s="86"/>
    </row>
    <row r="25" spans="1:12" ht="28.8" x14ac:dyDescent="0.3">
      <c r="A25" s="240"/>
      <c r="B25" s="237"/>
      <c r="C25" s="86" t="s">
        <v>53</v>
      </c>
      <c r="D25" s="86" t="s">
        <v>52</v>
      </c>
      <c r="E25" s="86"/>
      <c r="F25" s="89" t="s">
        <v>124</v>
      </c>
      <c r="G25" s="89" t="s">
        <v>285</v>
      </c>
      <c r="H25" s="89" t="s">
        <v>284</v>
      </c>
      <c r="I25" s="86"/>
      <c r="J25" s="86"/>
      <c r="K25" s="86"/>
      <c r="L25" s="86"/>
    </row>
    <row r="26" spans="1:12" ht="15" customHeight="1" x14ac:dyDescent="0.3">
      <c r="A26" s="240"/>
      <c r="B26" s="88" t="s">
        <v>260</v>
      </c>
      <c r="C26" s="86" t="s">
        <v>53</v>
      </c>
      <c r="D26" s="86" t="s">
        <v>52</v>
      </c>
      <c r="E26" s="86"/>
      <c r="F26" s="87"/>
      <c r="G26" s="87"/>
      <c r="H26" s="87"/>
      <c r="I26" s="86"/>
      <c r="J26" s="86"/>
      <c r="K26" s="86"/>
      <c r="L26" s="86"/>
    </row>
    <row r="27" spans="1:12" ht="15" customHeight="1" x14ac:dyDescent="0.3">
      <c r="F27" s="85"/>
      <c r="G27" s="84"/>
      <c r="H27" s="83"/>
    </row>
    <row r="28" spans="1:12" ht="15" customHeight="1" x14ac:dyDescent="0.3">
      <c r="F28" s="82"/>
      <c r="G28" s="81"/>
      <c r="H28" s="80"/>
    </row>
  </sheetData>
  <mergeCells count="17">
    <mergeCell ref="A18:B18"/>
    <mergeCell ref="A2:B2"/>
    <mergeCell ref="B23:B25"/>
    <mergeCell ref="A3:B3"/>
    <mergeCell ref="A4:B4"/>
    <mergeCell ref="A5:B5"/>
    <mergeCell ref="A6:B6"/>
    <mergeCell ref="A22:A26"/>
    <mergeCell ref="A12:A15"/>
    <mergeCell ref="A7:B7"/>
    <mergeCell ref="A8:B8"/>
    <mergeCell ref="A9:B9"/>
    <mergeCell ref="A10:B10"/>
    <mergeCell ref="A11:B11"/>
    <mergeCell ref="A19:B21"/>
    <mergeCell ref="A16:B16"/>
    <mergeCell ref="A17:B17"/>
  </mergeCells>
  <dataValidations count="3">
    <dataValidation type="list" allowBlank="1" showInputMessage="1" showErrorMessage="1" sqref="E6">
      <formula1>"10,20,25,30,40,50,60,70,80,90,100"</formula1>
    </dataValidation>
    <dataValidation type="list" allowBlank="1" showInputMessage="1" showErrorMessage="1" sqref="E4">
      <formula1>"Wide Area, Medium Area, Local Area"</formula1>
    </dataValidation>
    <dataValidation type="list" allowBlank="1" showInputMessage="1" showErrorMessage="1" sqref="E3">
      <formula1>"1-C,1-H,1-O,2-O"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CH1-CH8</vt:lpstr>
      <vt:lpstr>CH9-CH16</vt:lpstr>
      <vt:lpstr>CH17-CH24</vt:lpstr>
      <vt:lpstr>CH25-CH32</vt:lpstr>
      <vt:lpstr>TXRESULT</vt:lpstr>
      <vt:lpstr>RXRESULT</vt:lpstr>
      <vt:lpstr>Conclutsion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2023-04-17T01:49:55Z</cp:lastPrinted>
  <dcterms:created xsi:type="dcterms:W3CDTF">2023-03-30T07:33:45Z</dcterms:created>
  <dcterms:modified xsi:type="dcterms:W3CDTF">2023-11-09T07:09:18Z</dcterms:modified>
</cp:coreProperties>
</file>